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 Project\MS Excel Projects\Kitchen Revenue Sales Dashboard\"/>
    </mc:Choice>
  </mc:AlternateContent>
  <xr:revisionPtr revIDLastSave="0" documentId="13_ncr:1_{FE4E46E4-C7E1-4B89-BC81-26FB8E50F81D}" xr6:coauthVersionLast="47" xr6:coauthVersionMax="47" xr10:uidLastSave="{00000000-0000-0000-0000-000000000000}"/>
  <bookViews>
    <workbookView xWindow="9285" yWindow="450" windowWidth="10980" windowHeight="12330" xr2:uid="{11353B24-258A-4A86-B8E8-E6DC8EF33891}"/>
  </bookViews>
  <sheets>
    <sheet name="Data" sheetId="1" r:id="rId1"/>
    <sheet name="New Data" sheetId="6" r:id="rId2"/>
    <sheet name="Population" sheetId="2" r:id="rId3"/>
    <sheet name="Analysis" sheetId="4" r:id="rId4"/>
    <sheet name="Dashboard" sheetId="5" r:id="rId5"/>
  </sheets>
  <definedNames>
    <definedName name="_xlnm._FilterDatabase" localSheetId="3" hidden="1">Analysis!$L$5:$N$15</definedName>
    <definedName name="_xlnm._FilterDatabase" localSheetId="2" hidden="1">Population!$A$1:$B$49</definedName>
    <definedName name="_xlchart.v5.0" hidden="1">Analysis!$P$5</definedName>
    <definedName name="_xlchart.v5.1" hidden="1">Analysis!$P$6:$P$53</definedName>
    <definedName name="_xlchart.v5.2" hidden="1">Analysis!$S$5</definedName>
    <definedName name="_xlchart.v5.3" hidden="1">Analysis!$S$6:$S$53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2" i="4" l="1"/>
  <c r="AA19" i="4" l="1"/>
  <c r="W17" i="4"/>
  <c r="X18" i="4"/>
  <c r="X23" i="4"/>
  <c r="W23" i="4"/>
  <c r="AJ7" i="4"/>
  <c r="AJ8" i="4"/>
  <c r="AJ9" i="4"/>
  <c r="AJ10" i="4"/>
  <c r="AJ11" i="4"/>
  <c r="AJ12" i="4"/>
  <c r="AJ13" i="4"/>
  <c r="AJ14" i="4"/>
  <c r="AJ15" i="4"/>
  <c r="AJ6" i="4"/>
  <c r="C13" i="4"/>
  <c r="D6" i="4" s="1"/>
  <c r="M17" i="4"/>
  <c r="N17" i="4"/>
  <c r="L17" i="4"/>
  <c r="U5" i="4"/>
  <c r="U4" i="4"/>
  <c r="U6" i="4" l="1"/>
  <c r="S5" i="4" s="1"/>
  <c r="M6" i="4"/>
  <c r="M15" i="4"/>
  <c r="M7" i="4"/>
  <c r="M11" i="4"/>
  <c r="M13" i="4"/>
  <c r="M12" i="4"/>
  <c r="M14" i="4"/>
  <c r="M8" i="4"/>
  <c r="M9" i="4"/>
  <c r="F11" i="4"/>
  <c r="M10" i="4"/>
  <c r="M18" i="4" l="1"/>
  <c r="L18" i="4" s="1"/>
  <c r="M23" i="4"/>
  <c r="L23" i="4" s="1"/>
  <c r="M27" i="4"/>
  <c r="L27" i="4" s="1"/>
  <c r="M26" i="4"/>
  <c r="L26" i="4" s="1"/>
  <c r="M24" i="4"/>
  <c r="L24" i="4" s="1"/>
  <c r="M25" i="4"/>
  <c r="L25" i="4" s="1"/>
  <c r="M21" i="4"/>
  <c r="L21" i="4" s="1"/>
  <c r="M22" i="4"/>
  <c r="L22" i="4" s="1"/>
  <c r="M20" i="4"/>
  <c r="L20" i="4" s="1"/>
  <c r="M19" i="4"/>
  <c r="L19" i="4" s="1"/>
  <c r="I18" i="4" l="1"/>
  <c r="I21" i="4" s="1"/>
  <c r="J6" i="4" l="1"/>
  <c r="N25" i="4" l="1"/>
  <c r="D22" i="4"/>
  <c r="D23" i="4"/>
  <c r="N18" i="4"/>
  <c r="Q46" i="4"/>
  <c r="G7" i="4"/>
  <c r="N27" i="4"/>
  <c r="N9" i="4"/>
  <c r="R49" i="4"/>
  <c r="R13" i="4"/>
  <c r="N26" i="4"/>
  <c r="Q52" i="4"/>
  <c r="R34" i="4"/>
  <c r="N22" i="4"/>
  <c r="Q27" i="4"/>
  <c r="Q48" i="4"/>
  <c r="Q44" i="4"/>
  <c r="Q19" i="4"/>
  <c r="R38" i="4"/>
  <c r="Q51" i="4"/>
  <c r="R50" i="4"/>
  <c r="Q25" i="4"/>
  <c r="R41" i="4"/>
  <c r="N23" i="4"/>
  <c r="N24" i="4"/>
  <c r="Q20" i="4"/>
  <c r="R43" i="4"/>
  <c r="N13" i="4"/>
  <c r="R32" i="4"/>
  <c r="Q38" i="4"/>
  <c r="Q12" i="4"/>
  <c r="R35" i="4"/>
  <c r="Q30" i="4"/>
  <c r="R7" i="4"/>
  <c r="R14" i="4"/>
  <c r="N20" i="4"/>
  <c r="N19" i="4"/>
  <c r="R36" i="4"/>
  <c r="R11" i="4"/>
  <c r="Q33" i="4"/>
  <c r="Q39" i="4"/>
  <c r="Q29" i="4"/>
  <c r="R28" i="4"/>
  <c r="N12" i="4"/>
  <c r="G8" i="4"/>
  <c r="R52" i="4"/>
  <c r="Q43" i="4"/>
  <c r="R27" i="4"/>
  <c r="R22" i="4"/>
  <c r="Q14" i="4"/>
  <c r="R33" i="4"/>
  <c r="R39" i="4"/>
  <c r="Q16" i="4"/>
  <c r="Q7" i="4"/>
  <c r="N6" i="4"/>
  <c r="R45" i="4"/>
  <c r="Q28" i="4"/>
  <c r="R12" i="4"/>
  <c r="R51" i="4"/>
  <c r="Q34" i="4"/>
  <c r="N14" i="4"/>
  <c r="Q41" i="4"/>
  <c r="R25" i="4"/>
  <c r="R20" i="4"/>
  <c r="Q18" i="4"/>
  <c r="Q49" i="4"/>
  <c r="R23" i="4"/>
  <c r="R29" i="4"/>
  <c r="Q50" i="4"/>
  <c r="R17" i="4"/>
  <c r="R16" i="4"/>
  <c r="Q42" i="4"/>
  <c r="N11" i="4"/>
  <c r="R9" i="4"/>
  <c r="R44" i="4"/>
  <c r="Q35" i="4"/>
  <c r="R19" i="4"/>
  <c r="R30" i="4"/>
  <c r="R46" i="4"/>
  <c r="Q9" i="4"/>
  <c r="Q36" i="4"/>
  <c r="Q11" i="4"/>
  <c r="N15" i="4"/>
  <c r="Q32" i="4"/>
  <c r="Q8" i="4"/>
  <c r="R48" i="4"/>
  <c r="R18" i="4"/>
  <c r="R40" i="4"/>
  <c r="Q23" i="4"/>
  <c r="R6" i="4"/>
  <c r="Q47" i="4"/>
  <c r="Q17" i="4"/>
  <c r="G6" i="4"/>
  <c r="Q10" i="4"/>
  <c r="N10" i="4"/>
  <c r="Q31" i="4"/>
  <c r="Q45" i="4"/>
  <c r="Q40" i="4"/>
  <c r="R24" i="4"/>
  <c r="Q15" i="4"/>
  <c r="Q13" i="4"/>
  <c r="Q24" i="4"/>
  <c r="N7" i="4"/>
  <c r="R47" i="4"/>
  <c r="R15" i="4"/>
  <c r="Q6" i="4"/>
  <c r="R42" i="4"/>
  <c r="N8" i="4"/>
  <c r="Q21" i="4"/>
  <c r="R10" i="4"/>
  <c r="R53" i="4"/>
  <c r="Q22" i="4"/>
  <c r="R37" i="4"/>
  <c r="R31" i="4"/>
  <c r="R26" i="4"/>
  <c r="Q53" i="4"/>
  <c r="R8" i="4"/>
  <c r="Q26" i="4"/>
  <c r="G9" i="4"/>
  <c r="Q37" i="4"/>
  <c r="R21" i="4"/>
  <c r="N21" i="4"/>
  <c r="S19" i="4" l="1"/>
  <c r="S43" i="4"/>
  <c r="S7" i="4"/>
  <c r="S49" i="4"/>
  <c r="S50" i="4"/>
  <c r="S48" i="4"/>
  <c r="Z17" i="4"/>
  <c r="Z18" i="4" s="1"/>
  <c r="S46" i="4"/>
  <c r="S52" i="4"/>
  <c r="E22" i="4"/>
  <c r="E23" i="4"/>
  <c r="S44" i="4"/>
  <c r="S51" i="4"/>
  <c r="S33" i="4"/>
  <c r="S30" i="4"/>
  <c r="S6" i="4"/>
  <c r="S34" i="4"/>
  <c r="S11" i="4"/>
  <c r="S45" i="4"/>
  <c r="S36" i="4"/>
  <c r="S32" i="4"/>
  <c r="S22" i="4"/>
  <c r="S27" i="4"/>
  <c r="S24" i="4"/>
  <c r="S40" i="4"/>
  <c r="S14" i="4"/>
  <c r="S38" i="4"/>
  <c r="S25" i="4"/>
  <c r="S23" i="4"/>
  <c r="S28" i="4"/>
  <c r="S16" i="4"/>
  <c r="S39" i="4"/>
  <c r="S17" i="4"/>
  <c r="S37" i="4"/>
  <c r="S47" i="4"/>
  <c r="S12" i="4"/>
  <c r="S10" i="4"/>
  <c r="S29" i="4"/>
  <c r="S20" i="4"/>
  <c r="S21" i="4"/>
  <c r="S8" i="4"/>
  <c r="S18" i="4"/>
  <c r="S53" i="4"/>
  <c r="S15" i="4"/>
  <c r="S31" i="4"/>
  <c r="S42" i="4"/>
  <c r="G11" i="4"/>
  <c r="G12" i="4" s="1"/>
  <c r="G14" i="4" s="1"/>
  <c r="S35" i="4"/>
  <c r="S41" i="4"/>
  <c r="S9" i="4"/>
  <c r="S13" i="4"/>
  <c r="X6" i="4"/>
  <c r="W6" i="4" s="1"/>
  <c r="W18" i="4"/>
  <c r="X10" i="4"/>
  <c r="W10" i="4" s="1"/>
  <c r="X9" i="4"/>
  <c r="W9" i="4" s="1"/>
  <c r="X7" i="4"/>
  <c r="W7" i="4" s="1"/>
  <c r="S26" i="4"/>
  <c r="X8" i="4"/>
  <c r="W8" i="4" s="1"/>
  <c r="AB6" i="4"/>
  <c r="G15" i="4" l="1"/>
  <c r="I22" i="4" s="1"/>
  <c r="AC6" i="4"/>
  <c r="AC8" i="4" s="1"/>
  <c r="Y8" i="4"/>
  <c r="Y9" i="4"/>
  <c r="Y10" i="4"/>
  <c r="Y7" i="4"/>
  <c r="Y6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<sst xmlns="http://schemas.openxmlformats.org/spreadsheetml/2006/main" count="8477" uniqueCount="90">
  <si>
    <t>Year</t>
  </si>
  <si>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</si>
  <si>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</si>
  <si>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</si>
  <si>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</si>
  <si>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</si>
  <si>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</si>
  <si>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</si>
  <si>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</si>
  <si>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</si>
  <si>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</si>
  <si>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</si>
  <si>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</si>
  <si>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</si>
  <si>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</si>
  <si>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</si>
  <si>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</si>
  <si>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</si>
  <si>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</si>
  <si>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</si>
  <si>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</si>
  <si>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</si>
  <si>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</si>
  <si>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</si>
  <si>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</si>
  <si>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</si>
  <si>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</si>
  <si>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</si>
  <si>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</si>
  <si>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</si>
  <si>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</si>
  <si>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</si>
  <si>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</si>
  <si>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</si>
  <si>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</si>
  <si>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</si>
  <si>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</si>
  <si>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</si>
  <si>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</si>
  <si>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</si>
  <si>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</si>
  <si>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</si>
  <si>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</si>
  <si>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</si>
  <si>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</si>
  <si>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</si>
  <si>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</si>
  <si>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</si>
  <si>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</si>
  <si>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</si>
  <si>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 Kettle </t>
  </si>
  <si>
    <t>Toaster </t>
  </si>
  <si>
    <t>Microwave oven </t>
  </si>
  <si>
    <t>Dishwasher </t>
  </si>
  <si>
    <t>Blender </t>
  </si>
  <si>
    <t>Breadbox </t>
  </si>
  <si>
    <t>Egg slicer</t>
  </si>
  <si>
    <t>Teapot </t>
  </si>
  <si>
    <t>Frying pan</t>
  </si>
  <si>
    <t>Mixing bowl</t>
  </si>
  <si>
    <t>Products</t>
  </si>
  <si>
    <t>Revenue</t>
  </si>
  <si>
    <t>Quantity</t>
  </si>
  <si>
    <t>Population</t>
  </si>
  <si>
    <t>Selection</t>
  </si>
  <si>
    <t>PRODUCTS FILTER</t>
  </si>
  <si>
    <t>YEARLY FILTER</t>
  </si>
  <si>
    <t>Selected</t>
  </si>
  <si>
    <t>REVENUE ANALYSIS</t>
  </si>
  <si>
    <t>Others</t>
  </si>
  <si>
    <t>% Change</t>
  </si>
  <si>
    <t>REVENUE BY SALES STATES</t>
  </si>
  <si>
    <t>Sold Qty</t>
  </si>
  <si>
    <t>TOP 10 STATES</t>
  </si>
  <si>
    <t>TOTAL REVENUE</t>
  </si>
  <si>
    <t>Top-10</t>
  </si>
  <si>
    <t>Qty</t>
  </si>
  <si>
    <t>Max highlight</t>
  </si>
  <si>
    <t>texas</t>
  </si>
  <si>
    <t>Caption</t>
  </si>
  <si>
    <t>Sales Channel</t>
  </si>
  <si>
    <t xml:space="preserve">Online </t>
  </si>
  <si>
    <t>In Store</t>
  </si>
  <si>
    <t>MEANS OF PURCHASES</t>
  </si>
  <si>
    <t>Means</t>
  </si>
  <si>
    <t>TOTAL TRANSACTION</t>
  </si>
  <si>
    <t>QTY SOLD TILL DATE</t>
  </si>
  <si>
    <t>REVENUE TILL DATE</t>
  </si>
  <si>
    <t>Switch</t>
  </si>
  <si>
    <t>CURRENT QTY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</si>
</sst>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&quot;$&quot;#,##0"/>
    <numFmt numFmtId="166" formatCode="&quot;$&quot;#,##0,&quot;K&quot;"/>
    <numFmt numFmtId="167" formatCode="#,##0.00,,&quot;M&quot;"/>
    <numFmt numFmtId="168" formatCode="#,##0,&quot;K&quot;"/>
    <numFmt numFmtId="169" formatCode="&quot;$&quot;#,##0;#,##0"/>
    <numFmt numFmtId="170" formatCode="&quot;$&quot;#,##0.00,,&quot;M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7">
    <xf numFmtId="0" fontId="0" fillId="0" borderId="0" xfId="0"/>
    <xf numFmtId="165" fontId="0" fillId="0" borderId="0" xfId="0" applyNumberFormat="1"/>
    <xf numFmtId="0" fontId="1" fillId="0" borderId="0" xfId="0" applyFont="1"/>
    <xf numFmtId="0" fontId="0" fillId="3" borderId="1" xfId="0" applyFill="1" applyBorder="1"/>
    <xf numFmtId="3" fontId="0" fillId="3" borderId="1" xfId="0" applyNumberFormat="1" applyFill="1" applyBorder="1"/>
    <xf numFmtId="0" fontId="0" fillId="4" borderId="1" xfId="0" applyFill="1" applyBorder="1"/>
    <xf numFmtId="3" fontId="0" fillId="4" borderId="1" xfId="0" applyNumberFormat="1" applyFill="1" applyBorder="1"/>
    <xf numFmtId="0" fontId="0" fillId="4" borderId="2" xfId="0" applyFill="1" applyBorder="1"/>
    <xf numFmtId="3" fontId="0" fillId="4" borderId="2" xfId="0" applyNumberFormat="1" applyFill="1" applyBorder="1"/>
    <xf numFmtId="9" fontId="0" fillId="0" borderId="0" xfId="0" applyNumberFormat="1"/>
    <xf numFmtId="166" fontId="0" fillId="0" borderId="0" xfId="0" applyNumberFormat="1"/>
    <xf numFmtId="168" fontId="1" fillId="0" borderId="0" xfId="1" applyNumberFormat="1" applyFont="1"/>
    <xf numFmtId="0" fontId="1" fillId="6" borderId="4" xfId="0" applyFont="1" applyFill="1" applyBorder="1" applyAlignment="1">
      <alignment horizontal="centerContinuous"/>
    </xf>
    <xf numFmtId="0" fontId="1" fillId="6" borderId="5" xfId="0" applyFont="1" applyFill="1" applyBorder="1" applyAlignment="1">
      <alignment horizontal="centerContinuous"/>
    </xf>
    <xf numFmtId="0" fontId="1" fillId="6" borderId="6" xfId="0" applyFont="1" applyFill="1" applyBorder="1" applyAlignment="1">
      <alignment horizontal="centerContinuous"/>
    </xf>
    <xf numFmtId="0" fontId="0" fillId="5" borderId="7" xfId="0" applyFill="1" applyBorder="1"/>
    <xf numFmtId="0" fontId="0" fillId="5" borderId="0" xfId="0" applyFill="1"/>
    <xf numFmtId="0" fontId="0" fillId="5" borderId="8" xfId="0" applyFill="1" applyBorder="1"/>
    <xf numFmtId="0" fontId="0" fillId="7" borderId="7" xfId="0" applyFill="1" applyBorder="1"/>
    <xf numFmtId="0" fontId="0" fillId="7" borderId="0" xfId="0" applyFill="1"/>
    <xf numFmtId="169" fontId="0" fillId="7" borderId="8" xfId="0" applyNumberFormat="1" applyFill="1" applyBorder="1"/>
    <xf numFmtId="0" fontId="0" fillId="7" borderId="9" xfId="0" applyFill="1" applyBorder="1"/>
    <xf numFmtId="0" fontId="0" fillId="7" borderId="10" xfId="0" applyFill="1" applyBorder="1"/>
    <xf numFmtId="169" fontId="0" fillId="7" borderId="11" xfId="0" applyNumberFormat="1" applyFill="1" applyBorder="1"/>
    <xf numFmtId="165" fontId="0" fillId="7" borderId="0" xfId="0" applyNumberFormat="1" applyFill="1"/>
    <xf numFmtId="165" fontId="0" fillId="7" borderId="8" xfId="0" applyNumberFormat="1" applyFill="1" applyBorder="1"/>
    <xf numFmtId="165" fontId="0" fillId="7" borderId="10" xfId="0" applyNumberFormat="1" applyFill="1" applyBorder="1"/>
    <xf numFmtId="165" fontId="0" fillId="7" borderId="11" xfId="0" applyNumberFormat="1" applyFill="1" applyBorder="1"/>
    <xf numFmtId="165" fontId="0" fillId="7" borderId="7" xfId="0" applyNumberFormat="1" applyFill="1" applyBorder="1"/>
    <xf numFmtId="0" fontId="0" fillId="7" borderId="8" xfId="0" applyFill="1" applyBorder="1"/>
    <xf numFmtId="9" fontId="0" fillId="7" borderId="11" xfId="0" applyNumberFormat="1" applyFill="1" applyBorder="1"/>
    <xf numFmtId="168" fontId="0" fillId="7" borderId="9" xfId="1" applyNumberFormat="1" applyFont="1" applyFill="1" applyBorder="1"/>
    <xf numFmtId="0" fontId="0" fillId="7" borderId="11" xfId="0" applyFill="1" applyBorder="1"/>
    <xf numFmtId="167" fontId="0" fillId="7" borderId="7" xfId="1" applyNumberFormat="1" applyFont="1" applyFill="1" applyBorder="1"/>
    <xf numFmtId="170" fontId="1" fillId="7" borderId="9" xfId="1" applyNumberFormat="1" applyFont="1" applyFill="1" applyBorder="1"/>
    <xf numFmtId="0" fontId="0" fillId="6" borderId="6" xfId="0" applyFill="1" applyBorder="1" applyAlignment="1">
      <alignment horizontal="centerContinuous"/>
    </xf>
    <xf numFmtId="0" fontId="0" fillId="6" borderId="5" xfId="0" applyFill="1" applyBorder="1" applyAlignment="1">
      <alignment horizontal="centerContinuous"/>
    </xf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166" fontId="0" fillId="7" borderId="8" xfId="0" applyNumberFormat="1" applyFill="1" applyBorder="1"/>
    <xf numFmtId="9" fontId="0" fillId="7" borderId="8" xfId="0" applyNumberFormat="1" applyFill="1" applyBorder="1"/>
    <xf numFmtId="0" fontId="1" fillId="8" borderId="12" xfId="0" applyFont="1" applyFill="1" applyBorder="1"/>
    <xf numFmtId="0" fontId="0" fillId="8" borderId="13" xfId="0" applyFill="1" applyBorder="1"/>
    <xf numFmtId="9" fontId="0" fillId="8" borderId="12" xfId="0" applyNumberFormat="1" applyFill="1" applyBorder="1"/>
    <xf numFmtId="9" fontId="0" fillId="8" borderId="13" xfId="0" applyNumberFormat="1" applyFill="1" applyBorder="1"/>
    <xf numFmtId="0" fontId="1" fillId="8" borderId="4" xfId="0" applyFont="1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1" xfId="0" applyFill="1" applyBorder="1"/>
    <xf numFmtId="0" fontId="1" fillId="8" borderId="3" xfId="0" applyFont="1" applyFill="1" applyBorder="1"/>
    <xf numFmtId="0" fontId="0" fillId="9" borderId="12" xfId="0" applyFill="1" applyBorder="1"/>
    <xf numFmtId="0" fontId="0" fillId="9" borderId="14" xfId="0" applyFill="1" applyBorder="1"/>
    <xf numFmtId="0" fontId="0" fillId="9" borderId="13" xfId="0" applyFill="1" applyBorder="1"/>
    <xf numFmtId="0" fontId="0" fillId="8" borderId="3" xfId="0" applyFill="1" applyBorder="1"/>
    <xf numFmtId="0" fontId="0" fillId="3" borderId="15" xfId="0" applyFill="1" applyBorder="1"/>
    <xf numFmtId="0" fontId="0" fillId="4" borderId="15" xfId="0" applyFill="1" applyBorder="1"/>
    <xf numFmtId="0" fontId="0" fillId="4" borderId="16" xfId="0" applyFill="1" applyBorder="1"/>
    <xf numFmtId="165" fontId="0" fillId="3" borderId="1" xfId="0" applyNumberFormat="1" applyFill="1" applyBorder="1"/>
    <xf numFmtId="165" fontId="0" fillId="4" borderId="1" xfId="0" applyNumberFormat="1" applyFill="1" applyBorder="1"/>
    <xf numFmtId="165" fontId="0" fillId="4" borderId="2" xfId="0" applyNumberFormat="1" applyFill="1" applyBorder="1"/>
    <xf numFmtId="0" fontId="0" fillId="0" borderId="17" xfId="0" applyBorder="1"/>
    <xf numFmtId="0" fontId="1" fillId="0" borderId="19" xfId="0" applyFont="1" applyBorder="1"/>
    <xf numFmtId="0" fontId="1" fillId="0" borderId="20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3" fillId="2" borderId="18" xfId="0" applyFont="1" applyFill="1" applyBorder="1"/>
    <xf numFmtId="0" fontId="3" fillId="2" borderId="19" xfId="0" applyFont="1" applyFill="1" applyBorder="1"/>
    <xf numFmtId="0" fontId="3" fillId="2" borderId="20" xfId="0" applyFont="1" applyFill="1" applyBorder="1"/>
    <xf numFmtId="0" fontId="0" fillId="0" borderId="25" xfId="0" applyBorder="1"/>
    <xf numFmtId="0" fontId="3" fillId="2" borderId="15" xfId="0" applyFont="1" applyFill="1" applyBorder="1"/>
    <xf numFmtId="0" fontId="3" fillId="2" borderId="1" xfId="0" applyFont="1" applyFill="1" applyBorder="1"/>
    <xf numFmtId="0" fontId="3" fillId="2" borderId="17" xfId="0" applyFont="1" applyFill="1" applyBorder="1"/>
  </cellXfs>
  <cellStyles count="2">
    <cellStyle name="Comma" xfId="1" builtinId="3"/>
    <cellStyle name="Normal" xfId="0" builtinId="0"/>
  </cellStyles>
  <dxfs count="2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ill>
        <patternFill patternType="solid">
          <fgColor theme="0" tint="-0.34998626667073579"/>
          <bgColor theme="0" tint="-0.34998626667073579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colors>
    <mruColors>
      <color rgb="FF006666"/>
      <color rgb="FF990000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" Target="richData/rdsupporting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953137339723673"/>
          <c:y val="7.8795868773943012E-2"/>
          <c:w val="0.57932005235637973"/>
          <c:h val="0.864911556401943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Analysis!$M$17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Analysis!$L$18:$L$27</c:f>
              <c:strCache>
                <c:ptCount val="10"/>
                <c:pt idx="0">
                  <c:v>Teapot </c:v>
                </c:pt>
                <c:pt idx="1">
                  <c:v> Kettle </c:v>
                </c:pt>
                <c:pt idx="2">
                  <c:v>Egg slicer</c:v>
                </c:pt>
                <c:pt idx="3">
                  <c:v>Blender </c:v>
                </c:pt>
                <c:pt idx="4">
                  <c:v>Breadbox </c:v>
                </c:pt>
                <c:pt idx="5">
                  <c:v>Microwave oven </c:v>
                </c:pt>
                <c:pt idx="6">
                  <c:v>Toaster </c:v>
                </c:pt>
                <c:pt idx="7">
                  <c:v>Mixing bowl</c:v>
                </c:pt>
                <c:pt idx="8">
                  <c:v>Frying pan</c:v>
                </c:pt>
                <c:pt idx="9">
                  <c:v>Dishwasher </c:v>
                </c:pt>
              </c:strCache>
            </c:strRef>
          </c:cat>
          <c:val>
            <c:numRef>
              <c:f>Analysis!$M$18:$M$27</c:f>
              <c:numCache>
                <c:formatCode>"$"#,##0</c:formatCode>
                <c:ptCount val="10"/>
                <c:pt idx="0">
                  <c:v>6632745</c:v>
                </c:pt>
                <c:pt idx="1">
                  <c:v>5278636</c:v>
                </c:pt>
                <c:pt idx="2">
                  <c:v>5263921</c:v>
                </c:pt>
                <c:pt idx="3">
                  <c:v>4780144</c:v>
                </c:pt>
                <c:pt idx="4">
                  <c:v>4609952</c:v>
                </c:pt>
                <c:pt idx="5">
                  <c:v>3572538</c:v>
                </c:pt>
                <c:pt idx="6">
                  <c:v>3355051</c:v>
                </c:pt>
                <c:pt idx="7">
                  <c:v>2898819</c:v>
                </c:pt>
                <c:pt idx="8">
                  <c:v>2763987</c:v>
                </c:pt>
                <c:pt idx="9">
                  <c:v>2657607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A-4CE8-9077-9B34E175E16B}"/>
            </c:ext>
          </c:extLst>
        </c:ser>
        <c:ser>
          <c:idx val="1"/>
          <c:order val="1"/>
          <c:tx>
            <c:strRef>
              <c:f>Analysis!$N$17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rgbClr val="006666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numFmt formatCode="&quot;$&quot;#,###,&quot;K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Analysis!$L$18:$L$27</c:f>
              <c:strCache>
                <c:ptCount val="10"/>
                <c:pt idx="0">
                  <c:v>Teapot </c:v>
                </c:pt>
                <c:pt idx="1">
                  <c:v> Kettle </c:v>
                </c:pt>
                <c:pt idx="2">
                  <c:v>Egg slicer</c:v>
                </c:pt>
                <c:pt idx="3">
                  <c:v>Blender </c:v>
                </c:pt>
                <c:pt idx="4">
                  <c:v>Breadbox </c:v>
                </c:pt>
                <c:pt idx="5">
                  <c:v>Microwave oven </c:v>
                </c:pt>
                <c:pt idx="6">
                  <c:v>Toaster </c:v>
                </c:pt>
                <c:pt idx="7">
                  <c:v>Mixing bowl</c:v>
                </c:pt>
                <c:pt idx="8">
                  <c:v>Frying pan</c:v>
                </c:pt>
                <c:pt idx="9">
                  <c:v>Dishwasher </c:v>
                </c:pt>
              </c:strCache>
            </c:strRef>
          </c:cat>
          <c:val>
            <c:numRef>
              <c:f>Analysis!$N$18:$N$27</c:f>
              <c:numCache>
                <c:formatCode>"$"#,##0</c:formatCode>
                <c:ptCount val="10"/>
                <c:pt idx="0">
                  <c:v>6632745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7A-4CE8-9077-9B34E175E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41472784"/>
        <c:axId val="1041473616"/>
      </c:barChart>
      <c:catAx>
        <c:axId val="10414727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73616"/>
        <c:crosses val="autoZero"/>
        <c:auto val="1"/>
        <c:lblAlgn val="ctr"/>
        <c:lblOffset val="100"/>
        <c:noMultiLvlLbl val="0"/>
      </c:catAx>
      <c:valAx>
        <c:axId val="1041473616"/>
        <c:scaling>
          <c:orientation val="minMax"/>
        </c:scaling>
        <c:delete val="0"/>
        <c:axPos val="t"/>
        <c:numFmt formatCode="&quot;$&quot;#,##0,&quot;K&quot;" sourceLinked="0"/>
        <c:majorTickMark val="none"/>
        <c:minorTickMark val="out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7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6666">
                  <a:alpha val="66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17-40D1-BF57-C80684AAEAD3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17-40D1-BF57-C80684AAEAD3}"/>
              </c:ext>
            </c:extLst>
          </c:dPt>
          <c:cat>
            <c:strRef>
              <c:f>Analysis!$F$11:$F$12</c:f>
              <c:strCache>
                <c:ptCount val="2"/>
                <c:pt idx="0">
                  <c:v>2022</c:v>
                </c:pt>
                <c:pt idx="1">
                  <c:v>Others</c:v>
                </c:pt>
              </c:strCache>
            </c:strRef>
          </c:cat>
          <c:val>
            <c:numRef>
              <c:f>Analysis!$G$11:$G$12</c:f>
              <c:numCache>
                <c:formatCode>"$"#,##0</c:formatCode>
                <c:ptCount val="2"/>
                <c:pt idx="0" formatCode="&quot;$&quot;#,##0,&quot;K&quot;">
                  <c:v>6632745</c:v>
                </c:pt>
                <c:pt idx="1">
                  <c:v>11356474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17-40D1-BF57-C80684AAE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Analysis!$D$21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16-4EFC-B3D2-866AAD9D1CFA}"/>
              </c:ext>
            </c:extLst>
          </c:dPt>
          <c:dPt>
            <c:idx val="1"/>
            <c:bubble3D val="0"/>
            <c:spPr>
              <a:solidFill>
                <a:srgbClr val="006666">
                  <a:alpha val="66000"/>
                </a:srgb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16-4EFC-B3D2-866AAD9D1CFA}"/>
              </c:ext>
            </c:extLst>
          </c:dPt>
          <c:cat>
            <c:strRef>
              <c:f>Analysis!$C$22:$C$23</c:f>
              <c:strCache>
                <c:ptCount val="2"/>
                <c:pt idx="0">
                  <c:v>In Store</c:v>
                </c:pt>
                <c:pt idx="1">
                  <c:v>Online </c:v>
                </c:pt>
              </c:strCache>
            </c:strRef>
          </c:cat>
          <c:val>
            <c:numRef>
              <c:f>Analysis!$D$22:$D$23</c:f>
              <c:numCache>
                <c:formatCode>General</c:formatCode>
                <c:ptCount val="2"/>
                <c:pt idx="0">
                  <c:v>3412325</c:v>
                </c:pt>
                <c:pt idx="1">
                  <c:v>3220420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16-4EFC-B3D2-866AAD9D1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9C27B6DD-AC53-457F-9F39-4C4F6E47CAFE}">
          <cx:tx>
            <cx:txData>
              <cx:f>_xlchart.v5.2</cx:f>
              <cx:v>Revenue Selected</cx:v>
            </cx:txData>
          </cx:tx>
          <cx:spPr>
            <a:solidFill>
              <a:schemeClr val="bg1"/>
            </a:solidFill>
          </cx:spPr>
          <cx:dataId val="0"/>
          <cx:layoutPr>
            <cx:regionLabelLayout val="bestFitOnly"/>
            <cx:geography cultureLanguage="en-US" cultureRegion="NG" attribution="Powered by Bing">
              <cx:geoCache provider="{E9337A44-BEBE-4D9F-B70C-5C5E7DAFC167}">
                <cx:binary>1H1rc6O4tvZf6erPLxkJBIhde3bVSOALdu7ppDtfKHfi5o643379WWAnTtjuPTm1c+ote2YYISF7
SY/WXSj/fGr/8RRtN/mXNo6S4h9P7Z9fvbJM//HHH8WTt403xVnsP+WiEL/KsycR/yF+/fKftn88
55vGT9w/ZITJH0/eJi+37dd//RO+zd2KtXjalL5Irqtt3t1siyoqi//QdrTpy+Y59hPTL8rcfyrx
n18fOgEV7tcv26T0y+6uS7d/fn330Ncvf0y/6t9+9ksElJXVM/Ql8plhGJqsYRX+Dx/69UskEnff
LGGkn6kqJkRFaPfAy29fbGLo/wGCRnI2z8/5tihgQOP/33R8Rz3U//j65UlUSTlMmgvz9+fXb4lf
bp+/3Jabclt8/eIXgu8e4GIYwrfbccx/vJ/2f/1zUgGzMKl5g8x0yv6u6d+AuRVV6X0xN6EoNy8z
9AnokDOiaJiour6bfH2KDjqTFUQMrJGXX93h8lF6joPzvvcEoVvzJBG68WC1fFkW0SZ5fpmrT0AI
n2kylQ2V7gCa8o+Oz1RMKdLInr+Ul9/e4fRRqo7j9L73BKeb5UniZG6jTbPJty/z9N9jpBhnCFFd
k5U9BsZ7LtLVM6JRjSh4D6L68ts7jD5C0XF8Dj0n2JjWSWLzV7T5uYk/UcAp8pmuaUTWkIHGD7DH
W/VDtTNKkKLISN7z13toPkDQcWReO06A+Wt9ksBwEYl88yxeZucTmIaCYUBVFRF5hwx+jwxG6plK
dKpoE4n2EVKOY3LoOQGFX54kKBfbn/mmCD+RXQhoE1nHiq5rO1Dk96AYxhkFiw14he7aJ5LsIxQd
x+bQc4LNxWlKstUmKTbFp7ILoQRmXtePsotBzxSKMEUvOggsuZ0Nv9Mxf0/PcVxe+k1QWd2eJMfw
TeT/EnnifyLPKPqZrBJNM/BexUwFGTbONKzLugF29Ph5j8zHaDqOztu+E4T4XyeB0NN/dMXeeqHv
nvxfeqFgoanAGZqmKzsIJn4OyDXgHQWMALxr195jNPEQf0/WcZgm3d+N5DTcz4tt88Xe5sW2e5mY
/94CIOgMKwYyVAUfVTY6OdN0qkLwY4eJMXFBP0bTcUTe9p0wzoV9EozzjmqI3PyV+71IPlOukTPZ
UGSZ4r3YmvAMxuCaDm6npu6MBZB7bzXOBwg6js1rx3dDhBE+niQww1L7IfLwZXY+gXEgpqYYMriT
E0jA0dTAmiZU3bPMxAj4CCnHMTn0nIBycZrhtGE859vWf/pMjwaCaTLYzpjsjeeJr4mRdoYRBZFH
J6zyMWp+j8zLSKbYnJ8kw5xv/GT7idyinilgnhH1jWX8NgSgGWcyhhgo0vdybqJm/pac47jsu00g
OT9Nb+avPPxsf4acQTAM3JXf5AUMGSLTBlZV9bin+RGKjgNz6DnB5q+bk2SXQXgsNnFaeP5nBjWJ
cqZRVcOGApmZ4TORZkPgGcIEMhhwu3YIFbxV/x8m6zhKk+4TqC4WJwkVF0myfSr9p6p8maxPsAYG
IFSsKi9AgXJ5K990CIEqFMw4eRKs+SA1x/F513mCDr87SXTutu2nRmwwRP0VSijeuzcTXMDnVCDw
DAGdfegZMqNvGehvyTkOzL7bBJK77ycJydU2SYouqjefGrEBx5MaELDZaxaEJsjo+hlVKB1CbTvP
c4LMR6k6DtD73hOcrv46SZzON0WxefKqYluWnxj0hM0DEDhTVFUD0fVOpoHriUAvgcw7itCH6TkO
0aT7BKPz08RoBhkc/3nzImT+e8Uj0zPVgL0bsjLJd1Kw3aiuEBkiauMHTIe3ku0DlBzH5bXjBJHZ
aSbVLkQOezr4JheR/6mRG8icKYaiq8pefk3DBMYZpiqRyYsAnIYJPkzXcZim45qgdcFPUsbNtyJ3
PzVxIJ9pBAwz+mIATGCiyhkhRNEJ2uM0YaMPEHQcn9eOE2DmpynYLsNo44lP3TUADEQVQrS96zM1
EAzYswaBHIRetk2BAHwr4D5C0XFoDj0n2FyuTpJpls8Azcvk/PcqhxDIchqQgCb7ACdYZm/tAowh
Z6CC6INdBS+/ust//i0hx/HYd5uAsTRPEoxLz/9MLNAZgfiMQox9RhrE01sswAoA+1lRqfySv3mP
yN9RcxyQXa8JHpeLk8RjGYHeF37xMi+fwB+QUgPeILCt5tUufocJaH5CNQDlsFPtreD6CEXHcTn0
nGCzPE3b7H6bxyL5zDANOUO6KsM/Ez6B+IwG+6MNDTID42cSpvkAJcchee04QeT+NMMzy+TZ33yq
mWycDel+2Jexm3dj6sZoZxA1g621xt4MIC+Mulcpf0/QcWBeRzIBZnlxmmJMNJ/oVYLPD5kYTdUJ
eXUe34owQwHbCyENo337ZKvG8m+o+Q0kY68pHqdpD+/cr09/VUAHb0RTIHe5F1MTboEgJ8Q7hw0D
x9X9R6k6js/73hOcLk7THFuB5q2ewu5Fqvz36h+2osH2TUWm5JCTecs7VAWJBlFNAHIn8iYS7SMU
Hcfn0HOCzerHScq0c9D9n6psiH42RCuxAe78S0zsLTQYwS5BAsE0TZmA8gFSjmPy2nECyfndSUKy
FpVffLIFgM4M2M+M6NQmMzBkCDCFzU9722CCyYdoOY7Km64TXNanqW7ON3n3ue88KfBqwCDH1ImK
0TXwKDFsSjP2OzUmAbGPUHIclEPPCSbn5knyyrn/5PnuJvk81QKRF6oT3dDp8cgLqBYdws3wGuG+
fWKWfYSi32DzOpYpNssTxQY2ARSf+xqnBlucDAwbZvaRYvw+FGOQM2xAvBKMs5cVsXNhzv0P0PI7
WF67TnE5TTfmwS+eRFL4n8s0GljLqgKvn+0+73GhBjANvNsJEctXo+BtOOZDJB2H503XCTwPp8o2
ReHDv2nqv6zhTzCYIUYpw6ubr+GwicYBgGB3swzR5P1Lav8m1T5E1HGIzofhvIxoAtL57UnKtt17
3f8HGU3lzECg9uWXvTSTGBoddnRAngz2pO/4bILTx+k6DtW0/wStW36SaA0LUFT5Z/ITvIWm6bBl
kxx/pWPY1anr8Erny+vsE5w+QtFxhA49J9icn+a7nQ/bovxy70PG+VO3PoFpDW9Dq2DF7TedTXPO
CN5VU+AtKbQHcGJif5is4yhNuk+gerg/STZ62MDW28QtxWdaDhBtwwMQsC99/IDh9i5cICM4NgW2
F8Lumxd1uDPpPkbNb+B5M5IpNqfpnF5s681n7nmCFwnhNUICxvbeYptY2hhrYDHA7hvYFzXiBu1v
Lbq/p+c4Mi/9JqhcnCbHXOZb91O5BcwDhcIRG8o+rjkx4/DILWAdKBM4/p6Q43C89JvAcXlzkgLs
DnbZwtlJ2+3LWv0Ew1qFczVAxcC5JzuDbLJRA87dUIgC703/5u2BD5F0HJs3XSfw3J2mY/qt3Hif
iAxIMFnRIVCw3wIwsQDG1zp1CH3K2sQ4+zs6jsOx6zVB4ttphqD/D+wxyNiAKYYG72X8TBwbHew1
A96yAc9n1z4RYB+h6Dguh54TbO7/+v8jxH5/eNrr+XLmptxY48F0b85P+8+t4+DhtLxJ171SPiro
dvp6+fznV1AnMrDH64F3w5e8U+eT0+ne9NluivLPr3C8HWz7gBfcKZxvB98Fm6K/fmnAtB+a4P1p
pOoQl4OwHWzzhG0fybDxFs7MU+E0Anhn0YB/IFdnDFE7cNTGJshYwJYFWAzj9kMw/17PA7wSUQda
9XU69vdfkiq+En5SFn9+BSGc7p4aKIUtjLCHfogawhKEnaawVwvanzY3YMzCw/j/4V4uwtzImgsl
++6VXFcrlkmzpGUquUIxezMzR35MAfHxH39taH/za5mroLRt4Nec8+5XWzPtXrSmiJhzrSYsT5j6
IMKVe67MxZ2fMvI9tfytO/eXZBZXLBeccm/d3ON1a+pLxFrBG4/1klUKS8DmyVcQj5CKIT43JRYO
VQPcZAUCq+pwOOF7Yjtc4EiNCD7XC+SyNOsLOxkuRqO0ESOSXti16+k8LWXKlOROL/p2KcVdHbEq
U3O7xE1uj6XANUrmtjkxPVnFZkaSnsmVH67GS437YOYQ9JilSWtLbtPaCu4bHgep4GNd4jQaw1qX
mllgGGYISTLuZFk962mcslLKEnu80MJzQpb0dWDBDjGXKRFNbB8JL2K+Ggp7vK+LUtjjbYrqq4Rm
zSx0ZWFrqt9zgVOfK7mU2YdL5Yrc7vRAm7m9uAirKLPHS5w7eJ6q7uJQlWM/jViv45DBJBkmbvPU
RhFK7UpPI5iXKg2tstVd5g8/qeqNvEiylOu9I2wi1WHEtPE6VqAkSe2e1D73ItzxhubOXKnrmSBp
ZpOapLYUePuSMZTG2yJfixLLS7XoMjtWvCJihadn9njJhhJupdRskN8yQ0K57SAjt/WEVNGbe0Ei
w4pa5yGLskWZIXle47C047ws7V5F58gvndlYVfYSihiVFc1yqP+Doqyw3TL8Resgs7ThbqwaL4db
nAXf1SaImJSVgo3DVYdJCEq37fk48hEVmrtrvYj9+TjecZRjyamVBBbhMAmIhuks7oPbwwjlUMr2
w9bLJo8YUqrn1JMKy8mK3KZtCov0MPixhEkULYAdrE6qCltCSmGPJT8T9bwm/ZK2mTszdPV+bIt8
x10WqcJquSCAWiHx1q8y20si+GlDLt0ZrcT97lahSmJ3c3lYCfC6b2qPpXF1yCqSFw0p+Fg/VgHi
lJcGrHnXCGGKMrkVduZEVc+xV0qMFrXOW1fS7dLIVEbUMjQlL/NjplRtYzeNDkU36TLL7xOXtYbf
2j7OW7shOg9F0i8gfpXuFnE90Dwu4LqvrmPVKWdv1msa6LBqR6IKIeiscPLzkRoxkvR6Uf1U2Eaq
AZlDnVMowHGiVxd1B4vGoSAqYgErZ7wdL+3QcLidPBKRNGR50UkmEYAX6mCFunFYRkxNcn2uGWIO
RxHl9tjaD6XJbeJ0MjOMwjdJUKtmESkJUxRHxtbYRcO9bqVR9f3w9WOphNzIoorq3VO5VwDXtV3A
cwLz1RTA+d1wGUtjXZe2IL6T3Cc8rD2HjZU9rlymZkZk7ZrfPFmirVRL8TIYZFbY9Yk9lloSpPn3
sdi5Ce6tsTheMqpuPFAZVuFKNGSHhrF3dqg8fNv4jERjzKKEBuY483Co6n6+NdJgYDv5pvKyZpmB
nu058Ehqu+ogonCcGYumJ6wZh6a7sD7G8Y4XWanDueGi1a6VaD3IO68bpN6u3ZOp5efKg+jaxNIC
Ze10uqUOX7J7dnxqvBdY3n/zeDs2jHW7r3vTJ5GqeN410Qrnsj5XkDRrg4HJjn3NoU5uFNpzOS+f
9UKkpmKU3BuWKW3UxsKRvhnvgqEKDes18nrNHOsaDGt4LB0u07q4BaWiqYo/l2A2YklyYQaGfknv
/eqGwR/tO3Y7tIix3+F+LE1/aqDwUOdWxIMk9Fzp5JrnSP4lQJpZ9aBwFQ9beptGCylB34njq1Yw
aL3x0gxaL+sbpkeS3KbzWkawRN2Shb2QOt77ec1Q2RVmQ/IKBAVcqIpulCDOZ8qghw4XpNdvb8eG
xM+2Q+LK6obfQakIeFIELQ8GNZc0ZYysspErprhVblbD4h8v8qCgD7dv6gatl4dZC/IqGpa97iAr
ITDJSVNgs+oymRdqvwiaLJ7JBlnSqBKzMC8fYTrqJRil60Dzormv6S1LQNOiuAaZXt+SSxKG4e43
a+B2Wx85KCMiNNsw1hltDWH5cCQTy/PQ6tRMXyS+X1pymbnMGfRlHRcNmGxD0cMgmMYLWLUq8zS3
N2knZm3TOYu0fhrnRlWkRCxEkvbLQr6IhhkZZ0kb9F2oF5eB0QdztyhUK27UX1WgZKvKj1jX0k1W
eO6s0d2FERbdwkjMCgvXJu43LwDmLQYLqx3ME0OvYsTr1LnxRZ3NxrphOSgyiRZ5GwDBhdQby0Ze
NxhUSJHphQnG0jWcfnBfgq3bdW5o+81K5Di06yLW5qrrLTPVlW0sKXh36Ul1aahauKjLbkFCQS9S
mjBP7u+y2KlnQRfbdZPe+BgMHIH13FSlhuVOol8HJE+5XLbYRKoa2+NlELa2Ebf7212D39U8jJKQ
e4ET2+NltwLGoq+FYASHTc19rwQlq0sXuqfLHBV9buYeWTdOY3BdDmtW9sWypo17WbYqZmoTgr0s
g92qVfql1kftPEVqDQo1xr+KFsWWPJhq4wWPWtrw97eJUuN5r9F5Ishz2uKrJFJqO6RSbY+lLIhb
hj0vNz0BTBjDCCLgKkDmzb2BQNgFu+rQ8IpdGwXRUat5ND9UjR133xFXNZhkhVYarHCFyotBCWXD
JYqo0vOxWJGgYo5fl6ZOKrCIUGPE0Gl4Kg3B2hgfGkvtoLnG0qFhfG7XpW/95yiQC2us07PMmNOc
zLQ0AUkwXFCfEJi+oQiLHTPcJ7EJNltpj3W6RKA5zdd1h9XlWDU2em5T2WNJSKHL6wzIi6rcZRCf
sfLGocukUq9aRyMzWCmg0mVvGeVOM280N0R8V1dCNJW6uSWnYJmPVWqMJRPypQErh16HhsNtc5mC
hUsYjqy6ZXVjUcmEBYA7ps8xrS+iuRvMSmWFDUulVvOQbCmOzxvTEaAd54Wp3UUX4HbcSJZjyB4z
6/imi5nXzsvAgoLsrDINzHOzy2+KZp37F4OXFJiBa3f1fSVv6lowL5xH1AplywvvSXCJg3lc8Fha
ieBSD+alDDwz1/GK1gWTHODvdRJcZO26atd9wBzDjJ1VKS2pwTX12kWsMUzXX4bxMuwEz9uZA+Oa
aXayppz0oLF5+dS7ZmbFvzKP5+W88rguPeaCqTD+21JfqkHAUXfZ5SwOH+ScKQFzTe+b5rLsJ5YY
CXgt31We5cWMYF6xNmCKzEtppoWMKHMdzbR4WaWW68/CkmXkksYs+JYHVwX6GZ2jWcrWqp1uKAsu
WpYCi3Kf97Ziqzx47NaFGfzqZsqmEKy2hCldqSCJEtY+GvOW06X8jK8Tq1mG35GZ3mcmNduF0TPv
UlnUi5IlzL/SLU1i2hU4nTlDS2rG53iR/vTBsSwvsMvK1AoJi/yZIy2LhmlrpTbTaobBwi5NITHH
/Fkw5TJZqrP+Tus5scJr6cLdds/effpLrLN1C54/z634e6IyDdzsb2ViqhfyXfGdmNty0a+W1aOz
BKr8eT/3ORAMdogtrmylXejztGMdsZBrCQEqy+xVpsyT2NKy72Ww8L2bxrXkzMzzmZYtnBlsv2RR
PI/bnBk61277yCQlR89EXHse7364YiYhS1PMvjPbmBk5b6pFC25twFudBRAcaO3SZUHBe2yluGQo
f8xXa/3agGElS40nt1pr09oyLH+JG1NyHpR+Idx531kgIXtYHN+qWe+svYVxLZvJuTtrH0uDF8/y
2g1YXJihsXB9M23N7jYKTc2Yle2iNKzGWQYFE9oNESzZKOkK9bMfZWwG8nUSLlJx0czQUypZaW9Z
HmjS4T8/Yd1P/VlPYCVyoa5Cnelo5YAp3HDlEhssvM86vlLvaolJKzxLTfGgPnugB4uAF7CS1s6N
i0z9R53wzuHRo1GakjI0khUhi/qxuzPStUwWaA2213X0iLeo5BCZQD+NhEd2vUGwKrM1Fhysn3kS
mik33GUENorGvZZ3lPkYPGUmPyTzsjbdlOn32s/6Or6i37Nlex4jljYsTdbA/lK9pI7Z3NYaix1W
Pbs83xrAPthKNO4Is8XwHv+MkDlQCF8fNeD0c3yu2Mp10vG2tYx40QTM36LzZiM9RVfEEhyctDv5
u/sc3mU+ywQEC7jGSu5chA/Zg1iha4gOuDPPqlZqyrQLsYh81n+PluTivrtRb6WFchVsk4zpLlcy
pproF/zdC81uZ8LKSgaCJv9WzutreUFWaBn6LL+XPbPegHccLguzZcSSviPB9Zljlqwyqzu/YSAL
MQevIOhYHZkZNkuPhyCywYG4rh/jZZ4z2YAhMuIztHZNkKkPBNshc2+FY8LQhRWzumYyeL8Nk5k8
o4vk2vgRmsZ9a2lmvwgf47lqSSn36aVSMFRYBgehabp2UvDG1Ah3mFgDuwUzCNIt3BCCZLAO16XP
MIPQlx03DDhfDub9ReBx2s7UeXv95CzcNXiei2TRA6NGIadX5QItG5A8+YwYrAcJqHBkMNnMbmFO
l+WqZWFoyoInsFLdhQ9jqM0ImQGw9ZXxPUO8a5lweabMHI0psPJlll3oC0flFNbh3IHwzty1Qp7N
gx/Nuci/ge8VSNyFbzRm6gOuuYC1F3NlTU13ma2dWWxr9wRonksML9qQX+ox11dZOksXCugUTkCr
cxfCkQ6vAmvbXYZrY0Ouwm/uuTv3fiaYqxdtFDf8oP5okkHAZ1SRCoiNuI7KBQSPbET0fO4pzgWm
YNiUg6fiCPDXyeAbVU2jML/QKsuX6XctoGBbL4jWyExJ08pUIAJm10OXseQODslYalSlTBa7ooF8
ZAVRvQpJEcz94Zlo9G5+31sJM7BiChmcklINTFFpPCxFsaL6L08kOjhUnlHZ1eslyFFlS0pU22Np
bCiK9FESSIM4Es2Y0eTEdvt+5oWhvCwgckUbCfO+JyApx2KLIPZYqGlm6hopiFV4YHA2mSO4S+vW
9lI9ilmceAHIXYhBBOO9o0OTrkRmF4bdQssNMKdREkMolEKoaCyV3uAUHO5zCDrOfQ+ttJpEZhrl
HZNxnNhouOg+2LZj6VCHjbqZx3l15aDa9DEsfq0DgME9AU83S3BqdgGW5o576cLZizbVI7BBtAQv
Ay8v5tVgS4+XMlQvsk7Cs2aILhwu7uAKHm7lxoNZqtHlGGVrB69tLOUpBZF7qCRa4TPdzz1LHrxA
Ta44Ij1ZjOHgcggJjiVtiAb7oYwWsWdwOGvwNkKKM6MGhKbStg55l4KacKo0W+UI4xlRQB5X923W
NcvGb2aS2hrzQwAJ0aTiXagNzOhXMfOzsrfjHiIxSpmDVDcycNdlsDyr2jdbtVJ2t6jxa07BVDJq
5053C2R7cduAzdbjuzSn2QxyAK0NeYDWNnCrzBWfLtx+QDwn6kPcpdSqo1b0PBjidSRUaqY7NDWp
qMFTGZA7XA51dY26peyskwbHNq5zHUylSnRmR7I7VBQXOng9iu5oi3oIxI0huiELwtW6Bqk3hJNJ
MUSRdsHjQzBZlutHVdVBsEqCMEm0ip105Qp8Xw8ka/azK0MDeASSJjNRKA91QTF4bnBBccAS1FRW
kWvYGsOqI8Dj5XBLS+HDIMExRGCTj/DiwbWXOh2DY5QZKk+7hrKuoxDeyYag8+4yxJDVNIdK18Vm
bHhgkmSlw6UeQ4RujLAGcpDbu3uK2tgakxP79Nc+O7HL4jyJtMt919v/YafX23/diRj+Hf/e0KFy
+LtQhzvYcL/7g1L/8Sk4CmTYNlRMHxqoef0uIGZP3ZAAe3fzb9m43+Tbdn+f6jeNH0vGYUhTvUnj
/Fsu7nCu4yGBt+uzz8UNm3kJ/EkJOG4FcmpweC6ku/a5ONggr2HItkGiVYdQszocNb1PxinacNYH
vDUPJyHCGyljnm6fjFMUyNPBSToGhWqDwlEu/5tknIxlGM/bDBlsboV/FUgKYjhYgcA+o/dJp8zP
ZJLKFVmqEaVciQl4PHGx8nz1PiK6v6xk37UajTwp/UwHGalgbakZ+Q+9zZBVQURn4WrdLdXiH4UR
eabW05wJkSkMS+432NJ0LuLGXyp91Vqy4msQ5otM6p5XqGutQI5rM3DAZawr/cHtgnZuSIHlkcJM
3ZCCra2wTtX7c9OjQTuTYgnsd9ypM1lWQst3FJ6G+CdtuROgYo0SEEZejFpW6oHKYgzSJBP6r7BW
tNvCb3gjE1OuAu8yUp1FVJSOmVRRylOjIyxokTqPZZkBLC3XkIYsvfOuSGLIywj85jB+XOap9y1N
e21FM9qZVdYUrO7JRUxFfxX4ATbDokdmce1pTbmWaNAzpMcQmBFg1YvI7vwwWPoi8K96VeJ+Y6Rc
yEF7qYpLcEzErAzA5jBQjLkMeVpGYqflbiW2iapvHVCG8ywX341OBnXZJMmq6Vdd36scNDfiKKod
doHrolmKyk4NR16Bljov6oxpcgB+ZNDdN7F8G0vg3SSx92D0WWC1ZUhmXSwlAGuZz/rmlxO1l2Xu
XEVB6JgZChGkgTyJ+XWq8TyOIfPmk5XW9BDKRMalbkAapS9SkIlyymqCHxwR+laZoJw7oTNzwGvN
NS2bOWo9izMJLHSjRnPRqOfwB6ZmNHPngUHtWijZLPVAK7RR4DAlb905DsHRRUmmQXjP67irGnep
Ci5iluf53G+E6WppsOib5FGg8AZyFksdDJOcVmDJx0Z/4Ui6zooS9WZv5P6yM4oL2c1sIwgJ1yBQ
afYoecykhZGl7jewn/SkN2U3eQqykldee1OC+0u7YFElMRglavvoUYF4pGHexGB6xwhfNpW77LQU
L0qNfke5Ws2ivIZso4Gfpcz/ZkDuy0jv8ogKGzQejAvrG9IGPwjtfK5VgG6mio1eRxASaMLEdKjk
MF+S9EXsyuex6EIOEUtnhQIzTJ3QkkOt5XpZhazNyA+U+ttezmMwoP0azEYyayRIzRIeR1FqBn1Z
gw8hBUCuu6llV12GzpUUuIMn1H0PFHkhQ8ixk0uzyVSflYVr3OhxvVCkrdp76KZo1afaj8g8TNxF
kBTPjuc1Zhh1HkyofF009DbyasW6FwFNZwlQzSqqeQxFDW8r7SoPFd4IjgvDNyU9S3gWBquaNCVX
AiFMx3sKcVExQsAg0NKSZ7LySAI1sGqnIVwY2gynOddxKMxcdQBUSFo2yY3Qmnqu9bU2ryv/3qsC
M9FIwFpgaE+O7lNEfohI515erlzfZUZaJgxZjWjOYUyiCc+xT28C4LiS0rXqyxdOrgdMVsHHTQzs
s7YG6ztq8rkcKqZEpWUd6ddEMiziNrzLqmDRkgyiNAVmcp/7zEPxk1yDZ9nF8VWml9TqIv/OlTzw
Z+Xm3DUCAcYtlk1I8kDQsg4r3iTNL0npWyZF2Q+1Qt4QTFCkPLCpRB6LyPMuSJ4vnR+Z1sJug9bT
bAg5gh3mVwsfsngMl+ovpwopkyFdvHJvaAqeUOhk0i2RbfibIM9REtBZHATE8uMIWKeMuXCJB2GS
LOQGqpexE9lykpdWa7jfw8H0Ah0Ay5xQykSdq9zv9R9N0t20rQJR3CholqmbsKBxlPOASgmMJi9M
BRaoUrfnrlyqYG4aPpd74Sx0T2AW94nPtBoHIMsg7R377WPTSSEEo8H7lfSfxD/P1fw5VBuXu2EI
Gfw0MUURxbPck/EcUGuNPoJNGMElOC3RrAuDhGlukUOALpAWNHQZLpCxDCAU6QGrsCZ0wcFuJX9d
9h3XQPoswihLWPQsWj3kLvihwqVXsq8J1kcImUYoU55Fes3TqrYkOLlzVTXujVwKySxCCYLrDoS5
VbNOpfMOdb2p+H7E/dbnboo1W48h2NZpRTRvVVgZol3HTnHuUVe2euSBBRvl/qxVgv9h78yaI9W1
bf2LuAEIJPFKk2Rrl3uXXxRl1yoa0Usg4NefAbXOqr33vREnzvt9IcCZTqcTNXOO8c2ZVqqXJXEC
z8OAzi34yW0BeQImg+7rV+E3NjazOUI2UyREGBLNE0VutZZu3Bb4C/lQHdzatX7MTuUe56bFFgvG
Jgl0cz/N3feiYPwaGH03922fzGp+t8bKPs3ju6WR0lTcbuO2saIcaVjU5TmPfEfSsJD3Q5Z5FywG
WJQbQqLCNakvhiFSFCteELbDLNNyGYJkGmYdV8R/5W322iPxSPppsOLSr7PY8RsILqLtDsXCaSjH
uwpfWZeaSmaxoRai3Ez+6ArzUrbD+rryo/ICHo+kyCJXJhMxxyYrxyO6C3gH3fgZxsyRLyO0kbm/
b6a1SvzgnBHVx17DbrRFdj/SAgY3OQ4NDrIrjkhnkJPAVplo/lIE/JD5SK5pkNoeISHvputQFnir
Y4Y7u/ptiO6fQ5hj2WUCu+rkC/xVF7F3Dh/a9K89x/ZCRSDibsUTu9Vi0SRh7gr33MjlSTbuPdV4
jxYWklDywjoWkxdPlh5uFMJPJcXysNT0I+vFijFpTmvhBBc/M/HcBrDZ7SUSAyZya1ep0435TZT0
Wiy1vip/irTdHrtGFLEp+h9LHdele2kEg+TSeb8C0mHkL4c2z9VL3g/nLmux5kKjnE3QxmMR2HD7
8nt3naqbc1FNhsnnz+QmVnJ0ipFCRiMRb/GBFmNwtFfxV6Df6tL3osFvu8g28phrEgmoHCdHGpFY
bPnm348LBp50+g9qyz60DDZoY0HXx2IWl0O3hhqejBxlkboYcEaMA9YW73PARISkM75PVquipepS
OlYQod6ZrT+W1quvtuDfWkRvl6pe1MHMXnbxZfDhlBBlepchAjLyubQsmEzbrj1moj+BMw3OJT5A
JrwpQdopYlKr99Uidpp73Y05c4lnPvcgBA52/ZfbS4XN0E/bSZ2EqX54sm5j1WEnbSREfothsULZ
XHlkNqgTD9qsG8wRUKw5KrzlbSkI1AulYWyu0AZA2FhI9yAqYoYtYabdUzlYGB6jIyKRc2hauZNF
QT+fVuMXSalzHnqtOHG2FlG7roiZ0B/ohChwDCd+mgnuulwsDFHC83CqSRyAErl2ai1i7Ts1jDbp
xpkIjiNAvagm3RQ6JP9RydzArh0O1crvsC/NCWvJEmeMaoxIDNCqEW8uWJl1fJ7mKYiEMvatYonI
S3aYmrKNvcx991nfQUb1Q87V/DvmklYRIxPFR10qjFpxVlbZxR20Sb8ajzWn146w8mQotsDF7iH4
5IgshrwJ0S1vRLxEitgepReLLrFEfh+YCRqphp5X9fbjWnVHLYbHvCBZ5K8Q5Uu1xj1uwqD0aXTI
mxr1cnLKrjuUjagSm0CYcAyLralnsRmD6VhpP0WnWBd6payjeqZBspCsOlHPTiREWsQu6VSWOobD
ON3Yyj7AWXyOIoMb0GSfxTom7iRU6JS8SWcJCbKs5ssyZkG0IOWIanf65aiMAetRbYLyMhouhtHE
g8+DsM1DuIlQU3jz96k15M78MqT7seT00LfkVrsUWnPFyzAfyXvPgbhI7YGMgXhTFQqLGz8gROTn
vg0i7YZqKLuDMh07uTCYkQyNdgy56JH18xxX9VAeCIOlruZnOUEenLseoqz2mmSYOUHW0QcAE2CC
UiYfVYvl3bfKp5WBwym1XsJAIwSv3fJHYdv3DYKVbTfMJINXVAUsnCmk1ubEfnKWJb49OuFkNZgn
Qyy5sU8UEmNb/1xz6O3+1LGQcn5B5mo/Q0oChwRMshkORau+ECt9INJrZgiDbeuNCfqPxb60WTIs
o4IiP8XUzZywdTMRatr2UW75NHRpn0x0ag8Y1qKeOkjSE+ZbsVyzxT6VzkhvI6TTyBjxtVLTHhbs
OSNrSNKUNY2UOlQaTqMjqjYkB5lP7ICGQnW05DmCr0rfex7U+XXiWOIgYsvWukhMwNNA3Pt89P0o
K/Ubz+HAyan8AGsQstLqbmQVkKx7OoW+30yxGs2lxMb4MC7lzYJEepqZxvDg5rs9mo1hXI9DR35V
pHqaeiyl1LnxvEKKGEw0KlvAfdK+z9TBLphOPaGuDe2QxgwEVqhLT9MyXEUhTpa0i5T35DVjXRf2
o2lTWlWwc8zLiiwsZNOFuvfgQLEV2i4okZlG2WAXyaLXOPOtL9KmtkYo26gJaqusu6TFQD54QsSD
pVJZWJ+lcUpQbDAhBRz00CeISZDsOMnI8vzg2gAeEo1kXi/5mVfQwhTYzxBBLfZzB050jkAskpmM
uepraKWSIFvlZYTt9Bdaz97lih1KJw/SVnYzNK3ge+G5b44t9FPArEe7aZH2d8fKCzwAKy+swZ2T
hTCHDCl7syA36R+9Dtl8sIIYYFRQuEPQc+3uhyPdPKKFDA5UIcoq1yYuvdGLqlY+B2y6BkUwHNvR
e7aCvIc7vhyWHOqg/VyW8AzmucFHOrSH3MkvNoDYsK7XMQp4/7osQJKWBYZmVviflvJfurLEbXff
A78u47wcsO8hjCJO7OcOXFNTFrHTtcuhlzSeKnqWMgNqoxYS5r53INIx0dR+18oSUVvY08E1H6bI
20uLpaBoOE/L3H3i8xxVttc9e3U62W6RFJQShAjfbMVZPK0aex5AGRCHSZCpPGrLrybL30re+1fo
PLfVgo+G/XJ2fgXW8JGN4sy1ffCGtU85lJfQVSZxa3jKwhmvYEmWyPIxh3MDnx7vMRxdnoVrhh2F
Y4vK1LdGfhi9VFfXqC5aTXnHbPNzbH65BiRwa0A02TDKhC+nyDfGT2arj2bqNfEqzBSvmh0aOjtJ
nZVTqNo7Ro14EMBScjYPZ+mSIexhfFsjB9IKR8orraS2XMxQzh8rMYgjVPWo1sgqeW8jPV1Gc1xG
CmobHpTnw54eoVGpvDkAaHh2Tc9OgDPeanYA7yAAMWNxaYVzk7V2jxoRDy2dMp6MhX004yAGeXcn
trgkE8ibSNXcHN/yUs0XB+up/dpNwctAMNOofqU9Xw+Eul+mzfCDEmPZ66+GI3IYlc5vFKqW72a3
uqufJxtLVBFAtZhGzM26fJrB+4VNDlkmKqvsqYI9gFxsueke0pCG1IvhZLuPzVq8Q8hXj05ew9xv
zI/VT40quxMj5J2SObrpQD8Va/68gmvFHcUCVnhgDybYRGrEvf59ul+X9U858vZkFXDAe2tNuo0g
3g8OmBqKOZfuVzsX1TuNTrknvrnwbpea2SeRNwFo2dU6iNG+nwob6no9nlTtOSexKfL+wsFt76em
4qmG9pbmToGVTI7HPZkExhIcqmwmUU7V9ACYMlx686shSp5yhw5J5ubfFHNfRzVkcccnWFpI75xp
WkKNFfnLWN9o7o+fpupOfRXQcFJ+c1E4i+yRDpA4zBySQnC8M0D9MGzweWbDF9izE7VWCBb+iBXN
8RN80k3i1ADaHFfeb9M1zAO5JNaTzXIvtG3zjQh2swxFDLnIMS6y7mTrESKQUyCls49E6eVRwAxA
cJJMdqUfLb//wlLUhBmhN4/XZ2mqD2rMXZtZBtADGBqZ3bnsAkj1xRAu07UY7bAFrVoDdq87Xid5
4AK6tj8KsE/4JyYbI4SrcOHuYxVwN9as+47t4eLY+tyX8P7rcl1TfLXxVXTNRj9LLx06J4hZxe+k
pt+Dzn3vgvqx7zoAFyDhxhmejWkvRQtOzaPOmJZ9toRqqmAyVlhW1k7Az4olBq39bQyGm7NMgIRa
5kCfFbAnnA41CHBTFpsc/ap5Qt0DQrKHybdkCrjVgsw6vYN3jxgRWWjqWoKEHk9VUQJuIYehgXPN
fFCbvF9FmlXyAjnhDhV612Wx+oO/oeQmIDqcx3yMd8jR3eyQ/bCDfGR7yn7p50JFFpmbiG8Qn5nr
KXG59dXVlXuma3avMJTS/Ur09Yuq+WcxQTWBN6vitWrGcJ8cdHNJ0dPBxSKjIiCM9NwWkpz12d5o
tCYwUGUMj8ncv5ONSjPrRnftlNpUwd5VHsVKtb0ta15NWqzI/VB9sEIIwc/0tMC6ZybnaZGRNJvk
R+utD0OJkJ9vBPh+qGUG8+nPtYMbZQOePO1vcT8szUa7/p7PwAcgp59aZEaalMGhz+JhY77LHVWf
ZsrAcQ23TLnlCk8fYg6yzf6k+ds+GQmDouVOw9Hb/vf9JZ0s++9X3/42kQUE0ozX46XHH6mspk73
/9hnG+C2fw77dZMHw4G5YB/I+BlM7mXMIZ8Yhbvrj0MqdiLe24j4efUQTiEfA0GFd4RkLDNnL9Cw
HqVOrc3d29/pvorsl+0AwI5vedOwrWr7Wx9I9d5jt8IWA9c3gBM6wtw9wm/Rx0a0CWdYfvPRIGx0
xwethHeY/dKCPlrXWRXOmx9rBUFz6JvgEU5FA/7dO+YdygsQg2FNqIOgO+bl+puRXOrZSglVg4mK
0r7YhfAAQI/IyObcJMEgzdnOdB3qgdEY3igqX/LN493/zpoNyGWqFQzX5tGyzZ71LRK1lnKP1MLX
90UQF5fuuEUY+/orNz81aNSdXvZb2EHy3yzATKKwRGzVJfvZfthHnF1Yv9bN21uaHMPMzSAwcxsl
FP9OC7t0wYLZMRbt0Ou4+8s7Fhzgl0OeKRZ3RTli5BMBaLihYTkSBHpFAsL01G1u59z5f9XZ6J7r
yr/jUAoO9jJOKAvAgbChTXyNKc8YyADS9RxjnswsKoMBupFQGfRurDZwkAuFUB3JVRuNlUjlXBaX
GRtb7GhkPftk3A/dNp73s7ywhqPOQBoNDegbf4NCsx7YxH5Yt6HxNdIRu6wztuScdfBoR/piN6U+
7fdhB5x/3xGoOdy1vqzJRypIi8/eBMsVqd56VZ5WgNnLIc3s9WVG74rYL+r7xeLkZm+HvsgPo+Uu
B6XyV9tHSjfz5e/HnMFK/ZLyE5tb/1oJF2AXqDHeIWGqoUhcKYfSVRU03Z/QmFldXKrD/TGnNldF
xS/jaawZvZV6g1lSW046dE02eWFWD1NKMNHCoWvqu8kDilcF6qighsLqbrFACT+/9T40CH8egYbJ
7b8CUwL16gnaAhTcAUGSu71pe4DH1VnrFNUING75jLTUmnBpeetnsIzYHsl41cy7TKo5yrW+jQGw
Myz9zU0sv9rRya/UVdCQILgBX1vkqRjKIwcQcSg1smdjFm8JMcSBWs29e5uGkcUuh6HgyeqaAzc5
jr0lI3eqDhopFhhU63ufMWRTQJistr5w0XCQV4PogS34D3agSpS/1B/dArXHt6v3EQx94ncYDI7h
X8VQf6tlC9VBTWU69oix7WvBwb3ltLg6vttdxgCksrt0fkwdVSI9yTP4mvC8I9sl9eXPgc0usCK+
OnEjru7E6CHnwQOEWxvM0tJXlxo1YO24asQg2RSNBbY6WPixv7jumSvLRSiEM690Ews9No+2XdUX
svLq94FxiJyBj+BsZH/NCyvi3K+TImgB8i0b5e2B8t7P+u1yP/vzQK469zyLxo0kHNNof8DOPUR/
nV/Hf563v8r+ZM8pXhX09UNvW/Q8eS49u20J2nM/RX2ndVy8PK4s35wHoOvbE/4cBtOy35fNAPS0
9WsZORNBiDazc6O1HfJ120mgk58zYfPzbLvyYGr7OIglrhARLgqD0/RgcqdBf0Jc8fACjoxqkwZG
5JduwYwJOpJgK8B9wfKYEetsY+M8dVhVzVafVFteBVHeUGA40lycBRVnpZljVSOYdIQ5eah3BR0r
24OPVSBE89MvP7cxvdVboau/oK5ELdXvpAXoRLg+jK16LiRyXMmDNyM5OEbShfgcj5Bbx7tG5D+r
zhPhzKo8IqaD9QboGTT+rmGeiQTWaG7lYqBjQEmb6MBjy62+ZrvvE4KPrBrUFxoYDiHXSTCT5zJ4
9xYI44UPtFd7ywu2bDdkgXajxUDpaocnxmF8cVpCOdHIs2tWh62X9nnxnNvVGkHM8COkR8nc1m+V
QqUmcaE8khGbLFY8H2UPYLDwKfiQ25ryG2owz6LKN4ctf57qj6KeONa1e7JYQPft+r51LeC9tXgR
epvsbWJ7VYJ1sDs5zQx1qEewADTVKQGADazp7jhkbWegmPViOnO3AqmHuGCL+gnpfjGrg/nFjrQv
v5HF82OXYStdK/2JncEcuHtfWcB9rPLb3M6pKfP3HrWcYVA9axinGFiYMTQcTPM8MJEDpQekvrYY
AVgp0yCYaYjUoY+IKO9XvNgEdbGZB3xGukhV10IxrvJwSGzlXRgWxcwP0f++CdduuaulC2P/Weli
iCfifluxAGIGi2RAghu5PWAZe7VvvRDftQOZsuiTtq9PM5/x+RQ/OjgBrAbc0/R3VQs3x/pmud1Z
wCehQfXQA9McK2fj3+9QxRE6BTvlc/BzYs1dL0pYClPxA+BGMo/J2KFkgRYPgnMZSUWSoG2yqHPI
xQJVbC1ZWOcoJh5jqBHxyKfUgeTXliBagy7B1yhdIQS2SFWBq4opHU13noidwIW4Qj733Pmu+mW5
07FQuKv+8DV36403VSxNdlFu9goM6cmhV8H8nwO5kzXgVuh/T7OBuAYD+dTPQXlZLPDW6PfjhetE
nAtmu3PZz/bDSDL3snCspXVefnSrA0iTIbiU3pofACG8uT5Y1ZJWDZT+PIezngNgxhIAz6HHHB/t
lKvyYeyPO6M3bxWFO7j3m+bbr5Via1y0iLqNi6ILOY+Ag6EwjsbrkcNh5TWZJN9zhB1hpRcXqRB8
uC3PhFaBm7kXPA9bTY6bG8hS3VJidqohKTJ2N1plXBBUgezlxGiSLGEKNRyCwn9jeoyxB1Wvw6HT
kI7DvUR54aRbIzV/0tUuowpg4u9aYaBjRy7Ykuad2HCCNqw8gVLRvZB2vi9VXZ2huHbnneia9wit
ticd1ZCao7ovgZ4UTVSWmCtN7i7Auxxshw3msNwqRS1q48bDoEPBpR9NzVqHWIKDaMp940IHK4rQ
AKWEo0sNKjNxqJHynO2PHW9DSfATb/CfNNa25e1PGmoYBjltonxDw/ZS3X8pTp7LTpzmIXFkJRLF
szfXaPw7dTGARvyDrI34aCJvBJVhVYyMlzlDsOeONaT4LUIlCiXPk9cin/lz3aAcxTaZToO9EvjP
n98ZNRh7cLqxtmxF0LX0eER74L3/URu8X1pue20x9REfBfMZoQo7zixPRLV+J57SyFybV39yigv2
AgcSHEQmUKww6VoiwmYc321VQBKeNrMQNWB0BM0KKXA8Z4ys4VL4MIGog91oO2QrJmxmzWkDbRhF
hTj4OUu4sMqj3v9DtbZNXCHkgRJQokYjsyBjOWVxKDryAvS2c5K5mgFHs3aIu8HGOj1OFgYAYm3k
Xkg3CpolSmFFxSl+WKHU6Gx08PT/Yb29Acf/0DnDRddMtDL5p+nC/0Xrfft/fLPn1pTi71/8G9lj
4PICFzoY99Bw6zeX9zeyh5aP6KaOfo/u9uUpW6uGf5A9z/0/+/epII4mv6m9f/pnoH8XQ+RJmbN9
jwG+fs373yB76COFdiD/iuzhew7xFW34zncb5CCaf+H1/q2pRVUTtdadvRznqnsypVkTAbXRW1Ci
JPKoUygbySznvqlQJeLa1KBXgKcONbcj1VQ+kCdWPXYuVmuIbqs2Xhqsekho4WVJTbMxZLMNeKOa
5mvL1IMJUKNWW7qL53weYp576IlRT5QDeodeWYMWrkmWJRmZH2czt6iyeWtEVsYC6ggim2V7LZkf
OLHu3CrXZ++uB4D3rf0sh6k4DbKFw6KwCZkgR8lOBo+topCOGq+MVS+72IOemS7MayIls7eAYAtG
EAtOPUA9xmBoeYEW+1LmjwWc6HQJpjTX5XTMXPY9hxGdOhrWs8p+GUVTRRyR5EsfVQBWrl4LH0S6
M+ZxVZ0rJDgwG0yRAuK3o54SdVBzAYqvEX2IpoluVJWevfm8S7zmEmKkNcsTc4dPshS/csH7uCXW
C2VTn6ylPYXjUgQo4+Cnesqh+VP3xkQlwqDkAAE9dZPkZmaYSNLLTg2ih4hAgYoEXed49Bic4c3s
YMHYn1bXNskQyOIONJwI0ZTj3NLpVmSevjj0U+VKovTKuxGLAJMAbhbNpRqToetkOlRGRjbt3XgC
CnMgyk08KqaILWDdlg4CZKAn1KHZHmzqxocGUhZvaOgYoPRuQfyUlX1YdLmK2xWVDytTKOTqLtNg
1mPQ8WM+Ibj2JaBp/SWc9scwI/2bV3o/Bqy+RyyDbht0wYZhj4AblL6tVWWdqjYD+NiyIyty9y5w
STi33nfm1PpeZN117oLuYk11vDWmOaL/QxWblacEpdPPYsw7WDllVEoTgIGEnWHkcKoyziIxipc5
MHVEW8ZQWZlDLalIeGjAJIYW/HK4jch/edaj1op6E7xsd0YDAhSKcGZ8ROE/hwrIWSE6WEMKcRmr
D35j/dWjyiKS8+qGAwqV6iwjj5ofcmOxU7lOUOTK8dqoTIXCzN3BppVzxa/0EXh8FChtJSPM0iPc
6uzbOGVrYmZ3PK3dNMTlxD50nsujPcPjqrptj+g1YmJtv6OTRIcCQZBK2DZvNut/mkbgV2b1FNAW
VS1KfNSWudY25NncwYhrCkjSGZoJ1Axwg6SJjS7DMWK792ConsCnKmCOoJkgvZ8GyNrxUHUqbRd6
a38UK0XV0eaRLe7TUtj1MWvMQ2Dxg+30x5G6bqyQ26ToxPGcGesvXgSIXtBeB3nYZte7Kevl00Jz
1ENqWyHcbX7VA3IDxdAKYBUE40XYgGLhz2bD1efAvPjgEIhQWLeWRiE5t8kDPuXPojTntikQ+mNB
SiqXffasTds66O/R/Pp5cIarGjwSozFsiTK5Wl+0fAnkgHpkIKvdyuAvr/WDhDE2/ZTILcN1HnW8
UDT0KWwLlZu6T4Bcz9C+YMas61q+i96B+ubzqI3yZu0OY4MwZXKh2lPvIjiKS2s9O+EspYmX3vsk
tFrPTp+jedHUp4ahR4hAVHrw3eC5oTYEC1b4h0Y67GB7hUE+F46yx1zqHUA6RTZGazUd7NZ/GEg2
3XVzXh9dH4uR47HUrMVR9XmYLemMiq/mpXJVcGrrPu2Cixz7NB8AINlYH/wgxTd+ughxEEuLsk5q
3r/73KCzQEX6FN2bwt5Gf4gKaZtexuIwTkt+NGQFQ+D4w3Gc5etUTKiuUwVIqKY0CTCZpW/Q8kT7
6nX1sNAZ/aw377A0PDs6K5aLtc4vyM1ERAmUM9d7YJN7MK1Zoi5DCN+Wy0tXERNuSuvj+1oRDkZx
XJOVn5ZJIxhifjTbMmazLKKF2CgYs8+krFBNGKAXFIGXIMu7ddEo90MEf5O0oKBhvtDvxAqDEYzM
UqOorWZfVuAf3aYWqeXWGL9o0ZAojZy+lxvYbBBai3hFJuTVziM4+D4cgRAmA3wOSlcE4m3xuWq0
KxmL5k0nunARy7ImtjPYhsQZYi0g9oFrHO1Pe0LKqEmeWuvGqIP9zVruhYEYT1YOXMAvYY+CqSUZ
+dXT5lX6WDDA0DmAmlGX6+jy4HAB09W3FYyoCliWfHTbBUNBu+BzBvJE3OLme7Bmlr4f0VgC8xiB
CLxh6qGkE3aZImW8jsvBX1BYTKAF9RpGDeSatl0IYKM7PYmHfhAHr3aRRgcYRB1N28D53ucVsCy1
5IcM5CxqrqeTts1yBnGpEx+EC/y8J7t1kLQwdz342prDGbjoijKEA+kYtuLKg/Ubc5xHRYPPOKNt
2m+10VRkD4Oznho3T7y8e5ir9dSWGHILGPsoF8XHhH4DtwxKaQkwCMnW2ERDBcmhhyidBeSuDpqj
pSREBvTUDFeAAtiXuEGJmfniU4+eMDx1S/EjW9hLsATogNXDSfTrGYXywAf65UtaPIuRyqFFCLwZ
MJexzuSXCdhppABFev8NkCL0ohr9LIZXxa3USP3N8cxbNsHbKXt1b5X4LpVZRA4LLpqW9wJvUDco
KvTGG+rthxD8/K3PJD0VFTZZNukEbX+8aISSgb1tSbToO4iTWCSRXxXTyR/6IIQvSEO+qM855HWR
YyOi+dkd+NXpeoQjXnYY3TK71prct9P0Kpd6CouZ3zKNwaUJaihEDlR+brzILt1T1rZvEFpBEmJ1
i+DYpYWjXoJgAGO+yJ/u3PPDbJH7rple1hLF6KUjHUiRMNNn5l4yDcU5cxKeZ1YIvxD3fUS80m9V
c9VjU+QvTd//tCZ6kHUzx4GgaRaMQ1jxZ/Qtg5JTs1TYSwKGAMXqOUafJwEAofwcsVVHUKFa++Cp
Rop8UpRwDXjzknHbkCN2dlRqG1Rt7Qej/Tocq7pNpNTYcI1FMTf76iQytCSD/v2vh/1ndBYQL7cH
MAAQctIJ1PJW0FX9c9h9tcHGlLWyw+6A7O1Yit2J3K8xOavTBBKo7qFC7m1FAJRX0GyQfYuiXU5l
91RLQCVTMYD0c2d9Vln390FuSdt+uT/gdwZa4faPWNpFbr87WsFmcO39MxbdnJTnoFh1s875dtjP
9sP+DDX2X36JEPvPj/az/TV+v+afl3M6gV2yW2R3KvvPtaTk3E5PWQGakKIJR9pZ8i7PGp9EtSi8
8/4Eti52WnBxYr4XSIjueG98bXD6+09s12KEVzpjz0KtMTSe3YIbYFhgiP3jxu2P/Hn4z+X+iv/x
PFGouFZkOP7Hz/9ccrHLIXBG2xYLeZ5bKwBXlLwN22F3vTpq2Brt1yiheq0AEiV7W50/t3X3taq9
4dx+m6t5gOC+Pw56/rXe1A2oh/iZzbJ2o4/jP7+8n/3HCw6Q28HR5aCx/91W++NP7w8UCjL8gJrQ
cH8L+0v9drv3F/x9mgn65sqWJrshtTfb2c/kbh5Wut42k/Hnbk2ieMqJVwPVr6QNW6Jla9tC2+qU
wcXwgaSRAhL8dtsycMXy7/P9sy8pVvMWllxs//GNd09tt3v/+GxG32RX2yd3hT0T7pb379PdXat4
lvpwa/BvgYf7x65mrMRd6LYZ1fh6iXmBpMbp4FRCI0EPpK0sd9nUvf1yP9vbh3loR4cS7u2RYCol
MlGdoDMNPZKu/W5BFLygcAXcMn6ySDV8w48jZXXDs++cmwFLiauXD9XDNlzW+dFRV28Z5CMvwH0O
4h2WdwWX1RRJj1AavTF6yHhMlEkBSaUBTwURyD/8F3tnsl03rnTpV6kXYC32zVQ6nXQ66ciyZU24
3CX7vufT1wccpyjr5n+zal4TLEQApGSLJICIvXdAInrMgUzfWkEeb8MCOHXRGYn4XnKYs6NpXcxi
56GTNDYtkqphxwaNhGZMws3+oWtavOvBHhlJQsZxdox7K1ZPFVHglRcZsLZrL77TRnYRQYJqCJBQ
4PNNsh9IqIJn8bOTrheskDZKVy3KXjelYSf3hBFhrATlWbXGFfXASaSP/ddez6ONWabtKgyAmsSp
bqxAbCT39pD/xRv+yWShv6s9zmWKEoW7jnwTBImO7MuwCtHifGgblQ+YbUNLUibz6JHtAC9MXDro
o5NusCPUagC7Q2gXMLnQV7qZY46apciMZ+KrPIhnbuoFoVZ2F+eHOXLUE6TqZV7R2F9rwFW3teEd
5Vha2aSSZBf0ZbcpRv1BcuBnQYmXvHhpXhuOJbdkH1nnO6AUMccZciFzZd+R37HLkefe67wVeEyw
F733MKqzkKPkRs0AdEP2aiHAk9SoYtrjwzLm53kFPD8ZbqSvEkd8dbL38sJOXL3cYjHzxgJyOEXZ
qol0lrLED9PdRNI9ERpaZSogBrK7NCB+G2R0hjvU0goeqNxYyTi3jIBPKVIRHEG1q28ZkD3ZXEPj
4JPLbZc7AAt4d2QTJNM3vYlVPiR/u8qmJMHGPu+mFP9f8v+F2DmyDcAWSgnbMm3zkCoQ7ST9Xf4d
bDcSeC7xxw6ywpvIztG9kuINJBMM0Ga1SmpTNpPIsethiIpQPbu3vef4q04kE2ohUzXEpb5z2TgB
Av6tQyh7klX+wYfWsHurD7qXrgrTXwVCxisXy683CG5/ndT7yrGjeO3Pj0UGHkWZ7ZsyYhM5TEfJ
lNYlFkh8k/ssm7YEe3eBiO6bdjltrV7fcXAN1jWvxg2HHBHEFr/VLD+Ii3hiPZg6QWI1XMmfPtqQ
SYvSOEnx0ThVmjsXYZMYBaWhm7ZliQynLxZI3Y5QsXDdR0PctRGLYh0nQbuXNmFfOOyN78XreAyi
FG1JZFKdYJ7uzbQe79zk16KZGreeme06kYVQM6Vu9kE8FVtPTe+XzATB7ZhcHP/dmnjY5MVytJP4
FpBIrACxbLuknlZhxrP1bpa4+fIT5c+Sl/+PvquQ63IH2ZPXLb7FXG6z/HqLL654WX2IGjeNE3/2
pUSsHJWTnWxgDbv+7ss1YeqGuxkt0MV1naLoZJ1tCzqmTKnNAoFS9oG9KevkLEU9C1LrAJcthHkF
hksRopgEr8JiZwr0iHQW8/g8tPD2zTi2YY0G16ROERToVdaGBqRVPDKLHgKnzN+P9Oi4p9qP9E09
xyVUwsfYIJ2CGkQPhInlf5idYoUyF0ipvFBQxxLr8DsZT/lLqHX/BMg737juBL7YyIAEARAi2eqs
XLcElZNpEfkG0sOANY2siu5Cs46dW2Xw47tM7ECjSXvQ0lay7DgUCJCRvAer+IwowWy121pL+S6F
oJva7C8kw6qrmvL/VwG4JhZ+FF3e1tPlVxAthSJkfsAkwv4/pxWe86j99fN/PbXf2l/N36L5b9f9
zirY9v/2HOTRoET/qQOgUYsdzK3jEarSPd2zUYX+LQPgaBT+MOGWUF1X01EOICAlBLk1l9IT6DZT
91B3SFzqzv9LQsHQRL5gkeQ24WuQZPCowaM7FFN2kRT4M5+gxXWuDYn1qzKKI4xE43msUn1VhrO3
1XpbfyYdC4N1rr2tHFVdRbuO6nVuXEfTNPk9+k/XylvJyf90reZ9iwL4ZUGPWols3DTlGL3Y3jhV
e0c0H3xxMMOSuDqV5mDn6GUF5lwfliYtvfdmZAo1uIQsiGd8CVjGD2BagltFmNWU84YPobOFk2J+
0Z32Z5K3wxmFZCE4uC4cqDgIBk6v6Nnc5q3mfekD9I+8uCVMpTpo06X+7O+nqfL3smdDxYe9F9gc
n8WItBNfM+77ntTDhHKZ6fjAnmsjDlbuMGv7MdWcaiPEIfbSDu3urBS++r1Mong3xWZ+YHNUHEhX
FIfQB3cHUNW8/TAgTdmwchWHpEyUBsQd3XLnBUNykGPpOCrrIBzjdRBMPXxViGRxU/eboPRdaBz0
5hGFNnadxarUtsieNJ89tVIeWggX20SBYTOWfXHqReODyzn5TjXdWGU+3LTtEHQEBzI7W5VV4G2N
VmjGtfMpKBXzSSuiRnCwgk091tZTGJTwpcvmucoyDjIhYpGXJImb+5EUiG01l05gr/l39EIeNLr6
5IB4V9hlxsGdNO1ZDy7/7SJ5o9SC614Xxd0wAhZis9BN+8FN3jfSV8JBfDcgfexEnn//zV3jNJFr
MrUhPddGFD75vmJtQQlrnFvt8IloG3SqoRmRahtaQmVC/lDTkWhwBpiuWhWdrDG217k7FxcdNtct
6OrwS5Ii2zaMXr8v8wpgCDqahF6b+LPspW+9ZlCiq2/pUf1R38VpaKO5S9BRc3Jr65EIA+Ej7CHv
rW2QecGu16YOhgnLhNIM4ROBWLS76r7aBaPqXsqmh4mmZPHPcERNrQqz19aftFVoKgQoW+R3AkMQ
/NrJ38C3QW+j9OF2Afm1bnjoYXOlenEKp7A4qSBGT5NoKnIsMLvrciMHarQdWHvFiBK2EBCr8geY
XgA66aseZwPJTK9ShBL3a573PewXZ1buja545fXkH/Rm1rlZPzbznWbM2Z6lEDk2MzG1fZwLInKL
FvPaGFAgk87reNxo3+0yC3dOBkezCBX7lmx97G6hUCmwWY8J7OBTNnq3LsCo+XOfsk9VqyhwSVoE
gE80i3QNIk/Tgzdb47XJzRVXRO89wQjoq6rnrW8ylZ3i7Wjq7F+dIHos/AKFtqnOfkRDsBvjbvxi
NfXJyattIr4WsuGr5yNAx3dEmpn8mCw2f8CzL9j2Tq3Fh7ZHUTOsTUdkRuYXkHoHu9FtZP3mJ3O2
oi+Z6w1r1fKJc851dozIr12nAjk5xGZWfHm3FD5cV5H35R6IzX5YXaCy6sQFSajbNguW+iFb7WhZ
1IV26P4igp/eRRK1roudmdyptYk4W8nuR/vj1Hf2f3Q/XttMc3KrtKO5No1Zfe6q4FJZ03jmaBE/
F+RYsyZDN3Dy16n4M8tGsxFz8ZUsOeRpe/VnehEidSWmuOKKUan9tZy3XPZ2xeK39BnlGnnFv/+M
KkfiPR/yp8klV9ZAJ32M9BoyoB3GwLPa8luQ9PewaYLPmadQmsL1s03AQftbv28j6PVNVjSbNirc
HXn25rOC2nkGU3GY26cxmPMHxW6tSxZ2RyLn3QtxJXbatm2uNbREXnL0YW+yugnPmdUEuzpwtFut
1oT45RS+wpDliKiq46FHDYWgaPXgCH/jjshJZLN/V0VW/mXu1Fvp7zyIxVNLJtDPkvBVa8/DNDov
/pQrxFFqE6ACbnDOd21cRs+B55K4M+dk5Q9B9Gro8epfnj4XRMYfexuP+id88UyIUexweBT/3NvM
seE2tmpHP4mBQ3S4ZemK1WR+NdUZutaks2cofePSzS5LeTG9qoJkpARtc5ibybgQIv8y8cJugOPF
qyn1k0NNruqQcfy49qQP7fcHgOXB7oNfzh07e4TaI65dhtETe6iNmv/xf7id9Kmo0pRh90jYtgBS
2A0Htc2sQ1K78Tor5uBF5Ccc8XJbvvVQQXz+Iqfqofl7aj/r76YWTur8LBQ0K8tM+2L7U7HWSi2E
XN4iDnKjmMpc5g9uhxysjvRjbELjET01NVHbCDqo9LL35+jHecqI7EVScMWf8wq30Uh5EFR3c089
KNP8vvFKZPUMu7774F/mJn6pHqRpW8WhHTMfwchpAkj7D7eTPqvIz/qQjjt5qbyx9H+8LPPUi5Lo
0NyLZOPP6fSJxTO+BcxTv9gTaYKILNR34v/HOQlQXovR4Y0iBfZ3Bvm5tbz6okUZoE4rf9biMT7r
oao/v1mzFxjPUVQ9632GHrGwxJi0dFaqZeb/1XWz+Alvd1l+XsBPkNbb2PLzxNhivf1mVp46dwho
AITVovDoloF5O1p6AYvBDI7SJ3tLk8iBIEVCCXHK67x/mhyOvr/772+y8yfoyeTsRFkcl/OJrVEJ
kUPPny/yCDNED2tD+Qk356mda/fRdeL42CQgWeQbzZbgR5cb7iNbn+hYvfld/NBQfvv7GSGwotIn
sYX4MTqR926+9BuB8yP1v0W1d/HadO5uRGGHg//2mF17wqfOTbWOIxKzCIyrTBQPtRyWjXzaZE9O
ZHWEuGeY3FE6rzd3NR/kNopLK6VgU1ylSXmT916+r8SmOCuEpIWKmoI01dxNH1vS0tICGmk9Qb0r
yRVmEP2sV9jCt64/Wfu0apvzoAt96ijJflRWeBv79viasU0G0vj3DNv66VtEs1xbUE0Togo2m6zF
Lo1/2Q1Yf9Zjkn9FcdjVRZEVzzU+/hVLdEQcvkHuT8o3QLsFgVDpa3kwLLRt2unKJ2kkyW6wSuVT
iVzPUzR96zNn7zdxcLTtml3hmwmchF8YXaLrqBc59aMXTORBlJ01V/rBMNNg1xDGO1iiZwif7Enf
MlqUvgK6/O95soeuzEWDnHsYHI8zCKjrDVmG5pzMwe9GDhSdN3Io/Nsnp8wssgDPGSitdLRuanEd
+nu/byNny4leMnnXKA3iiJQU+4cdl/2fb4rD4RDMh2daAD+cDzWvAquPFHUMjZ9WDoyoiSLtQHTr
d2M3EU+qtNvWZHdIRhZpqeZ+cVVgwJD0RtxrhsVwUqLEPCVo3MZG2BzNqTNPumikP4rhEniTZt5+
GJCjo0f2vIbU3nae0t4Vc+SkJ7XoAWbr2Us1RtqdVVjNuRm75myInvAXpj3trnOT2EzOZpegHNbr
z7NeeA+OE+3roTSejWRyH8RYBZ9zGWuEZZrDJ0DJpHd0pUKYvIz3shcP0+9e+tZbRpdeMDjxPgFJ
vv3vXzHtQ0Ey8QK4jmubtuVShZLq4h9qfIVO6KfxpCJ91eYzcrhO6SF5NSnH1K0eSoVSGtK6uhxN
CAjlpHgCA0n69GqL2XI8TqLpfnDquyl3laORhVYP/LF4dxs5IOcCPgQOUQztjV/WQOeKWflq6Qiq
lTXKQgRIJvJTYNuMh1HPq9fBJ2mWApp7UsN5XBPZ9I9VqcZ3gNhRhbFD45iwaK61Ia6fjCyPybmG
wau4Y5g4cIDqg+kHpOuMsN6aClWb2qHKflCQcFuNw/QS9Zm/RlhpuNdS23+QM9LaHk5pHBNDlY+r
eDxH8NqUoxLP7FBNJVCYIN10byPLxELvUmA3QsdtMJpHD7BVWo3hE5TK8ElHn3AVeS5KIcL3NqMd
q2Sljf6lEudHdO/yje6jvNQIU/qiFPxf5bH3c+SJM3izc05qj3Ki9CleDCxHi5tHObDcK5MH1xzy
kNYogF+rEHFwNz91wch5WPQcPStOQtxwr1XB+oNfzpCD4ko5dbnIElfW4sq328oZ0i+n6dF4va10
fbj8z9s2XvEva7b7H197UM+mi7ipDTRbt4wPa3ZrRyoyTbn/I5nylaY5aK91c8UJXeWYbmtutpdm
ZQGJsmBJgzAlen8jhz9MjN0Q5td1upxE/u/3jZbp8pbSlLd0S+tMFjXbRHE7nSLTAPTcUtXrVO6l
Zx6M6ZRIt1PG/iYY0A5NWdT1m2WcqC2IaCeFxa9F0+k6/PsulOvrb+o6s9ZFAKnX7VoiJl190GJo
RWQc6cqmUVJ/nwVraajU+jm8m7xMm8RIqLreXknXUVlyO+m6dv0uYgGCa7/xm7Q4Nnk+beB2kmci
9naUPtlYRBagV4g57uAcwInXd3bYhr99y8TQa3/fQfq8Eqm1f/ncmR8O/45qeaisyfM/XyjD/fC5
Cyi0YyHCqHxPGpQxiV0YN0oNTloDZbWSa8Sylri9N57cV+mI8pKpck2ZMtS3kplEtZwvfbI3R/N4
6n/wJRF3FavU9V5/3v/6Q6PY+cvhIUjGrHmkAk7z2DuXUDWrh+ueQWwcOIIvHujwyUMZH8xOvx35
uzxSC8168pQ+WDUmdD3UuKynfAZ8DrC6upGjozZaT+ICmEHN9QIirlyAXmraNPlW7m0UD5kJ3pli
J80gq7qVnmrFThXBdEoE/R6VkfdlVEbe5agqJn+4VkvU/Bml3QxM8fgXtdiyh1AN82ujBP3PGaVc
Mum45GDnpv1drNd/ZVqTP6Qq2NEREDb/kqzIu01sBKte7BzjvkFKXJ+sczWp3d5ByH1tNX7w2jgK
pWJC42WeSecGVbH1kXFA76sOkT8ywictQWo0aJWzdI3RWLCRLcPVYMWscd2gI2HY5ZtQQebH0grv
XMHIODuiR4lHRO6oGXS3DIyJZx6RM6EID9MWv7xJ1+b9uwFihfMNVcvYbMDhn4GqV0Q3EnZzFLh8
gB37o52c8WXqCzRkNGsCXlBOL35XnO3OHS5JGP7Lh9D5s7KnYGkYFFVVTUtzSNsYH0WWO6ru1Go1
j9/Hmki/epOPCnKW5mgd2ac9won0Acm35l9GH3p7QR14Imzb7BKSpbfSlE1ffrJRoLtIQ494bhCe
9jfSRJIIdGVsPUqr8/P+qY/8v9DA7PZ6r0DqrErzGudCfQMQ3qDsZQzrGqtKXS9EnV6UbXibZ8go
lgd9ElmClUJFD7EJyzx2ygmsgZXcdxV/mgAzMyFesiHtZR2NtHiSwX3ZlEn2EPR1eZIWZerGdWog
qXbNBsS1vcwvtMm47dmgwhUdjZXsZfbofqpQyRpEnEb6zSkx773Wdz8hF/TRbwwq26E4ooiLpgb+
v+3kLJEVY8tIuVuR25PMG8e0DRXGs2mYxDf/PJC6lQ7es7GL7w1KeVDI/fquzbpTjEQr8J48HI8B
GppH2SuSvLmz6+bEea6x7uVkYWakd2HgGpdUTZ2jV0TZrvS8kNz9kB2deLbXTp6NT6ws3k0dRdk3
JxtBf5cNG6zUvXH6RP/pTJNQn6dmDjHBo5CyI8JFmtnkeLyqZhVNVzud8occ4IfnzNsu83WoqnoS
/QJx1K7yKcxuZ7H0LI0dRs3BFc3i63PIoxpKk47uaWuP7V17KXr7DkLCjgy18cWIw2I1laaFlLhi
fEEV+eDrXnnp0mm4IBew5xOYfC6ds+PM1NUQjezJxp3rCZHGvt0XTartpK/2ejJEegD+Rx6bSTx9
gq0A0PvtoC3P5ospD9by3P02V7rkDFsp1whRtxQRDab90iCrNu2zNNtlQjHKMIIS5MLblKuNWBCE
Wn++s+LBPKNCt0IYujoawpKullVnr7bjUVp8Y377+0KNNlOsolPw5pNTyOG8at0EXogYb/09NiB3
Du1o3xm5zfGrnIKvmZFTMQWU2h7gWv5Fq+Orv/D94m4KY4ruEpH6ahRUjMhgJJ/NLLcfNbN9toXf
IkCygTnpb3MULkkiTSHodL8atWnfj4P9lKP79twWGxl4MhtNGjJ+ZIZuKEakkYppAfplIq4lpyHr
TV3g8Fpk4H88uBoqKe0PrxTfRgemnKuzc7Bt8cq9q9Y8GkNeevlsfM9C3hfHVN2DbBSXgsXVlLY3
i88M24kyNwTCr3NyRPIOvHnW21Vy7gdTzrfUCWHgjH+SU7VPAE+n+7j3CIyKZrKQSzLZiSwuO2pU
4Ph6vqv0wrxOCwHybWxE2m6lzxgSdOEqr9qoHnr05dggnzpW3if0ckVFqZKMrjDL2ax3CVIYHDsw
Y6QM91pRtmheYHaupZ3hYR2llYRz8SmwrhdKT4Y6rh/HzkPgRT9iNcv3GdpHu84ckTUTZ5ZJHEA+
+FThS/6ct/gU4CrU8hG5tg/XdYY77SEfQ51Rgq9dkiWfm75HA0oPWVKmwD9CkaZgj5WoX9U5uFMR
avz559TEYfUxxVSr6imyMo7D1q1DeDJFH54o6BGeKtRVDioi2KhchCfbqqj6JEelPbjjicOeeafU
YH1upM/rrfBUKwlK4uEkqn6+XVcBFqL6GziAKgzTszG3r7PjqZ9jm22amREck2ZdQnl0kjBfS7PR
U8C+7uBvr5NTuEh62td7aVIN5gVsUXe2g1r7HCYIORnWrw5eIfg+w3qarCo6lrb2Ilcx6SI3t+d8
G52dwnMOQWJeTNRzNSTMOexp2UxZK41Y0nJSW45lclRHKhwSEUe7ZUDx1eJuRLz83pt9vj4tKpT3
VWQiQEDR9JiqW2Qjm70hmiArGxKG9OYCQZ+mFBUd/nbJnpwmZ0hTNmrrNHvfB6pO1j0C1QzpUqfs
AJXVoujFhlxyE83TfERiwP/sTWekn6IX1bf8/Qy+8laaupeZlPlRsztpFm2+73PNv8R1/NVv7G+J
Bg8wsP3xHnhW9tyG6b5O++lV+iPh1031H/0O3577CNl0VJ1Ih462R/0HYcqcqMyGyoElbbr4UHDZ
lbN6pzQqOshqWGxY/GADCnNpvDfTV0HzW5UJjUT4AmIfQuOGbl3p8XGO7vyyQgjdo9x2MKLCaiDL
dxw5hiOsOlRfCRwgxBXa/r4nMvlcdqD4xqj6aibIDMZ62m6g4ZVfK908RqzsT64ZetfLKQn5H5dn
nbKSfrZK5tqK4kNUuco7+INRlPFNnIFNlvAHdgLauUHURlpTDvXOmtklul2QnJ3uORp9hxIzYpsQ
kmxcjSgurfuYBJb0WbZGBgOGTVf8MS23XpKBkw8iC4r3aE6XmeAeorxerqwQdYw2aIKFT6pX+WKw
EtgHv7fP/3KetETE4P2mS+cID0TKVjXDstH3/RDbdKhVUfV5X76WSD/fIhlt7+Fk5dRVpIITFQpl
3/Yta987pXqrh5Qzs+TQdYIcuja1VW7jAdQfyc9q2wPguwaiS2G6PJtreeQCnFxuUfFK1/JAhk7t
79G4z4pH9Eo2Er8g8Qyy1zXdc+100d3iX6AQw9+Dcr7ERCzTPHV4RiruUujwsvMkek5iJJ37bH7R
NeS4wyhTCHHV04s3zBTaJMZ7SrzhOk1BfOKIgBk6nyJTwe5C3fgWMrBLFmLZCX3IaCyTP2ynPpjL
nVmnED8WP2i5qT72BwTq3LM3tieZl8yi4VEDdv3FrK1qbcYIeHpK4h2UYArXihJnLzBETlFDgL+T
AeI8aIOLz1p6o8HPPJuQu4BNqves2tOLAeNi10w1+QJhymk6UKZDqfU5smMTxD4SIQ/LsxxM2XNf
jur99WE2QJHvDEhxN3KKbFrx4IOHf0ZnV71f/Mtcec/rS6NYxfV+cUEFj2YOawp0pMmFSDSg7sby
1rAi4ots9Cx6nTNz2kvLR/rnwU9epCGvCR1fvzNarwEswzX/dJ8xT9R/2WKhfPMfL5Che0RlABkZ
Iiz34dSSjEmT+WFRQjnWUa5ESu6IDG9wHGH23iYcPlYWWpvNSjr/aVgOtKX1tWlMxLbEQbP1zp0d
9BdpJDWlIXTfDbfSVMZOO6r+eLkecpNE/UVNnuDQ1661o3BthNT8aCEi73XByqhQRB7qyd5Vcfcl
4uizLlAEWLXz7MEkHzSkYWbji4s0wL302SJcQJkTcnF+tZXWPCFADtYObNPQl81lKgrEBXKKDD26
4byWv1SmE3lQIeFJmv6TX3ThI4lsSOPB8CRn1CZ6UAW6xHfSBJvu3g8i0CNNzUhN6KXRsE3NOT+U
5gjt0J1OQNGn0wxNQwcuCGE/6BSIz26X2ys5ROGvVyjz5m7ygvk2QIZxV0xoSwfjqF1Cp0E+l+DO
BbR/vxpFLxa+wnf1oyK37U6iIc5qRqTS0/DBCnXSJqJpKvJL0s+h70FaM9UByWN7e9dOnIdZ6b/K
T0dTBPOGmhbZVqsRC+raGIJF7j+26dgcJWSt1XNkWgWZ0BafdNkomf+YUDn7KK1lhoS8yave7iFn
RAHCUgZv/M3yXZQfO11rwmPr//zgliYE4vBIqEoayydTfh/lmN/9XD6WsleZx75xa2pzsliVbowI
Ark6+EYNYJjYGo6qVgCWcdOReF9IlQjVij93odlD5a6Kb1XWPnjo+Pxlt9/7HOI6ei7IZYMg/Nm0
2mtue/lXuJ4BLPTQuC91DtS6EFiY9Ng5xk7rHCOrKe5yLXl0k9yYV6HwyYHcfbJD9oA9eoIcwMeA
+uyU4dkuobkxTzeF1x95Ch7dIDR/vHXSIL564r87YqjVnDMS3Mkemp6LAnnTUYC4JrTYWQr1bYXT
o8YeQvpwKTf54ESPUWxZ96U6UqemayH3NaYVoMOAeLbcHPD1qR/jCb0ud1sBYjss3z+H/40N+72M
iidiv9A3lzZ0lbWjAbNExDP9xPwXzTe7711kU3FUI9kDv7C5d1Qk3qqaHJKTIa8vZqAjSCEDqrsf
oSs5J9tHuzipHP1OcQsWXdez9iUn130tGmkuTV2p28FIw7vF1dnJsBWCfvNnrW6QRUO2nuBbeNLJ
Rj6MZLIfXAWJMXhZzrZ3TKoqFW7cb8IKEU45bIqJ0RjGnDwCEplVvHWRwkcqyPC2cVpD68/y/JAm
rbbpUGd67ClhSIlO3/lSOdaPcbbyXyWi544HjA/x7GmnVPX4naoJHeJIlKOYCIrfoBhQPxVKSNl0
3X5MG7d6KuIuWlMYIdnIQSNqnbOvIJYsBqUr0HKEdQlIQkThcoV6SlQOQVEjg6ss9LjT5zQ20P2u
KJhTWuBxN1VDNfUoIx0SpiRXVNMmhyK70imbRAxfeyrSkDdlTvJlmSNNPrc2WtCjcg/VSacugFlH
lGuLX9Bx887I6nrnXvQqPVJu1aScUDTAHJJi3Pk1XGJOL85t4kd8VtxxetF1Mmej86VEQ2EfjGVz
mxPiqTIzRh8zRxq2s/T4IptAeYb4S4Eqgs6X1spHpP/q12XcqE1U8stRX0kfYtnf3GKM2Sg4wzRu
UzRmpiEov8HDtVeejW5UNKjOSdPQ2OZJyX78w4wyUKnZWZovBsezS0D80xABDmnFVvDOEmPsNEg5
i5mFpqwXS4xN0Nx+ZQRx92nRxQ8dmLnr+1alBP2hXFvX7boEHiPLv/eR4+ElzU5TqymfLbe5haHa
f/KVpr+oWn6XpoXyGSmW8VAJtZtBzIrLwUFUNSzXcjSNEWRB9xF0MbTYG3lrvUjTB63t3h0O+qEv
trUf//4N4sDItpDi45sG/u4BOZNLl6Gix18momi7TaoXlU2UyEVDvvQ0loUFp705WzICVzdkyMKo
JXgvNn9XZzpZxbbXSaWi+sMShjj1OtKT/AENvBworDKc4/BOehb3MjXUrOxBDqSZhpJayMZZ8bZ9
CTdiFxWoORAjb25Al6a/GsBlWuH/cjKXasR22z5bqQdkX+tmJGM0be8oqEnfsklU0EUA5GOk0b2H
4suzGjj1fR9QJ+LNb45GfCzm4nsWZMaFxYcqeob3SUZaCsGdjIbyIq3Yd15gc/rXuIxOEPS276ri
Xg72QeutSMRRy0fEcCLDbrdx5OgreTd7qieKcimoOLh+s+m1Iiak6ZEr9mvroJpkVlCigILvt+F3
3r1HJDODZ9NgASuR7adaRFEdJ5Hh4jS9bWol+umkBhJvSdo9+XOgbLtwmnagkPoLZWC6GzklToi2
gAJ5TQeFv0gfAl6j1uK/xMDNf9hMOqrjaK5hsmAY2ofTmAGuM9C8Mn2NooQaSlX3oBlKc0laPbkv
GwoFgVNqL9JXOo3GRz/tttKUA7NBIYI/rxoVbTcVXqs8WRTeoGSVO3qUo0J14q0DtiJ7NFQKbRGN
AhLgGG2zl42fWdWmsNRvs6I0+zxwxhKhSh1ZGdHIKdI085brZHe5+N018j7jVH/9l9OrBHcU71IG
OsJdKkxHcNBUcPyP/6+mVptwyIzhq97n2SZDYORGCjZpYlMhe9SgYlmP1PZSRxTYkT4UVJzjUFkM
kAdoto5iUF1GOKm35FJsxnAOSY/kil8EHEZt7fyh1+upfvWNb73/93mDXm9aK5i3Mk9JxTwXHVUC
a/JYLM3AjJO9TExKM6HY4TtTji6Tl2vbokcb5s/Ji0mpEX5QShENddScg1sUxdmdkl0mkByyIV6P
3gGVVLcEYEPKLHj52XaQLdTV6ntNYSXERvL2EZ6GvisTDpGhayacCygOFlNt7WfioyY11T/tpFOo
FzPG96XGJ9mGYXvjjmn+Ekx88pVw1LbSzEfnk1I4+WOuk4wDnXcyPCN7iZAM3YVKB9VAmgj231D7
YjoOcT99NvJfMUXxXoaU0p2G6Yonm1vDNIhWhas293J0MpVbL8xrAKPqyHGC30DeTM2iYCN/g6tp
ep8KyiY8dl5eXZreOmVBaK0tK47uOoB1q3p0LFIapf8QxQIjm1TRd16Or5FboDCjxsadHWnhprHi
+tV1viutE37/cCEqZ1/++/Ov2yLb//75J0Rl6w5YEEtHu86V4Kh38f3Z4KupeHb22R7Zi3w2Ndfc
NGFsT5uAMid95++RV/H3YV89hlSn20pL+smsOVJ8xd9LGzYNkXdgYLthMDPKcMac8UKzQJJF7zQK
g83NndFb46Wq7PKhsLvboE6ni3TlxdhvKHGETI+YIQdM3Xuy6w7AoHA5kHMOTTg/S0s2o09B8JRa
F5seyC+Va+EtOQhbbZGXndeoaaKw5MYh5Ok2pbBkYn4ZI1AJbjY9g6Sj+nzsxLdh30PTBOw0UxbR
cVfyJb6+8vJVjtpia5r1PuhUHfnPIKM86tycTZJe16ZMoC+bKYLmy0AopsgrKDabbeXkvLS/a4Zv
3yKjBj+uDzqSU15S7du3Xi1HpE2il9K/FO5BR9YD8C0mKqN6alX74UMcQJqLL5qQzmpgmYsQQsFy
dFxCBi31Vsmy+eZN6ObhPQwQ5XMQ+68m3/6ztLr2nJqF+5zpfvZIPY4zaSfls0751b2KYhblmjrl
MySlaGsTam0G0KkXCDj5hW91/NjwBwkT1XpSYpoqRDnDK+NqL31ZSfEhaq1s/f9D2nktt61kbfuK
UIUcTpmDKFHZ8gnKQUbOoQFc/f+g6W1qNLP3N1P/gVHoBFA00ehe6w1x2R8VX+mOSjH2Ry/V3RIJ
9b/K8uzax517yyLbvlucQiCoacPusonD4h5/c798ljAKCZyQZyaiEajXeSDNx5LNXkAo+drPKmCA
YZ82sTzQzDstwnDKrllBGXNRHtQ2sO7QrLifEb2HsbYi5Mv6xD/VmPp+6hZXGHpd2HGY95lHlDPC
O3lA5iS5dcezLBANJOxMZPml6HRUmSaRmQvZ4kRz8snUCNvOQz1+TEe3jU/MOPHD0DiLtBDpWZZK
G73hgDikLMlDlpLiQi0L+8C5vzyYZchavnSXGX57p7wefzZ+bzwndunKEmYDxnOsTB9K5NwupSbT
9eck8T+09ZCiVoReMzyf7AlSdKyi889ZK4bpcibr4GEaC1WgASkt3Z1ZsMQoNJ90m9PNvhXyXDPh
KWZxmi8cct57txrH/ZB12Bu5Pnw8ZfRvO5FNKLh7wUOBPwtGk2H7nFuVg5QfeYuhj97xPI1/WDl+
iuXQwgCIcM/qIzYdDWJHThJg8jym3U1WKe53O2x++Xbrfsm9AkeHUsueC1hiuPtCRvrnCfXfmLuu
AaKKzSOTKpMpzZ/gVYmNW4+oGuc5bBHWk69eUXaoW4o4Pcjw9aDAVC2RCjnIV69szaLmd6uqpb9b
r2NlKzp0OH8X6Hj9h/HycnJAqIMwtupaH495NYBradEz/sQIsDsg92yGe3TVZBDLjT1xY+oRhi5R
J55LpFyWgWeL51kXfNYzURQdz7aofEWuYzoMDsbLskikEJ+FwBiZJGm1AwcofdVWp6nVilfLKpYV
sv3bzmq9ddCGKM3gTzZrQ9jP3WQ9yI0gLmkhWu1R8xgjXbJrArXaBm3sPCu98RBBldqhsG7ucDM4
qE2Rv1kK0Hx017STaeSYanu6hZa33b9kjf0io9x/umZN/rur0/vapavrDa+FKJUVjElHKjNOSDrA
nYqL7th6IWu6DuuVk04K9mS0wv2uZ9ODzUP5XTWqdwfLhjejzDpEt/zpFdYalEjb7p/Rq8fpGUuU
xzTOx1lFfLhXlRbHiyo07/Ic/1qAwSH2xqW6HTqzvbGF6ex0ZfAOnutkBwNHo70jhIqZeVXsRhsy
oBcV0bYbSue2jC1lbbvjdNaBBZMCFN0DdpHpKo7c9qmpdfbyei5emLiw4ssG7UvkYPbalEL56kzT
F/6S+gcLAIwXK+fdEtnG7IoQ4wAUNyvBn9ObeXo3FmN1n5fV9yE2tDctMDFPD7TqkDQQIbVULGR9
hkLqtgbbthkCR30LA2s3q0U8ie5u4OHeTx423SVUaZhSOIeR1Ep+mHg0h1XSvY8V7mad3ZXPkZ8G
G91SjGNb5cHJRTlunapV8JoI+0V4U/euJPGm67Bus4tY343saZaFkXQPWeEbG6NT+yMu6gkTYoA2
ZB2Wj00WM12GRvbdqibsfTGdxpoiXTpJ6R5no9zLQRZtKMysQawQBRsaNAfV8oU8VbOYU9npcurN
w412ynH5+nAZ2dmNWpRE1SLd64rXrAah1re+GumYoOT6JgC1+ATgMeeFY+bvRvgmpnD6kfNiXg51
rt7r1YTIHj7PO1MJ9LMSujx6lVN9bwKMf+cx+NL96nS1eC4zM9l0/PSOlgEzW9FyBwhvOBCOrlVe
i3F2YDZ8jOTqYz4Y8ypF1tfd9Ajy83fVtZ6s5KMsCV+HFIET5uUaf1snLyLvMPQpVlPABOzItVag
7IOnrsecqs3cs470+JOsQifk0JBMvlPnKtfDHd0Cg7yVjbGFVZcZkwyQRU8ficfZW9NR4wbB934N
ve7WSKf2zm6V9rENoyOeVYSxtD7dIQ1qrPs5qgV1Ol70utfcVYbRPepd8KFbN4K0zLxXI3HGXUmY
LvMEKF69cuubwQK7Jg+ymCUj/3+WlSNKahtnlHODcxwdoOYSr5RVirC+GqqHN5Wsm2wedGAA1Vq2
ssooj//8PiHO8K8LdBfCiAvKk9QqD6emqZ8AOBViXlMR5/oz+U+SMRvm2tkDC9s44m731fwinzxv
C23zd2luu5bmNtmznV/rw7/0/PdxsmczX/PPHf6MixKl3oo6nxZ+75NO8TtBesW7UZsezKRrj7ey
Rh6wFR63SoyH5KeGxk7ZBchAsetmWH7XqPIlFkyGOeXGA17cIiW2kyV5MBvUxZgo6qVmhYgm963b
LXvPRfU/x+PWdlw4gJ1354yRf4iM+D7KY+9OVskzJSJd0wWTwhvjrwaiW8jyZ8F4G3vN2swm/RzM
q9Yxq8qVnSgVsJPcegy1WD2yfkhwkte/18R5nyLNfUcWNHyutV5geuprB81PrFvEwUMQw0GzLwvh
rYlGwd5qrQenzMrHpMy3SWYXrzZGrzdWR2xQFvFk1Zm1rHZTD3n5Ok56tFS0g12U3a2S5tmKmBSW
41Nh85gLq7jFB2XSGiCjjaLsWUq06z6DBLsdp+mbpePzMGJahP5m5D53pf5gkGz9keHAzUoYSgjQ
IHuXGmTS/0MPopsFqqqavoXIo22msiWpoWfZiT1wuUbZPHvhXfYTooj/rutvXds15xRmsbnzHVy2
dLO0iN6k1lmkhXaIiZSsIV1YX9RS2YSDlf3QlPR3Dz69ephJZ2vHJn2FZlazDLOEJfgM+SWk3i3T
mr2yXgJyAXMaKa44XiByftgFuHIPN4MaVAEhgmjRKg180FmOLxmF/ivQzFvCzMn3Gm7vogcK++qW
GOCyKE2exj7SVj5/zDmNvHaTAx0/IT2KaHsLlGWM+vDoD1axK9zCPRFuTDdxjSQA/2OIMhgklEdc
HpoNa/DpZFQoNhd6YewDVRm/ILm8dMrBI2aO8dsA/2Ah6zGVxR4jHOg2T1xDNXzohm+3tWjnGUwZ
c67WWr+7JQkU78T7xas9eTX5ChFRqN8C5A7Wqe2GN21c1bephrVmAEHvu4bySKDaP/ASLlCtTTyQ
UZ5+aFr87ktbr16TIrvN7MT+kaXpe66I+smpMJj+56nKsD4xC5iqPM0wdY1wmmqZ0N2Yyj7EEtoB
XeW0K8Zn0DreQ22+uEbHxItcxsHqPRgDaVK9YbNQLmyEt+96URn3g64hrUF9MmE+j6lPCA9jaSAu
t5cbEVlE2fFjUbbaRXusovLem9z0xtcisQnroXxI0S1bYh+mvxnZdB9JXK7n7ktEhn81dvnNGFP3
VYHiKWXW9iR/frWI9B0VtSF505Xj19DJHxCl1B/ruT4EjL8KTGP82t9UsV/cCZXQu9zRF8mkbsRU
BEu535fbfxJcwynSSwuPZsdst1ahYm9rGfEWdSpWlhDHyVW6ef07mO4IZAtbv79x4hwtwlAdxI0s
+0EhboLB6shKDJhW/2uD7GKXszOA7Nh69YDI9PDcmvZZIgkl9hCWe4pBq31WIA3ch6WTIjHhihWk
SvXkOuhtO+q8GVLVEgmQaPjZRjBX9cD65bjVQ+y7yhcEBaxlEtfaeYKszvyvEYv7MzzywYzJ4Xxz
l+G2FZi/6qh/mIwxuOtMX+ycaMjvGmgFCyxb8y8IHrYb17GzLVJr+ZfQsd863xTnqJqiRw/arKwe
vdzdIZ6AxM88CElfZ2HqtX9jhmr7GiElZvjZF68o7SNZ4nopi4MyPsK/uUPzefya1/6tE1sVwuht
ehSagcPxXB/kwR2guurJQDoz9yZtoablxmxbluCs5G8Aj388XOtUpxVrs6hxLZ67XBtkEaSoWMNZ
cla5aMbVoGfpvYfN4ZrlhsqLMkIELM6qm6Aai33CsvCQgVw4YmVb7Yy469AIybSNGvRwKeIJkfws
Hh7S1POXpZs3z0lb4Imlad0XFWeBRRaPxjfdn3PAZfFel81mTHwUj/GpdS2wqMgOo9KdBFGwQD76
6PhO+6MLokejn/L4Vw+YYi8zZkNDXsDvknt1zqYVbnTwmd/uZRsZnUubMZPi/7TJnNy/j0PqPVz1
Itcv7AHPjFDZLzCQkAhMuLEI45Yh5KyZI90GjrIxMZMF6sovsnv01GDPMj74BVNxH/pF9EYsRGOi
GJLb1EsNXMkSc5PFuvPo1mSxI6RZ3mN7ydPv/Ky1Sl1Meq48uNpUbFsWA4chQC4pqFhvVno6vhVV
cIy8tD01amJsHSJ5CwKfwS8gp1luGr+Usn0rSC6/Oh3+FpXbTXeGU467ydDLveF35iZR0vCYxGm0
ScNGOxq1Fp3UtkrXgL6SV0OkL+gAdO+gXDaoaYffxgTdjtIewzPEiAxx4DzcBXVv3DthgmH9qFvf
HfGVJTN0gzQ3xCmSNAV7KMVxzk+Kma8gG0AE/T4ztXFA36DAAGO07HMv2re69IYvvTuOGyfHsNqc
gVitZq7UTvGexlRUiPrjJa62ZvSlw85qZfDz2MmiN9WnrgnEQ+237b0okkd97uUVRrrL2hFRmrlI
8I7IpxL+yC3R3ZJP4KsoISNdQVJTNDpkmiNi+X/AVogCrhQkp+5klZM70a5Owy25AuOYJgOEi8Dx
sAVomBnUVFk1Wtc9JTZWYwjzia9tUN7H/DqCRamskyQpQnzVyuNo9MH3dsIoTAlw8lWn28vCQEl+
MFG/+K1pvJathsUhLlFrWfS8vlsqCk/apZU/S+SBffvPLz/73959tmEQINZB8Gue+m8Mb01MUKTt
SnkSXq6BbTKM5VhN/Z0q8OBFy9TfQJcsnvyCZYmpZ87PElwgst/Gt2vfEV7jfkxuWRbQPSrzpxJ9
+EVZGPa1e6aiSCUvnUJwPVz6zpe2ZjZJ4+NqdyFq51MHpD5Njy0R3/e61Q5DVyRf26Y3lxhR52ck
wvVdwb4DxXwtPgewRpe2UgRfMxjZAYtyOagXTkIUFJzGBG5Cn2eC0sqiJyeIF/qcncdwI3pKsDWX
zATZ9qc0JtPntnkcKBfn/5CVATL3eaME48RAw0C1Df6BQP/X1QfhG98ETug8GaR2V0k3JuUrpjYL
IGbJFqBYc3RVATdTntYd6ch2PlxacnP0ULmdy2lDJnIaXfzCLZCk9nSSOBcJh5FnnzAxn4pC4AJQ
Ta1t7iBLoQ3U9T0L8N59dDSdRafbd0dNqZwbXEj6dYO0xjNSJcFi3gW9ZyX+PgW+CPOgTIkY5MTd
RjXY88tBTRLwWIau8eykJUv99E7Xy/BnJ8Ta1RuekipA+H8EDAO775uD48YXT8NsBy6L9aCOCbTY
JLJPbWwqO/iH6j5Rk/BkARfYmJNQDl5ovoQ+AbUUkM0NITrvCD403ijZJJ4wdIBvBE3/3QfejJ/D
ew0eD7xHHz+LxLNw0qx/DyIQHl0GsW2t/gwaJVKgRqqrTvXoMiie7zRvmy538nVFPKm+TYoEANC2
N71snQPsjF6mNvimWa52I4wkPkxl7LHYJcrYoO+/bpCa3ZlzDLIyMAu1qtG7xCCRl8LuIZqwvrBW
QgW/qSia/aXsfzUzzr3t2mFTE0/ZuVbszNWVERfnwEy+4ALpI48GV7dp9FdkDP1bWSUPsuhleKga
VXzzqd5sdH3ZZaLGieAh6YzxGM4CiGRAIBPPZ9eDrEsCrOyS/IYZyu3Zt6mPeTIDjlPfutFmCqpj
g6fV3dzGFNXWn2Xr2KnWTe09BvXQ7PUsMV6TyduQpLMf1cEJ7+tQPKYzCawwG2+nZYm9UibdWCsd
ekBFWec7Qfx9JZ9azR3znTe63aUoWzO7xF1+3Fpl+8uat2YDQP0NYRybKopKrJ0q8J8PfvHTGB3l
pvFG5yQXuKG2iRy1Ol3WvLprtxPReb1fEZxmOZOg7ibUGPW0JgRdzZKMXWaACnwY3pRxmD1aU/yx
fmLXN+RW9jj3t7rMe8ONMR1B+ONpkz8nHf4W8hNFWbln6Y+hoNGrO3uy+A/IwmmRta17apOweFba
YC33mXhglPuM+PBSJHr3OA5huS1dI97IRKGfZMYCJzzvJuEre8XSs1S18QX02dMFBAPWy1hNhqJu
WBs7h8zvlJPbt2wv4xarlzY5B3Oss4/Lg53l1pvAaBmguBfdVX7k7z2lafAj98yHNMf83QWr8rPV
N2bS/MrhOrzlxQPB4AIS4V8nivK55mNTDnoB95APffKqdd5UyH0y5QD2Zc4ROYRb559T3pAy0iMt
2MjWHppkVYzfXfyJRvbqPv+d6H4X7W2KNPVNZxUR2muN89Zl9bpJW+1HVnRYVGnJdJ+ySAIIaLub
NBLec9b2T7JHnUVsWKP0uS3Tatu5ebTX0q566Obgm+zhIDxRWv14KpnTVu2sN1LPB6FCplFDHEFc
LRzZ19sxlY5tLNPOiZ+zIbo19LQ6y5dPQYkB5Vn+jOe2awnbkQ+lP+N8nx/iP7/9PdX59/f/DLch
86ORqPt3LSTDUholUIfxafIOtaKJbh9lYJI8z+xXfRHbR0mMkGdB57MBMuE4reLGx/gId5hNlyP7
AzkFHj6xCVzfB5fsufqUOIm3tpmqtqOJVY3t50SFZ2ixBBnHs8ZNW6BPVEFYixA1OtrMrC+O6b3k
bqLfyZKKW7SRx09JRNRGs3P/wLxdr4Lcsd5gXP90AMrdl16j3CZTPywyGGa3o6dUxCCG+7DtG8h/
3U8Lpdq3msga2IV+fI0NlPWjOj0nYyBuixgWeuS6xW2NIvku1kSzr9mdZuwh12NX9Y+Drk43adR9
1Sa9f8TLSF/GeCFssHEVeOUAovLsBk8e0EaJFiu7ym+/jzU6cJmZlXwfgbESmld/03jac710Xs3R
9LeOaedbuyq7+9AuTylQ3je8+FYyr6S2MOhGUYRnJ67uhRLG+2GI7KOfw0WRB16fIBSLCrm1mSc0
86r6X0LnfUuGJqq8L2HhI7RpqPXRdcb2jpQYr9IOjwLDGqpNnfjmXc3stBQ+/i6uAFGwgLWNalOX
OA+uj+MvMLhvGoCZRVEW+cJ3ypINz7gpVPc1tPL+u+vih1mJ2V1g6uKtXavakhlAvHq2jZWeGfY/
AujwdVCJcNEZT31uer+sXrlnU4wJZuiuRgfGwpjgftlq7UJkobtNzNY7FkMz7GxXOfiYZK61ERZ7
2vQLFXT165R3w6YHF7cp/I4deN7e6ZjSYxQ7Rt+7RJxdkq3vpJyI2TjeMvBDd4NcUHtIgcVIth8d
/qIF5uPUQ1tIb4YgjO/loapU7agkQPjmqkRR6mWUuda6tArtJJwR/oEovwxuecaSqXwCVvuk1V56
h4iS+lwo2ksRaM6tHpfNabTqM0QAIP1ZHLOFe4/VLr9Ro+DBg9e9D5wsMiFiF+aNQgDaW0+hnb0J
m6hx2an1RhaV0b5zS7aHtt6L285uB/x/8vzNVOJoVatdeNS97gRM0wX/jIqYZNCEHmcVmk1JidNP
Norf9bIxIYhJuGbuIsuojX1VHMxIe398JjOS31Vp/MzqpLkdh5gnaRIa9llN/4L1TrwAGp5tCZL8
5L0r7jO3x81+cHZWaobREkEtAnomEPS5UR19cY9LoHMop+Q7OUZ6CBQS9l6ELtmlHKGIi8MRJqb+
kPfrksjyC8uYbg30ntfaXLQN21uqntbtc/SZN5FXjkvRNgryL7aRHy+njtmxTWLF5S7FXJsEvKBc
XVmG4rYUoXfIm/FcjbF152btlt3n2vSMn4XQWOHF7XdhWv15arNyqRduvamjt6kG6Buz0xm7uPkl
zEeBpd9zk4TeTeVPcIerFFpF0kEiwZ/hjISfv1NFlC1KHudzpnTlOZ/PHFM7Z0z6R1klG/uiybZC
GFg4zz0AN2W3ilZ/T0gJF41jPeE80e8xmKyXsuhEwUTkLfkWK7n9hLaweMi6YpnOpbKAsRkFfbce
1EG5meYDaLLfZ2li9Ns+tL9dq67drn09GMWkNrj7n5GO3RxB8f6q/BJ39qqJ927ne1BCh2wXmVpw
ElHUYBtnJLekEseNURrV3eTWztrLkPYQIjh7vJl3RVZkR/SI20PI47/rosK9MVBK3eijOt0NVVus
fXAfD92UID1tCvWpTO/r2gJ14GK5h641nilmXe/jwGvvxqiLiHul9Zvu5ye14klPUrAFWt58jevO
WILUy84GadcdQCp115ddsqwKHbodUdS9ZnM1YSnzK0NUeDQa2jebjYWu1vY7wvmPGmuIZUNU8CwM
ZY24SPnLhFQWMhe+BT2fUIRJcbbyqNvVY3vr8ihtE90V28ECK6M6OIaVdqi/qlbzXbez+Fdun0Bp
IrDAw3y2yT2/OaFRLqteax6Qe+k2VdoWN+5QH72YnKAfKM0ZhlGHiSGZgKoYlmFRp+9qyDbLy1mT
4N+ab6AXFsdpMqwTXuWIKHtC+2LO1hYswklUehpT9qZR7epbFFq4Q7pqdSBM6TzkjXiHW8FESdae
HXFj32dNFx+NKEDJL+sxPffm7YtlfY+1MoCW0Y47LWy7rR2wREKy6L4DpfvDAya30PJsfBgzU4Aw
r9VNnffdK+EJEiT0iOaFs1sV2b0umgIcQLPDMyndO5Nn77UpLm74v0y2o9rad55ZeatIzHJVQ+zt
Rj0ab/ISOP4Qef6TZZrN2cHUOoGZKgyBUxvp3mBo01OEAN+WDHK7luCugO9yhR1LtZfQrw5hc5Ai
bouoFdCvpnMXHZqmT6ra5w+qXxAyba2jVffp0jB7se86LcBQUMvfIGK8k3UZzpUHtaMwwp/RPOda
ibcoewWzOp047Oip9h6rQywV+yR/CHThEa/smh82JjmoFGvv2MC+V2rkPFeqOa01LXlzx7pcFbnh
nbP5AMEeg7+YH6pvK7qyIBCEa1PtlGvs/7yz7Oh5trl1YxP/1D91KLvBb7GYWOaryG6pNdhn93Lt
y8VSW9sGoBp6Mb2OShCu3aLMT0pAABB+IOvn3khvvNj76iRY7EQG++uweZwMI1rqk45grQfLvfYP
judqJ5xfjeWEvjbQE0TxvbTR93mfjnflfIh2+ZjlGzbH0a5kp7Ay7U5/Re70m1EPwy/ycxNIZRYq
7LZrJc0WTesVa0Hsm+kyDaaDkjJRm4p1PzCP7NQRs3XsfrRnOw6cnZ/gvMhPnudVS7+AmUlXk9uw
4FLL8WbyQY9khuVssC8b0ANKio2rjs5NUXX4vJOSe7QKJ9vJuutBa9y/uuCgTVzNAf7FagRFwqZ5
dRvRLHLHjF56RN1XfWYZ58QL2aKChQDPvY2NCYoAhATwPQhBCr3CDShqT6I22AISoXrEH9laQMoe
9rJOywx70WOMvIDBdcZ9y3knF4ULwrL1A/chMFglR7r6TVUUHBTNYjqYCkyT2QBuEY1zaKJSBAvB
5IvSROmbUEMA68CBZuCySwA8PIBK7xFAM2x8Zd3ZfxlDzjAiIRlk0Y1aDvk+mnKeh1JVVpUz6aT2
PP9hdMRDYAcnuNFBiDiQQoAl6fCXq4t74mlQkpUqh8fWQhu3WTVBqa2f7WKMTwNxDUIhbf2clIV7
6yXmE78f+2nCSHKmg//FEMfULL+waCUfrGIXt6p6EsCSIC7r4qrxb9vyhyzYYaiuC0fg5enU0zlB
GmthaO0AM8GYzpc61D62eoqboSzKBnYLaKQoaMAwqBQxHsVWzgJ4Vk0bPKe66br091lqlMka2UgL
mS/RtORh6XM5ZSbid5Wq/QbJfHQRLSQnFRVqd6Z5/kke+Bl4+w6mlYG2yMmqbV4AWXzfVph+qQXT
IitY516bBsRR+Gb2Vm0597KudbGSSZppV8SujsAUzK4utcnCD6jBqTmaKtV4S9bJOKvjaC0NXBrv
Qz71dnTGdKewtaz0YIKNNs4hhDsQrKveUk1e0yA3vVKHixObbz2kvlPY/xyNgkRrN5YbnLsS3I8S
59D4DWux+UxLkM+5VMqyPLTOLVnecdN3UbsmbEqKooStJ5T0zU/C5CtmArMiitK+MN9ryzb2g0ew
KNHajGv/zlb5UUTJNzZXJOC7GvA+/kJHWZQHrL9B1Voe0QF4bTTpg2MfcrFSRKqfjeYBE2uIjbgd
QwTnC0YSAeVk1auxcLR1AX9DU6JlOREPMBMrXUWTYtzLQxVCCWS11W20QP1dV7ddR8JGr/ZDWpuX
fkLTbkno2TdJYXmbMp5x4o5mHtqISIuHhvWTFtrNg2jEQkUE98l0+rWXqMr9vFD3u0Z7NUCs3hAg
8C9Fq8yyZTyKeJPpZVyjtYsDRon8/xYJppRcbPHD9eMC5wAhDjxr2KW15nBvoaSxHL102lqe7x6T
WnkJ4yJ5EDAkza5unoJxrJ8K0Eil0Wq3ZaDUT54hrGWPRjUzLEVcWPyt1hOa8Vv/1ioAVUHd8m/z
2P6p4T/8GmRxvY/UkIyQFySvNmyZtYkpL367tMKIQLszNEvQK7RiM4HKbaI8qq6pPvD+AMZC9eD0
8BbDwl7YbDSPjjIBGOwtY2cZTbpCRcSGMZU0CDaBHoMHbj9nhBLwr3BVnN0pWqOqbcuC17uChyEh
lhD9TmCiazlW9/pgW2plt76M7QCd8bYnzjd3ZoXXbIoJZLxsTXpif+Y4VZciMC1eWOOgbmTnXKTk
NwcTOcP5vmqQ5Ou6IzB2GTsM/sohob2VnY2+1Vd16PqX1tRuOvQtsmp3GRsJEm89KSH5JyRTiF9r
2yZbzHh2luP1dz3S95ssmsobNzmCPomelGbZa6p4UjSnf8rq4QUWlXcqzHzYVT3kTcUYxF3XIkEX
9R7cISWyL3Wt9q2a0FO7VPWIFdyaJJt9tUTnNmbHDNA8PLjCFXfyGnkdpWie5NHWzQeMdXPBEi9y
VsCn02MQQPyG9fYjJzj1rSxDfQHKw7rLfCve4QB7aNspO3dW8typSfAKH1k/4GuB4rU3BK910rYb
Yu3jRrYCHmiW5Ai9g2wtzPoxa4r+HESu8dJ9a6os2Olhoa5KYdUohtj1qoG3um1ikpx4WiCD5GEZ
a61jy/nrNJ1PTS2r9OWHDh9OzUwrN8lI+CCwHnxImC82f96jZwLjHbzgxeDXdu+nxUGWFEuYd3Ew
PshSPOVIoObihyzV/NHQtyMMsocqfJlqtIPcgRydvGrcTsbGB5myim3FuBt99ffBVPaOIoK7azUL
/vKQ+sGz7HStx7tYW4cjmeJPDTjcq4vKhy1w7Sy7EI9gr4OOGa7iv2/n92wYrVrTnuHDbyLRjm/u
NBtMt4CaRy1XT6pOuAvs9MpF6wX+ex0uo9kFRR7wVfp9lhqWy+Od8w538D+Rrdqfs7TIvPXQQyj5
1CA7y1bRKcGHVsg+2K/YoiEqQez1ctWmcRdpMwHc6yAVE2CZjeGQC/t9iFkqHNL5IM+uDdd+14ZP
/f6LLtfLTwDik4W8/nWcLF77XO/0X3T5dKnr2L/9lH97t+snuHb5dPkmmIF5n5o/3el6meuH+XSZ
a5f/7fv428v8853kMPkptX6sNl0YPVz/BFl/Lf7tLf62y7Xh0xfxv1/q+md8utT1C/uf7vbpE/xP
Y//5e/nbS/3zJ0XeoWZ1aBRLBEJY2kXzYygP/1D+0EQqilH5bAUpR13KnZkUH8uXAR+G/cc7yEp5
qctV/q/+17vKkfKgknee1teWj1f6v673f92fzQxbb2HGrM6vd7xc9fP38LH2//e+lzt+/Evk3Vs4
EFYl+s31r71+qk911+LnD/q3Q2TDh49+vYRsSef/8k91suG/qPsvuvzvlwJT361GHH4WZjw2t90Q
OusaRPxSFsN+lgww8wbkDq1gtKylWrn+SnGbQt+mDaZ+Te2xopybZcdhDMDEAV65gaReH/QCz6aV
bA76tWmm3gnMLww6WdVPXnqsPFaBpV7qW300nJVJUmkJ729JmgHo5WzXdjFzk75u0tINzh6SnvLU
GqZEWV6N3nTn98Br1dUKzveNGJXjJv2GnbmyN5F8XuZZlmzJSRGPUrPiAVTmzqzy9haxpfxBIfpy
Y3ntWbbJXhVP7saz62EFLTx/kN30BCuxkGDLQXbRfZUlUs7SlKvKDmlZgOEyY21xvdB/eXfd7c+O
pfsEUf/Dnb0R5SXd/x7kBhG43BWnCSTWuLDR/jjJMmaT4XJIvd/N1wbzTxfbVOhSDHQpxO9hcqw8
yH7en6tYVRJuChPyrlbCaDHqmCyAPJUHooSIlF7LHzolrnsCfTluP4wBefpX9w+1iCum7nIwVIFM
Hxr+uLzZt70WObfyLMW7ou/z7vSpngVRtGJ9ym/o04ChDW/6JECt4a9ryB7yULK9RQXK7rfXOnkW
pk6/gwb5/qleXqRs3GNdTvZBNsoqJxWbTB3FvgJvD2aSPCFGThZfkbPM7dq71MtGWS/PrgfgdfZR
FicpeidPXZIpfh3/HiuHNWbkryKjbvE8y4YNEIB+GcWT7i3Q12vOi0ojSIKpkcKvFgg1YTt72MRe
0Z5FoLbnWiudg9O7T7Lq/9F2ZsttI0u3fiJEYB5uOYoSKVmSbbl9g2i3uzHPM57+fEioRVnde///
iTjnBoHKzCpQFEmgMleudbVDv/XZylqXvQahcsiAIx9sM+i30zJTbOs1ZKWrUa7jOsG0Xkccajl/
y4q6OUqbrpzBA/X42q/7oXUXEj6v3Ky+9Vx6dqV7F1pY0A7tzoOXM6SGe6u2hpHCa76oTSuVYnPu
KwjXvz9vNaNWtxLut3U/3rWabm+Cpkf8OzZee6cTpfNcsht0R18PRtlA1kk2X0zvQj52Xos/iF3a
sd+FGoo/yHRpxIa+YBPB849wGjlr06BRukld+y5cQBEoRKrfswJ2oEVJ4xoR2poGafCQbfXTB9BP
kgE+P4jRWdRC6X+1SIDsijdsEJxGd7kdUDlaMoB8U54iqqgQV0KLJwcI2RErTtt+Jc0rhU96iWup
hq1xQC2GPawnDdRxZfO4MBQcoraOdyFU7+EWpGAOHCSLd4Pv1Y/lMNWPYtMWW0dTN5JD5GgPMhb3
h3VGNX5oOj849XYznHvV6s/IhiuILSzjGBb6O1e/L7pizHerg+QTeIDR6X6EiNtQuNd7+JeDcndd
ocvj17U+2MJlPV+//2C21Ug5Kvr42L2phL67r7yqiNb+vCWHoL27w6y3HUqAd2uMjN/NXG8ygx+p
2wDQ05YOP/hxFSqmWRq9DPSFHfNFbE4O6dvZJKJy17G4+yFZZ3ywy5AddH8E+f+tGTp33pD4pGvK
o4k5MyPlcj3kfvM6NANUt4GJnMUp9nVuTzfONpjreX+dRlbd3/VlpW1XtluThkPaoAbIAE0jigAB
a9Ue0evfjKnLgts2d4ZzHudsTKOmOsVzWp0SI3XVp8Eid6CObr6VmHoJTKQjYfJARndU3chD3ovJ
DfViy8PoAD1Io6nZ1tNt+IpHZ77hNqc90MyqP8hZhg6oPkfd5WrXkW47Z7oFdxGhngqodqONpXV0
eNm0+GG8Hkjr8ZeA+t5FCiTWqzsykTLX3q4m0c1yybFQKMlwtesLCOu8OfeNuV7tnT1PK9Ax6OIN
s36a06g6kqdWn70ug6hS8e2fOnIeYZcNP9w2H7Y1Tf2f/LfYyHDmD7GD863mMmkFn3KgUQLoGsjR
Uq8hnZQHNwZ8TcPqruyIjCRIh1dbQWNVMVYo7Cwz1smyzhAuSb0qdDfN4qnhMdN2sqI9hjcS8nHK
sjattRGs78wQb2FVu1R3nNF+ALOe790GomH+dfZPO6RPREuq30M7htfDatKHqk7Q/kXM8GDR5/JZ
YoWu5ddYtZ8tyjRAHxS9VjaOxi1JegYaVA9ohkkYLjBi1YBXTbzSbSBexwXoIF6ZW3TUIVXPML16
67PO1qROvqkXPSny9WTgK/BT16F4q0WJSrxZgapMbQJoajRYfr1uY/pp8wBRCR08y9nVcbWFixcE
h3a0Y7oVJE4OA2zMq4PejZ8zFb55GCiiXifIJT6sJJeYYDuBEZqFJfh67XR5UaCvmksFrMlwzHJv
T8DxInuMf6MPCjkY9beAN4BiYQTV8NBpv1WWBsiqnJ6nYqA/T0lSKuGB9puTqw7FT9W/BOmsIoDI
B3aZLqvmbV6fRvK9/7tV/VGHG0NR0Pfh4fFkDa511PyezmzwWRv4w/pzpEfBS1jOp6Ai29+68fy5
qIrtuBCj0T9X3OsdslHBEkXTIs/ONhoz4vUSveJPYUnxypJ05Q1n8Uam+m7JfMopFLOG2xY/KSmk
VBi8AgS90z2pEI6fOje0D4hd2V+VObqX+/A1IgX4eSojxzqEjQXpsgk71bCpZ6s6ynPyHEfGnenk
2w/PyjRV8gQ+q6pxZ8Wv3lebeKKmfueZRm4/m/VRnYLPjVE0z8ki32ikKSw6ZnPbqoMy3L8NKYoG
FznMuXOiObq82Ap6dixU3DSaGz3JwQPgUSZg8WQEt4V+qcz2zuhNBGCyKRuPWTf0/MgyYeb7/+Rk
abtd9LeOBVR0iMS06m3Zds5FQibdH+5tdz5eJ+j2nNzwC0pXvUygldnattCnrzHrdefkoSyKcF3E
gN7xIZwofMqrcIDhI9vuWxuJlQOo6XQHtmk4mMvys+KW2xFVhGcl3akxOipF1wzPU1Dr22hA+FZs
I4jbM6ion97C9yqmqjChCsrUi7OYBtDph6S2eYpchiWbvifD+iY+CTdj+ki9jJadVvXN2ynzf4M7
ZLjzgmC4m/wRFLqcyoGfd0VB1+It4GNU9eaRGBn6RRtUGxlDdRbtdWvu1zWvMVkRT/72OlvWterp
9XWsS8i4zJzP6lAHxw8hdqNyRw28L6FVo6TSeeat2ysR2MFZ5VQO17H4JVLcDlRZr5Eytq+Rq0tC
KUhMWy2AZ0SCZA05u14SbQLF2P7r1SSSPWoI6yDIRFVvxgcHgsFdPGrJXoa9F2LrjfGhd2dnM8BB
cfjg8If0Z0i95fTRXoy3YZlpd3VepzZyKiwyus/6VA73gR60gJMy5+Cxs3yE1L7e+PU8nGQoh6Rz
n1Szj88yquJYe+yscZcjIPRQLCPPDIJHGjOvUypYOC5dZ934UzNHW69rYRnwst812r+jLRwvM18R
HbI/mb5ceDTD4dBEGTilqt4C7xkea0cNn2kEAFfpP8vBiO0WBJHl36aLzW0Aqs6zgrjLMqRa3z3k
gX5bmd7rBL0HwmAhJCgmWtGyvTP30MYu8WBv83NfOH9d42kNBN5lo263BFR9NW2DPpxuZDi3ZQcY
zY62MlTc1HjKy69Zkr5eDVakivSl7ZyMtE1A3RQGSRt30S2DSzTmL4uDHRTrKJYttqiwABFfx+bJ
oFEOrn4C/CVAomQoByOyY3A0RbD74LgO0W4xD6FlgxH8amguOjmTESCV4lJsGuGxtwA+7tqhmQ9U
4aGud6PwUY3cTTyV2T+8MtdEkkdiU8MNnmU+zf0f50tECDntGnG9wtv1xXldA1AwXL6A0D2o/g9W
CIdXUiOht7Fp3rm4SrunMyOASMAa/qjbOLiNF4z1RqI7O3K2U2iMn+TQwpp6Kf0GWvt2+pTbNHlk
sZ8d5TVBMY0kg1Wf15FLGa1RrHGTyNvx5pVXl/2LNyUl9m5ut8wdlrcuVxPrhlp1QIdTSutNUta3
wAXhlgIA+zSG2zRaCv6LpVBj79Ye87/EtQbVfrdPKzfaX+cEQ5Fupj54XUcckBn/f1zneu3xf349
XT+rW8OCoaxKLeNcNPqxj3Xr1PoGz1tp3xvnqWIZHr1S45zaRnw70gKMLKRxFtMg3jVGwiuacvZa
69FLskyRSFlbhsqIesSuCiB8apNq2otR3OsVJXykCWlP81W9idwoef2VLidwPpvSNKYbNDH2qN9F
5pakhnkbVZkFdJvf/DbglofEBGNPft/FTy5ncvdl1bY3r881/hidyPIp93xBgge3S93DWLQGXMd/
29TFgf4dnTm1vtpzmHcQS15CUDD/1utWeZL5YpIJGh+fHZ8UaFGW+eIY+sw92/qkHOJspJ9jKM9g
JarzrFnl+d+G4pCQCVZru55prf2fY2WlNAp+d2wY0Wr7uVQMZStnJqCV9SxfbGWqIP735v3vcejB
KqCCSWa66f4DN5YMdWC8Sh4BmF2e48Qkhzrsg3cy3CnQgtQ3oG3LgovmBDSfUV82zQyM82gaAJjj
Z2Mx+1mX3E7spbcytCpa7+FIUgAwz8WLrpGEJwsE4egSzBP9usbMM82n2AmfA5qVXjgkfG1NnmNQ
uLAz9N6ORek8Nb6NmuR1SHPIqQ8gNDkqjbd6A8jKHmPbtM5QhI+fZmhSrMno7iBBmz75JocmUmDB
riJ95/QlP15jbCfn2X2dILPk4BrpOlVGMn+0knjvAKXZlW6VkuvspmOhRcZjSaPVvivJk5mWhaTe
YvMVs92Whd2sIeKYWGADM1t+W+rTn11gabekho1HSE1v1ThUL1rXutG2eJnoFXtsF9fUtcpFs8eb
1nC8CCHtbLpNFP2vNdKkWQt0ulls5ZrXF5MGcH3HwGJKMOx3Yk9br91WSHwc16WuL0bc8gJjJ11f
yHW54kXzEueUx3oAYQIbO2PZT7qR0t8A9advS2FLv7katWkGdyv7RQkH800kpPVrzHWJq+Nquy6D
2k+8mfmeonU/fiWF9kJDpfK5LSbrWHRmedNmdfoZJr8fOsDHP34NGCMEL+qAtIxQAU0qfTIGRF5C
BqiGtrGzq+z90FyGEixeCb4OxfthbmEDT2/BWG+HzjIuWQIeaPTdb+BbNf820KBLp4kHlq+6VCbS
NLF5IbdrXCS6GdtdUhvDXdH+lRaWeRtC8XRHJyn/qkpBp5LO0KKGRAwrOubjHSkh8U5LiJzJoW5o
klo9H8d21Bq3dv8HkmY2fdFLnCwnY5JIHa3Q1W08BdC1B0mf0QbNwZi1ULkZKxL2M/eRbW9VuftX
mprZHWjgktRnlGV3DYiobeL42lYmNW7q7aOui3i2yh3FvKDVTNf6MNEBuCikL0NYo6YHL/Q7RMi9
V6+l9vXjjDTAhQa8F3adxbcui+eNVkT+S9cBR9L6Ynrxq8jaeG2Tv/gOsoNFEXioKDTKRrHo2e0M
OpooG3i3Guq0a5+2Gcf+OtSE6gG2mnfDq1f66v63c9M0iLbOwJa8Xbo/jQ54jFFHGs8KnnOxF7YT
ymeg2CdqhndDUO3FNgK5nHere5mS9YW2r5cVTBq69p6m13u3Vsob6FPcfULb7m96En9taDF4VPtK
fxiyKt2IPc96c5epwMi9BdRL+zOPZto3f67aW96ABqWSLPmN7rZm0wSefw8WcH4qlfZR7IGeVYfU
Ny0SY1wkatpDZwInauHZfIm+G2E8/hzmALkCftYe+7Kdb1A/qW5UMwue2A6Cobdz+2f0XW/hP5FI
6M2mRzuGFub1yRq+STqf0HTcQWGR0gP1Jj8vRloN0v00OekFNJ7zkFeKslUCi7vZ21mQkyoVW/R2
dvWuZ/FYXLoccqwosB9Dnl5PfBaNeznQxG7eW7GPaiPKgZsPDhlOsf9Ylpl7kthrBDzvZMIsMKd9
GjxB7pc/a3Ua730V2H/R0DgWK2W5tXon/aMd4+1sTuP3AHWx/Vwn7yOapUTyXyOEJyqNo20WhaiJ
BgoNHzlUm0fYbTK+RYoaPvjLhqMJPWdnqXCCrSLKoWxOnGUbIn4/oL9Biaw7D87QbuctDvF6qcuX
Jq0vk1LWNIUse5p305a1qQGPd019aRepXb0n4WtUXvk0AUw8Da6iH8a5VL6SwVojDJp+NtkE8ZAd
0xKVUx/WFr51pOJ+p/Ss3cGs2z7Bozjdw31+Y+S87K1aTMXBmvRhJ7FyMNT0dyjstDsZVV0001PZ
38Dn3nxic7nt55qypI+Ymwjltg15uMIgOzI37fTF0fOdtEBDj8p2GDmVnXQ5u7qjbVzbVi80KG7T
UOuV58ifpj2s+4VNpwy0uHIIbVW9VazlANY841eEU7C1pk5LQfcj47eRSsHikfClp/0/neYBIpA1
7bD0vVbT+Bgtv9eQfVnUcFKLbT2NC/mfs9/mh6uk5wzuFnW/Cq3AybkR+0fVTwnJY2O8S6fQ3Myw
cOwkUBzXpeQsSJpj/LbUh7DEfVA8LWuiI5QrerxrM2vXtnb+ySpTNppmEh9rvU13jR6x01RTGuc7
FZ1Rs/4xlJl30Ht1RooAfWrRrhZb6/XzdlTG5lEc/9GmLnPp8KM19RojU9K6GbbdNGo7KTxeCaLX
suW7OmaIetHBH4YvUrVc3St39D/P1/KmaSBJt3JOd0VnH/qi++JGO8gvN5Y+ppdh6vtwnyi0ejr5
P4bJ0mWcD2To0r49yugttF16kevl8GaXFWUkdol4ixe7uQgkvcXLJSXU+25XEDCVC2u1HIrSt/dN
X8+bq03OFv7Mi1540NhKjOXCS0i//uu81h1oCpLIIamQ0hoSZ19UyfuY64otxGtHqlE/UT6wb6vK
ul/fDxnCekVbNG/A9S+iyraGicnNHaoAb1PXoXg+2Mj4/u4HdbXR9EHdNy2/bMIuUDbGTwD1/UMA
tBgMq7YRDoImqLKzacITKlEyyQl62BcWKvN/Tmqb5PJaKtEiDaVvM6fdrUwmNKSQZ94kpT1eZBwg
j3PoJ0qJYlOWmPeBdF3v+bVy1tniJiesUVkk/wb22oB4KP7TpPJ2UvLJ+CSHue2dnTM0wf5qq2mv
o4SoBpssV022xUi1D4twmBzIVsO3WpPzzkcfBsdFOCy0EwMx6u8S8M7c9doBOttsK7brGuTkwD01
jrOuIQ4717yLHvCouVyqe7seKKD0MM/m8NHBM8cflF7703XxyuNrUJodHz5Pv4FBCUqYRbQVUsP6
0dAL+qwd86HJEXhFW7J+XALEJAFyiJ33JgldJgJWttaJv651Xf7Xtaai/eZFsXbr6uHGsa3mSQ6x
VqB4r/ndq65NW0CKpM+eeerUtH3q+8z71GfhkqNCS2YI0Ff1VaLXMYkravG59hrt0I7zqWAr8zH6
ej2ZoS7ri20yR+/TyPoy6krtJcrClzGJnMdx4HGvSozwJENp3fFm544utOYiPTxZ7AWPsXYnAwkK
Yaanl9H8HC19P2In2j8mPaip2qIZbNshnbfTGr45MkNi6EB+vdR1qeVSDklcZLd5MVpbhI9+TZ/f
soZK59V54DKZt1S2VD8/BGoIyAKc/qcw6+/rOZ3uxCSHElanI6LYOmSOhJF5hEs+Jk61AA8kilPd
VqMZOygJI7t9I1uJRG5xcioHOBz9Xatp2ka2KWKTbYmcXW3XGR9ssoBJ1W+jukW3D2kABTIEX9g7
0jCaRZ1TraYoMSx0YrS7vhKGFVO9tywdisweccGDQv/koV4KpHNSZgfaDJJDtVRTr94p0P8YNRA0
lPSiLX1Kzv4DTF6G4i0pOa7eK0xe4PRUacN17gfHutTiTWY+yWgbkt2iiwhNo69zCVOXr8Ho7/aa
9dXv9O8IMuUP4uxafQNJnv65ymrvadLDo5jDDCE+Y6APd9Qj++tYqM0pV8tkJ14raJR94MXU0ZYL
+GgfrxdYlxydDxegmPjuApHbuAeoTEG90ubSnq0w2TIk7SLDzALQN2n6Nk36Wwg83XPnT9GusaLo
R0Ujx6zDf4oQnHkY9MKG1KJIvoxK/SgBACgdyC4C4+E6E3nA8EelsQn2fPNbOmfWAXEXPlYWrPXp
mMEPs2BW+gXscj2ILUd4BXrb/Hi1e1E9HCqAkuS5EAf7MFWGioApl7n06aIX9bbw9BRHfJisLqjL
TbfoU8jBLjoSVXJax0Cw2uVwdYttmoNwNw8kgsTxcYl1nbKmUEwWemfoNTyKb4eh65vbvgS69GYK
QCOdjRGivd3fp7Qc9nPzLqZoo/GYtN6PPhiLe7iS9UutHGQANTQyz/ai3Cz2KjuKXSxy1i5zhqTR
LzzbXM0BgpJw2lFk/WXRd+td7b8sGiCI1edN5Dpbnc6pZU8hGxDLd+3jOCbf1y2KFE6Ww4f9B43C
3xD9Ak+7OMGX6YcoHskW/xrrLKtVYfR93QGJd93P9NWwA9Dk3sVGVpHSyevnJqWBT1VmmlGyyoFH
uHI+Tzad6RDW/IWEnftF4/eTHJ7mn+e4ru90AyAk+kXGM+/5sAmVVv2ptA+i87XMsSr9dY6vKf65
CSKkuZNi2mvDtJ2ygl0xGe3vLb/Pmx4Sl4e66aHzUAN2X2E2f28cuB/gi5y2aQOXozNMxY6KSvwA
9Hg82e6kHHWnKR5dzavY+dCHZXjQLS/kYVM0fBr7Rv/2YZLW1gpsq2bx2NbwHriT7pzMwZsyVCd4
gKQ/qHYOiZUbX5N6vE8nN/0jMRI6KXl6e4Jfs6bHlIhQUY2v9dDfS/7s3yLe1viPETSxuducLuCd
2yVf4KXIPgnQodurVLe+WlNT0wAWfhZARRGq9u0Ix9YKc8hKA6gnahgHY4S9qoNv91gaeb8tChO1
7QUJEefRuqjMb3ey6ARaUhYVDAWNnc66aKdN3T5GtARoMY8pqjN8CtQqP6NtwA4EcbJ1KCL1whur
YSJ3AsPK8rgj9sVUx2p+liXe1hETgp5bJ1Y03mbo+21AjzReQfIRnGdbTx6aRUivC8P8jy4EMdV6
3vdpVv1dykZrjbBatd+EgHQ8kHYHu4lpoHrLp0IH0DwUZarhQEZukvzp1WjBg43MpcLWRWZTtKk2
OpwPyw05sHfFOJNem7LsISvhEhVd866KRwBV/3TUtsJeYnEEZNTWGUnv8SleHEFcmmfdgIf4MpKq
yopGbZ5f8zuD4WSHkQK16N3t/H5Sf2+TF5RCsz/I9KnbyJvmew1805kGdijCXgPyPtrXqQKeT4nd
49R2B0ttnTt78i1nR7okOeQQKYIyQmNe3JGiO3cRfw/0Q+hVprTenVKdJnb5y4BZ7w3Q/y/dCNPH
1Q43zt5Mk/DlX+Ltxa5HXgGysYGLrIDeI01qvqVLTlLGqhvUG8rGFoJ25C68Uhs3pp21SMZWxktD
5aVuSUKSHLgP667cCMsmPCtQWinwHcrQtM3/PqnSTMB5+XQhSVVAf7scFHgqgRein9HOf9sWR4xM
GYowA7An1d5PsBuXmlud42aaHsPlkI/WvikL2N2XkRwA/JtRw0PnYvGyTn3oqBXLCEpH+DhA9iGJ
HNxdTfFYZ3dDr/4mJjnYnVecXFVv15lNVIenvLb+RKKnu4P7Exmjbkx6xEGLbgsRukWNaSjJty9G
8UiknK3hMjaD7M88VVXwMsl4Zsuk7au5HzaCtdQGum94LscjY4mRMznAkgZvQXK+mqHvBcBZdt3r
hLpBYrua1YdEd5AyUlrP4TdZ0XnnutrfT1Xg7uLEmD43fUge1fIedRUsVziWsIfamnInznlQVRoq
EVoXrwv90w2i1f5WvC63mos9Ob/TWTx9tuCCfkYOoKjrutsWtfJQDXCLSWRh0Z1dTbl6knX0mq9O
Yw3TXrx60w23Gv2usGHyisBxxJ9ivbyVZSUCJCSEfUr1JKMoh4iSLWd1ltXIWXWQ2FcTNFo2eqMm
eniW1rMNm0P9i08zKwWPCJoolEhvBj7IJwMa3Qtd2fw010H5uYIcY6MOKLMVvGk+CZ8AuaBmpwbx
eNMFOYCLJafKdlrbRlFYwYrHMNOL0NiAZkgu3JTgaylNmm0U09nFbaxtUz/7JTB0EAHwq+yg5hUq
wEsJTllKcP5SmkvJAXn92N6LSZx2A4GN6pnDQSLEYXcQOcl8sV0X0awOjG7W3YtdbZQBSRo0s+jX
1851V+U3Zeg/+rNiQv0llFZBpkNkpcGROvvxHxn3cshVFk/YeJyiBZMcbLSDN2KEu5lwOV1Doa7M
911HWQp56p3nvYRFOz1cUwCTYtIW4EfKjSQOxBE15ogQdlPv+IE1Pokj1Rtq3oX2AkFGeusURc4P
n6cfzazz7ssWXYPMihBU8Od5q9ZO/NIObrFx5sz/vXKr+2EgIb8Z5+8lGz7e1aKlg6Sv/kzM7Ks1
JPn3TuFfS//y9IX9QLYL87R57PqChIBpaRc3HOebKXC620r1BlR59X9cuRjN91e2lisrYXlfTgV5
liL9TtH+/ZX7Lvkal5m6jXOzf5ij/ACJGWzcs6kczWJSfjcGPudel+iQYdfuHop/70zPf39LHV07
GkOsfkogNNs6TVV+s5ruZQFtM/8vqI2odM7J74qmqC9B7yQ7nS/9pyD1lSP92/FtlMTNZWzjeW95
c/HZCX0Io0NT+4GQxuvL0HgZih8EPzqDJOCHlzHN3j9eRmS6xS8vo+bB5mLwnLztRr7P1YB8BUWI
7DNUsMWj0fKzsoxMT+UAli93pvxeTDxtNTuvMbqjDGV6OINVkmFrjOt0+rqdZrtMpTGAHnNIkZ3Z
jHa9EVoIxGvZI1stgAmt9YyegPXcB0sSBhGkO7HVQbCgfheuK0iOn0EYZY+2/zodSTDqiZFFNsHs
1HPXmq+HZjlLgL/bSg+6dBnZUT+TW0kNEqeLB3IeVHs09aTCUrkTXQdTI7tACWQ+wwaLpp76h5hR
F0UqZokSnRqJyudpOpeV+shzi7+NyhI+zGkw63O/MKjIQW/7nudjyKAj6B9PVwfSCESrb9HTWO+L
1r9BrrPbGuTPTlK8SxO4r2CYcCFDBWctXjivvZMU/jJ9Ro7XhV7W9v39ChyYhzDc+P7gHotIq42d
6L1rixFNBfcowu4iFi9n4tVhcdu0i7dqwc50Q4vqOiRhD3NofNaFpXYZTbb6WShsxbeMrr4lUn2L
/HUeAsNrZGnUBo1kwML8wZr2SQuHkjwCrk+DYhyjEp2Q5WFRSuVyWKPN1qDLl9L89eBNyrSfSp5+
h9C+iU3FAKQQTd8Bdu3K1EtepqguafXDLty0SeTBZFGlq92dFoYx15++L/ZrvKabf/L4NvAbRu5l
XBjb5dAmOt0iQxeRbsN29QZLXOa0M2AH2S3maRbeBxo3rrYd6LSYnPGb5/nBbjQy/VaqO07xaZ6n
5uVD1ODES23xNmUH/6jwT+sMm8KFGznmzs1DCpyLMOtgNONjNfEvlbJGr7Nnk/LaaCjOY2qqxjMs
O3uF+w2aKVZ3VlL2a6JUo6caj3N6SBPRomOD7EsOND1s7sTbptbtBG3FUxCEpqwh5h5p0XOYsYYs
aZAHA4+UZJssLBIUrLrwuZyqCvodgEqVEYXPBcT9kLW423mEfXZbGT2ahr7vHCrTfvUmbKtlqpj+
bf4SIU6HBru9hSYNvQO105bLn9KsBOZOYVZn/pRm5SxXrbA+i3deKuPipTpOcAi/+dUr3yYZho7+
fu6/Bct3jV+15Dzc5ZEzbnPbUz4rwfSPs2nUX23D29mHOCVGy31s6vHY5IlxF44upDvLhxYcxNNU
jtOz1bfGXdlNKaqGfDhr6L4Ndi/v7PJh9v+OH2K4QOe+GGx1X9oOCSJITO7mJtTvJr21d0jCGxux
XR3/NiSXoFcbmXd1G/ls79oQhewPDm1ZP+WOu2tdA4kvRQsf5JAV6Wf6Vx0Qj3+b5AxeN28Lp3y6
L0QvU4xl3ECbYrtQoP0aHYWA3VP7x9VsTEF0vULmFK9XcCywWwtrnLfVgzDdy4xrsK1kz8GQnRQF
lk26l+JNlY3xoUXlEy05Vz+1s1rdq0ulVwkz707tgBgslV7utM1TQ84JmYUK3dYlQhxZY540esjW
SbQXd7sGcbNJm/175EjbjZJ65W9tSTnS0rPwLvP78gU9stVeT6gUIUhk7qukrn4reVbVtKJ4MnIf
tqJsAmm82PtlOh1QwXV6heTqc2B3XxG5KHZo7yXPg0q6Rc7ENiy2abHJ2f+bOKUgvZCrcE2PY6ht
PWOGbn/5RbOOcz+130w9nO4mFcyyWJM007bjwC9KGRroV+y7GRJsDxEeBYK8Q93E2lGELmbHuLe0
Qn1KsjH5FDX6TzFLlBu56jE3zenbEqV6ztHIwMMUivnMs2Z+p1n8CFCPt57FVoThbqTJ8dGwDOs5
Rqh554C6PkqETDAn0p2LAOyz2JYJvQ1765oHcPUgAsSX7GHtDl+AS9cnv6/1fbikvhzsVmu9txds
i74v8f9mH+YU9dnK34Rj2N0n+eAeEr0v9kUeZl+gLDRu0KX0tqHfZl+GsKZp2QmcjeIxjGefpEQJ
PaYEawZ8Pn023IszKeP5KYGELODRaUBna5cFhf5Z74bocXDa4aZPbFclDWe3tyU3y3QzaIF/Mo2j
ZjVN/1McSgHd1V2mj+3tGo5sH3oziFCBnqpgYZnL8d6Miu6l3dmjObyoStMiODWmGxkGZbcwTCrI
wC5eVElLxBVoZZFhNqJgFljDM5Vp79Ht7IuYeXdhKAoAuZdJzZIuKmgZQjA34nW06btvTu0hSdnf
XW+3ZEfSaRORIUEL4N1tWO6215uvP+6Xpt53AeILRYEF54zMy3qvlok6OegIMqSzCbs7e0htOPRL
lS3rxvYpmv1D24XBg5g61UXvOKx/ik9M10lX26+T2nGu7rRu+Cnx/7eTog60GGwPvLSuccmTOuOD
FwdAPcpmMKofUx3cKTFPm8+53xaf88T/S1ueuiqnjjYuD5MX6ASNdWj/OhTvNZiMVXO5DoeEjjMt
Daqdp5x8c+ksHg13/sQokD7j/l9HhpPnmyG1qycgIfrWykL90dW16YCsdH2GCK6/HRrEcjzHbR7I
Lxs7BcDEl7lCE2MqqvqHW4WnRgNvuymAc8NPgFBoZvxAeSf8ZuuOvk0ot61L9spC++jkr0sOM4Cl
brBel6Sl/Bzw2Y3aZvimFHoPNSNnEz14G3QOhm95wzXlbFhs/xpXGDM0sR6EpduxzcKDaIP5pFUu
tgPFRQVx8l6GdVcjFI4ipyiFiWZYmenO5c0u0mI2CQxuxknMs+DFzZEN3nBi+tx/Nkh1rCfvXf8l
RgXwc9vPkXEIOqPbhbPjnyLPm745yFl3Q1F+bbQivqQwRG9GdD2+SVgUJcoJjmB0Nk1nU+q9dxMn
un8MaVbc0Zhs7qOh5H9dpnO3M4oU3Q8ZT63ZQStimvsRUSF0Qe15b6jOESzTT9+agpPw1gO6ah/k
7M1+NYl9trQ1XijuxWQtgJERO3fV4CR2MYnzf7R/WJ/P+LvX8+v68jo9QXS8rT3o1sGjq+2gKbbJ
B/LvQw+R7aR3D12ewPteDS6lizz+URuOn+zBtpP/qTtIRpYJa4wxxwi9xA6qMDG/0v9c6mp5W26d
HkPpa48ZCuGLGoJZWMunqCm3nuamB7GJdkIH8+n9kKobo9fhxeZWapiBdqI0qq64scFNzY3VuN3F
gWX+S1QZrzfguHwNW2FkS5jXFt0F1hD7S/J32NyO/1jt1zCZXvgB/2KbT78xszFGgemhLS006Y3K
eYyayHwE7TnQP8wHvVDPaQuzhUQ2ptHe2LbhwpWosylZ4us5guowrOG6lZhJsexN3YCm06mxrDHL
FWBftt5dQd2t4engz2doIz5JtCw7evxuGWtxSG3G29EBtWL6SnaTooP5VS0pSfiOH1xk+H9Y+7Il
SXVl2S/CjFnwmuQ81lxd/YL1yDwjJPj64wpqFbV69z7Hrtl9kaFQSGR1Z4IU4eEOqr9dW/TJowZF
usditNajqnHNcstE1VNXrag7TYa1BxmzPo/mMgYQRpblnkZpyRiCGxfqqiXHHJx8tGQJep2cR/3F
iULQomg+ghVxYFLcRDVdWwAmDjm4M8VSeFRP0MRLoi11jSwWJ1OHZtHQxOVThLzRo53PoRRyaBtQ
Pi/Tu67RA5/xjdFbUCmMUv9eNihVM5VaaC0G0E6wHkBjPoD94T89hNefWolX/R8eQE4hLK5SHn9Z
g+H8vpaJBX147FkKcwMkDkIqrmWjnRTt/pBqWyLSn23zOEj1QbLftGCBdUrN2DmNjayECVZT5MGa
M6MuUiZzlxA2hKmJhTObFkzNxyRC65DXh4l65Pox0UQ5wjmOUEqdmtWN59kJ8oPsEdBg9shM8wVl
XO0FJLEMkuWNt0F8W25osGeafxkRsurVIJnKMr9WLDfBSovZWeKkG5TUt1ua7umdgZNo+32erSZB
SmMHeH9yRybdG7CpAvHzjj6BHDx+iqEHvKJRWsNEDq7UzeGeTKLWUEEkWLanjwB17ebomK4OAMg/
nwikP1D90h7I0usFVJ+m72GaDAcKwHUgyN1NDa/nAJ5IrP6KF+09DdKXDNlYiL6n8T19weKsR9nH
v6d3RV2vY9cEfXOZeYcE7wFgd71D7zfFk2Om5VOBfZIlM3mLGgvfcce0A8eMuz0NAiE97S0QJQQ0
4WM6nlcFSFxHtvHcKr1a1iOBJky8hNaA9E5g3wHffdYgqdwKmXwHDe43l0PfB0Qj/qGIocbI8tz4
iok0ThPHWvPWTgrQTLnW9NQ8OAqCb2jNuEda3FDQi+4eeWFnFdZtvvXAWiAgg/SFZ4kFttMcGYxc
KUkpKRdlB7LW/GT/tz9yhhfTb2N+QOmyBIQ1A1JBRf7+iAHWLKkDK0FCYxn4FCxsKRLIBFg1ywTP
8GGowKUhwnuoeIX3roEsC7bH/m6AjO09OAIQ83dR+iU8/0weZpgad5J/m0bHSYPcj11FH/4rZMJN
A0exA7dqSfKlNWhJp2mh2afu0Awmgrcc6t3hgKI3dbLDc8mFjF/UH6jbmvo6Bivsc4KTB7Yt/+lG
r4rBgYK2X/R/dWvUagRk/nBT55h5NbLTTTVud8tNaTU+gFF5yASAExAm2/VTlp2gC5afCkOzdyNQ
CLdYVICxV4b3yEOErhvTqd7MJH5LYlH/alLo3WVMxitLAgLdxtUv7jdvoxaXb0VTppDGydjjaOLH
XGtxfoNAxftdGkN+votrJ+kGebAW9MdfG0t/Z42B0rQ4AbNFHDGfzNCGnGll/majSYqCw4sMSGz4
3iZH7O0RIjHV0UHKBsI8jv1Itqj70gt7eBAGXge+A9nhdgIX1uIP6StAGjsdu9TWaO/n5nXoJ4iW
VvadM0r3aKnNqgvsxtbIxhRp7Km7IdkugXb9t3EWjyejpTzTjX2Unef9rDL9rIPlZLlgrjFb/H8u
/uVTpf74kvTNV9oj026ZNsrjALH5LtQPZBe+d4stD9iHfHrjEWQHlvAuhYGV3TYhdm670ZYqD0bx
UkdQqoBUhLFOkGeE5Fw6Xa2w0wNycPyXrG/sIC5RrN52UR50kx5tp8SxrxoQt3Nj+GZ89jt7MxQh
wls0QC4CcktBiR/ZlmwD6v/WupNEEKbj3W0QoAvpnUxuq7LDv19TaQhAduMRm8bxC9hzGSQqHe3I
Vdc0t40v2WsN8pqT40G9L1ba0UYxsYB3oPCfmFaCCav+VY+W9lVdeFn9fmGAHzfrIAjiGMgulkZu
vDRe369j3tk3YUBbIGuT4oiEARgdwsnf1CZUEVIjLIO8BvlOpOTpSnXFPaC9AeRBXzeQ9Eulbmz+
uw85UpOmYDuJlfeyGF3Fxbey7H0ct6wzHTmHKp7uTG06kwxZlprjnRqjEyaNtSa+Lepw+jH2v80D
HwpY7qX9tYUswwrER/FjbIXedvSAsRGgMbyYqZ9seNMZL5XGvxWVhJp5Ah487Op+gO7ZWkk1STP/
mQTwrbygoCcFs6amv0xSzpMgqzpPaisEtAA30cIhOyWNowX5JNIAMafsFIUSJO000ofp+H5JQ1Om
I4DiFNPRkkiglaqsstJQCJ4YEF6HFlhy9kMwaGhF1z5odloHVd3FX8dC3JiDWq/VIL4Nndf/QsnU
79hzvBeWW+Bh9qR9y5ieQfepi4/4l60v2WiZm8722KOZdq9JGO0mlT+iRlSjD2xNjLpx6ucW0sWZ
I48GZaA++XwMx148HqnX61Cc70d/2hEkqJLQKR9aRPRmhJCCD4GS5e+2zgUDBYlSkzP5yY+5hDqi
9cjvv67ntNije1l/Bv8GylN0pq2XCMtg609gSQfmRgVpShugwMpxQVWm0NGqoUkhtJ02i21K/auh
fW1w7D4mnl/jlKxrEv+G0XruSlG4t1EUKSp3Ex/hAhAnJaqhATDZhSvLKePdJ2/sltftmA+Xxdlh
itg7qx8/uUHIPdlIp2jBBf4Kghj/0lW1Y616xAMOvhW+1qYZXscO55Y14Pdb1wID2eyCmqtplSah
hqfLWKyBJ4KowfJ8kmZeg8x6Qw+mnuz2yO1rmffFWihnGglzZOBWegeAYNrNzn88/Gj1wrQMkC2i
LF2xHbqKHjEyS9Rl0qVOxIfLEBmFkdpA9QGboaaQBt4nv3gwqnhNjk5ioDzIqpl1MG0x2+YVrLHe
t5Bps+NVUReQmzAM+y7JpmbvJH1+KC1nvE0QgoRGXNq8Scg9Mi3Sfnmi2buVyb72rJABTSrctNmL
3ADziM/Hm4Ul50mF7l7oiWCX/R4xIneeFALXduen48aEQt+qUJUKrqpUoKaWTYCglX+xbGEAV6OO
9uDaiEF/hdIDEDK+++HUBOaSrm6AN0fIZ/UxWa8SsYM+GuSNkc65ATMsb0UmmovpQqG+MwsX4jug
QNGTdjxWvn5PPVeZ6Aq8Jfmeu6o8QU2lRWig1KJsq9eA37GwLd9X8fO8X5sckdTE8MJkU9o4aMrM
BCHhcivklvBpgKDZ02pyTPdhmnbXDqQKG88TyYZ+UZX6WelJ+QglN/NMvTb0+0vZcPD+YYwav9HF
xgXiYpNW/rsNlav3YaV5828RVbXlpZ6sG/nTTxHk8d0mikWzWRYSYXdnQbb4QusgOAz6jZGlCDKB
UqVW/FdGlvzuRMrunAHi3V0I1nqyd67DAqM1zFMblfLZTONdP3rGWy4MKFmX7bgjtwwp9NzAwb6d
BvP435adTK1euQI0XLRsEYryaBEssNW4tUfVYLgpnKnfEgsZdVPE1j91Y9UlyjK9bcLNMhoKBCX0
8neE18LzAE2hY5fhr6SuHSNaXrkeChHUaOoojsi4Bi5RdfUU2MNO0fRTFymD5JLVfTZ3o1Hol6jW
fs0rIeNxTaPyG/WiznGuQ6+/sGmanvuy628adMRoLDas+K7N/SuNSSAX79rRAmcA7ghGjeYeG6x9
CIKV50SbNGCKxi2NFYNpPLggDKR53OHt49gnAY3VU5Q8ucXvGt+8nUiBdedhOTyKosxAy5UPJ1eR
OwE2bO1T066hpQO+qNkF1TSN5Tj31EvL3AQGMDG21B0MYLjLzL9SjyaV2KCvECAYTtSlJZnH71mW
Po2K9iQf2uxBU1Hbso7tHTYYA+Ru4vogUbt/JRckZeIrNCgOy4S+6PQdCgGAoFCLUMOLpJsXiYpm
OFiALq/AMOEjlV27q7TxgWaubVtbmZoTQ2Sr89c2n8K7Oq/CO1RL5vsE8kYrnXwaE2V2Zc2vNEoN
OY/H0o/cu9kpa/FwafEdmNfNfDAl6U4W7ZdJy71KdRsjBYWtn5XOGgVXwJD4kW6eHPzjfOwFCpEA
rU39T29/mYz5hjMEwete36U8H/YuqoUeo9j5GadT8aPUfWQOWPVcgC7tbw5Zy579sapnB7x4h309
4tClVshxWHpg4JFZJS407Usjqi8s16xXs9tOYZG81o1srjKJgNNWZl6KeJcBOL5FMsp6XSa9d7Fb
TxHJmqbqNL8ZpenjN5LEFcr7II/0qeEhAG/xMELlFwOterfSFWTe2RUHnsSS/posvmlin5NV1S7M
S6jhObYPWde82zidmT53BbaCSR/1PyvEqjTTtn93SGPVbEzfnB5BjRz4bJy0OY6H2H4fjbpFsZ2a
HkLsZp4+eXr7jJTHsElz7PZbhYVwFT6ia228Lhm/Uo/pYFOY+qwLjNEAvkONck+8j0YRyuUbpwJi
Sk39mO97stzqPhhME1BYIxaAQvhB1ajkFmhV8AN5RN7eA1cUzgIDM/WvXDzReAhut7Vp+dOJJuZq
Yk/FLZN8avJkPDJVVtH0Xnl11BV1IzfE7zQczsYErW2wcICfsanEmdzIY9KiatdzkMUeAD7igecU
DTKeozbXBoR5Wq0SQxd3xuDVV2BfNKBZkTp1RV3h+1krcdJ/ZlhR5t+DEBAc5rn9g3Ved6KXE28T
/woZtF0f400ftGY0bMGk166XrZ6a4Iq8P5FJgKZvq3sWQNIIj3apK7+GeX0A8Y72y3CMM4RLp7cO
zAIBQ73/DbxZ2t7h+rBHeSlQm2oSc1C3mOrNYZJxdZtCu1xlYxlfclWVmiWARwtIAs29D7vTOWW3
LkRxLC1wKS4kM4CFQtdH4wzsqnp5pIEcX69NldvI8ZshlFy5Pl4aMKS98t+1MPhrZMoIHLlgRfMb
33rtwP+1TQ0ht+QE1tb3Oabb2K/GDzvK96Ipk3veWPGjWVgAxuc66KvaNHnMu6o944nzRoNTHNcX
UFRfSunmZ2vM8jWUcSGwqLo+xxtwRZfUhFqKR5gaGWWGEQbhTiXU427IODjfAYnL7+2RNdcc+NFV
P/j6l7iV2rpqzPJA3QwZC6hjiufMUEcw4GxXMZhhvoRpI4Gt0L0Di730hKpTN8B2aMWzrnuZiii+
6Nrog0AXMAAIyfZrrfKiY6W6yq1TbnrUxBfEK6GJFrVIhgGFtQaVTXyk7oeboVYDWAzcaAQqmNrv
qOwAw1ZdffNdxNRVxDzVWwGkFfeu0i+rMyri3PWHB1ISKAFIhQhc5RH2oJQnD2gSVd+i5n0N8tCg
OAcuInAk44GkP/RIpm2mBjUgsmqMB5TSGw95529bRClv5FEkqQXEgS9XiE6BZ5el7rTC02Y8kLNt
oSa7G1tgrjCVZrRqTYQj241diakIalfbysF5M6GpdchAx7TqFTOMM4X1iboQqbGeHd69dyM5JtsE
pcpr2XTuvi4hGEZndRd/9b6rRLKmgzyNUpdO64uz3YvwhKBOuqKsVm/3oApOy2GbtJ4GkHLBj51t
eScdqK05O5aFoOSSyLDSBLJT6qwdZbIbgQGaV1om/LkmIkVQJVxnMbY9Zg6gW1wM2Z2f4Y0mJ3bf
hCVMwBCcpOl9XUxD6kISwS5EEPU5TwMWF9061fpsO/fraFKc5Yl1mPtGiJdvU5VXWqIq3OxulBzn
QzUZeLt5/RwltiCpk8c8ORWRyM7Y7bw3k5cC7PNnP67q4VS0J7LTjD70LdCo6kQ1Y12ZAptPQwjB
YIZaSivUzBXZHDWA//4qKAGK2iw0IHSFMDrSqEDaxUnxODmj8yQ7wGTG5MY7zXkii6VNB9BH8LtO
mQZLb1ZpzdmJPEpkJNZtByW0Vmtd7KhQKtk14JCiqTGkZI8oxvJX1EVJrHH9P+7ErIbfJYC4tMjC
+zx3UCk9NcWpV00iLfT5GBfADE3Fia5ouLK5BDmxJcHb+DEnIncaJ896qsHn8+cljWvt0GwgpZXs
7DzK1qQbfihUdViN78nabHVx4QDgX5w8z9a5blon6Va/ujDjZ0Pw9yZKbX4mm+uBX8+x8xMNTsqD
g60BcbQPFxqRqKADpTN41QrtfklTTQOLT/rYvHUfleU20gxkojQVNVoPikrlRT1ypYlT3M8T54zW
P2sty/97LbJ/3HFZy/znjrSyWZbWCbXYeHziYdRkqLwlBK/30cVxx3xOezxWllFsJz53aRQJ8Tg3
24vtaOIizS484NV27M0UiB2yzZceACqH1DCOZKOmdGvUM6sGZQYgKX2Ne5wgwNvVsfFZA/zeS7XX
um+q76XlvXr4InwHFfR8ATzpfPGvIT2U7AVSGUc1XKqZ/8cS/999IAGGKi/wd28c7jjnRrr2ioge
ijiPty10amd2CItB2aWudefa409+Mb2nZDKt179NCj2zndkh/nOSTGvrNbLs5CxKFF/yQpN31PQJ
y6GVGSyWCYG4OzdRG/IsVqKvumKzLGtjZyQ4o7rCGD9NzXmghU0VzksOBrg6dKmCEuoOKqZ314Sx
sctCEMGSzUaGctX2rAQ1aFlvBtTUH0LW5S+jNu3KxgSoVdl1K/MXu4iqdzsDY9uhAb7uxalwhvyw
L/7/tlcN6tcoezUnvlT2CpSX0GQe52RZA9raM/fbpyV/lg9msxscTwZL/kwghYkobOJtl6QYt6O3
PLLliUyzPQ6qEBVllHObtDA7x1b9tNya44Gza5p4DJZl2nD4vDQNjEY+L00L6aByvuOuGUwGKgQ7
d0JgMAck5ZrXrhtobVegDkCG13kET6jxgLqW50LZyK81QygoAkGyoxXmubTAxyoC7D4oaFKLfjTY
ns4rLaZlzSbJdnjfsBMNAgf2kDo5Pw8o41/LgmHHrTYy884DL756tJGaVSYPPNP7Kh9B1aW6tF1x
ygi5NhFmJ7K5HggOAAq/0eDsptZ1kQrfLrbS/L0sq43e52Vpkq8hmJWKLsM5CtsgWnYAozUNUtN/
LBt2OCqMNXZVstecQ91jZ0f7GS8CDoK6tJ+hrusNAoVISE0sXRpFLRt+L9nZi3DqGVBBvAvl9M3v
cSSKmD6cQSiOPR71mTLSFTVJWEIiNmt3NDUEyzpeG2oK9ZcVwgoE/9bQPvxhn1f+dJMx95MV80qx
RYhjOEgWPZr2oH9lEGL1Qyf5UfB0CFqZelcI/vZn0HignHCs/G9GcyEHB6rEQcXAKd/Iur6U0BFZ
04C7s6Ax9R3Kzs3abURy8eOouMYTsAdIbSU/XPNpqI3pm4Wi9DV0bEu1bQ53SBEj9tBBuBPv3PFr
odvdKsms6K4sXftKAzgCoLZCDWgosZsHag38y6GJOgrZHJkRg1rRURAo2YkHsoneAcpuHMaHBpHB
rRVp4hbmsXkzWv2+U5vaFKkk6olei7caGPOhCAyRx4gx84ioyoGKWpZCF+pC3dk5gvx8HiR/slMz
IrV0dBJ3/6ddLQt2aO1YGf3+k7+y0w2ySYtPKMiZB/+Yjupd5I91MX+8pd6G3ACJLE9Tne+WZU1g
6i+pJ4JG6+TFdZHQkcDk34YQr2sUmiUPXeYD9ltBsUG2fhkYtlG/sq5FGZ9o86+eBxSAEOUPPwN5
Uuny39wu11lWMOiHPiAZlOKUkndB7Vvhb6TOAOPOs+8y+YkavebZ5nzcxHg0nhu9rE4GsqvbybOx
qQT5wCoqvP6HZUaBNuXFb3Bwv3BntF99TSK4j8j71dV0/VDZKN1nOJPdp6U3BKLXja+jPRyEa+S/
dTYd+eg3XwHahEAX2A8Z71axGKZH3SzTXWg32bFhXXazvThaG/4gvgJJvxvrLP+lj/EXnqfjyyDk
iNOnUZ59g9tn/LKrDRtY9co4woHK1eqnQ8K8+NS0iRPUUcpBge10p8Qzpse+Mx7B0+F8hUYz1JxC
uz9DP6x+AE3bd7Ljj0FUZmjEpQRt3X3bxQBSJ95a81FcBwLM6KoVZXJpjBiHfcsavrfOxk2T8gfA
NZDJUg5m54471FDGm9TMyjsUv5R3VYgCLwQcasTrneLOgPaat6oLfOIpv5EJNVwaMtPCt+KV1Kp9
pPXpVijQB/6rtXvTy5MVwsbiaKn33jwQolpgCqs76sVuWF0KM74sk/IKb/0xTkDi+bFQiYTxGj+m
dKsRRAQb6veFyYfFRrcqvPYHkb1Nio+zzvh46otV6SjKt5n4bW7Jh5pP/VpG06kD1pUb3hESNivH
BYtHlVvXGbMwQRoDwYF0SxiHqDS7Cwo0XmiQTG5sXExrePfvgHBHmixyTlrrOQHRUdhV+6VKbOPB
RNDs/Bf70JSf7anZf3Hy7t2/AQAoIPYKfG+++GFqPsgI1VRzJKsMh+6d3xVJkDNzwQ1KmAQqVSvA
v9C3PbgnQvsO/zDV8wBJpn2PEu5tP1rGlwkP3oiz+DteYaBP6TLtPHJnukGl2gNRBgqS1UzkdKtn
qWZ2FQJDkVvPM8nBCVEERjMtICpuPIXoOPtnJt1TZ4Ao0kwn9vQvHcBH5ICdHmovok0RtfYDEOLp
Fv8Z/llkCfiGIV69tzqrRl4gtqAWznXoUVugV7XM7Aeki7ZjzaYINYnxBhxdxo/URmUhELPpizPp
Yu2bwrxVItJ2wzT0R7fpxzPy7BAfZ1Xz0OAxj/K8oXzDNuIpzADuXcUPE2/BGFazWqmK2G+dppfB
3z7bxK3/+GxRrX/6bImmQWRX1X5R6VYsuyLorLg/zsVZqgvUfH+ksq/O1B5QR9IdapFlYoXIKijk
KFzntazZWAkYA2aji7TtxpOxtkIau8SptWdbCTGzIJYh/tXJ2FUJ3tGRc56UipdUTcl1tu0iiJ2z
Wu4sycqjBkjIRbhcXuiKGp5WYCgLXXe9DDRN+D3p9HBVtExurTSyDh6r4wdvVCVtI6h+gTw5o8Sz
fiWP0bZM5DetZ1T/iAB67NFR4lFiLWn9TzH++ZKcJjhRCoClibMVMsaxH2x0I4K7DvNQgxLmm0bB
ijur61dGD2TgAFjQk+sAIm1n0xdyC3XQnDp1jQjcgLNGkvT9tVduQ4RaPjX9b24Sv/xdCSgiZKwY
f26LYodSbuT18Mvbmk487QrVFXkdpNANec3KRj9mpgvZcW3S33RH/hpT37tDolnewKaNinXlbxm+
G3ScIXOlli14uSP/MWXvy1aIG++nApXtoNYGw+7WA2YsQHYxOdDRlrq1nqaH+eCrRlGxkXzqIpaZ
HNJGRya6QXWpR8DVKHGGlWEMzsYvff3sENoVL4nB3aI84+79jlCnOUU94jT5ZPZnFJmAXqIAUfUZ
Ap2huY1qFJVXTIotjVOjseRb6tbmTpYmRw0LmqSMhkvVNRVK+XMHDDKeK1dkTKru3cdyOQ/qrkP2
V3nTAGeRBP8llBayGslbaK3zCxchwITQlwr6ChKNIgOaH6l7XGLn1W/B+NavPIQm5YqMrRqhKw9I
mUPVsNtirw0T1B/zKLfWRg2gocTOwMFr/NTRDw0/ofjSZzZ+c3QZe4+1ladQOEPcnBrkqHKBkO4/
/R78QiV4/cnyaSb1pywxoFke0FrLHAgJIRSvGrNg1saWuZtfQQ/Wb3VwgV9rI7QuOn82FNyLGjLT
1RQLK3DTsdwk2KkwnEFC7zxFRUAuGdlGv2yh3xPbm2WFNtGfcTqJQdPn8XKlQZXs6KuGrqLM6Usw
Kbgw4jznb8jaT60N+K7ycpgNpfNu3JMPmWyn+mc2Lbn0yYe6VVU4drCMuAar1oYLQclWIGEkyuS9
SRGNbFEvj34uvQaEQ9Gv2ZbTCLk7Lau2Q6H9pgjkpyBlliRQ+YlBnt4DzX7G2fFzNPOP4CZN9pzo
WUu0F6CgrYupgR9QWPEIpfgxvTRjXoJ7iWv3KEIzg6aPTcR48mgFxsjyp4yyDUCKJbAfCYRrnDD+
xdPmexW5/Zd2RN5ec2P9ARseD9yTnY7/xyo74KU1gAWnRTU/yzYuXq74PTgl/i1SMZ7nS83i2tFo
sacqswaVRGqEGlcAmTWCFk/iNNgnJor2QIfxBuDlPcQ620dvqv0zigXbgOwaB/li1cbNLQut6c53
JPYvakIMrgBkjCrnZKO++MmrIKcr9PI5qqZ2JcHId6ZmFFpx1lWz2KjLBe8CJze31QRAuCi7S+dG
1bMPFOxD54WBbrYxcC3r1i3zZ0f21TMir4A31vyBHKMqvwIl5d2o16btT1k247wI9OpAq5rH+B2q
NSt1oMWDSByom0/OtAYWyN5Rt/dqpAcR4N5Sd0zCDqex1ltb6qbgCk0OyG5YAY0iE68dmwr0FjTq
uUNy6XvsUGlUl2Z7Q8jgngaxdU1WtTPq+0LTrAlsy1mLgoz22GNzgFBSkYUXfLfCC11pov4Cvmyx
N43KmVZmEw4IwI9ggjcKHAwLKDOrK2oiqAIcwwTN0v2b3zKNZpALTVu6/+9LLbf8Y6k/PsFyjz/8
aIB1gh8G4zGMIbKsQSWkWtHl0oD4w1lXVi1XEErIT8sAS0BJ31TFP1Oovwx7asWlS1d/3iDvkZE0
GFgO//dl4ubjg9Fd6JPMxuWuZHTbxq5Wrm3cTzzB2U19iGUKdWcXuqQpdZ2+QnmzOWhWUt31kIZ0
kAo6l4qxk5p6dIAC0cI6GE3r3SboKs22GkSNLqP6BQAbzbttyzPUSnzMpRlVCrScZOZlsU86aren
HE8iuusyMIJeR7giu5ZejJ05jwd3k9WJH8x3/FgYUSoUboPDW9C9c17ilNwY6XpeiibH/C1nIr7N
S+XcqDdxojWzi6/5VwskRDswTPCjy3V+nK9YPrxf/cVGLtKzWY4fNuZRU35cLTZXLbOsSgOLrQFL
aJDa+MWD3s1/qAcGbqoYTOrUDZ3Mf+AmJLRFZt5i5dFAXm0f984Q0GBje/5DhXhL0Qj9Mk8SHEqB
KOJB5AsQ0ZJ35c2zrCtoUpqf9eRcNVevf9qcXWOGixIWL0y7M0tycDP5enhgrXwmQDrB0COFRUck
YLYvJvIge9FMN1SZr/QRB4LcSe9AoGffp0nKrnggbahHjTaBzTm3+p/DGGXI9PVA5NV+0wWeG4LF
gBXRqc1tdZ5v3Lf+4ypLjXcbXQ257b7F8Ziv9Kpgb/NotNMN/zHjPLt3HCe7B++1e+766UQmiENk
9z2A+LcQzzKo5skoILdhuI9BxnRHXtT0bbfPrEpcqCeTNLtvy+q1YiWYNNTKZJIdOCtczYwOi22o
rDbwUj3bkQsN5LxA0UWFIh6y0ZpxAznRqLez9XLXiHFrl0kwUC/rRVZuHpghgdcyPHzgtJq8k+32
9zSN/iTgIhooldafVjca0PCm80dY/oQMJ0oB9q/rYirD9k76LD4vn4yzMFkZoElETSr+wci3c9tw
pWku+/RXNWYIGKkJuipyocafwAHSGZ0x/1W0KBt8iO4VBQ+W2+p96e21Brj15S8d2kE76p74svzD
IUAK3n+eH5ZPJ0vHv1XRG601/x/6slZR1/E2d6faPoJhQ6hiGnFgJkQStKqQ39KufzLzIntKIdl4
ZLoOhK6yQ8/O0qr+OmEfDvCn1217UBkdvKK2nzmI7shJd00j6F29vSSWo601pypWHAJ8j4M0XkQ/
lhehem7tT1tgRcCc3PjGY+vK9s4D6VXvZcYjmQYD1F5RESUnsskhqvdFUunBPMExo0dpbEPODTBx
AqKHffWQHmhxcOJmR0RFjBV1aYKPL4vmGvKeTMOEUGIuh3ZHi6PapDinVvmLBunjaolxQgo3us13
7y0BtFnibmgxj2Xiqtv1lfyp8dP0W5Ux40w9ie3hLmTmADoR/EGTJqN7IFXWNEimChKZK7sN5ZG6
2VRbe5YgWEcu9BEEKuP06ZEMGoPGi99M+p4+AGg99GPEJY6SOFOJ5FVPrOF+shm/qyfxMxS+/wXS
7uMGioDjPpLoxlxbg3QLGM3U9891W0CBDxXUX8BTaIMSt+hP9ZAAumbez+YBCny8acAXghhN8H7i
BoXafsbpLdj8DKmP01DWq09APSvtICZuWA8aPnYdha+Uv4708jvvePVUI8m25x0kfhCl9Z+UA6W2
sQf8bndfNQQ5v6cOAJCZsH9nVn7r89F842k/Qg/ULO9dKxl2XmPKY9i4GeIUmQ7WQFs+ZSOUcUsI
dP5Q06FRav9OMJ0VCAbjKxpuQyvHVyPXUZKg6sgTTwOzhZGh+CyP5Qs0KsDlDPviJlT1ee4zpBER
UJvdXNTekxuqI95XG5XbslqS/giJ6ACSxyNovlHeoa2K8WfBYqBLffMVssMNQIlGse9kn700g31m
tRF/Rz1PHtSAR185M/VLZYxIrVlj8v1jpsghRkEzKzcCbNuy9LWWpkgQRWX+Qldl5GbzlfiL7W9+
kW7oeG7W+ac8m+Za4wnMYPtPWb05x+aMj5ozuQdKr82jDFmyjaM1KDP5yNGRM62SN92e7DLNV+WE
xO61Hup654J+4NUs6pnPys09Y5NZXnsACgnivHk181lhLw172oNA2/S1F+XvIU6GKjXAFJyxAo+y
WQtzo7DzQez64MFu4uy/9EWQ8lWY8PDkZ5AdAVQmq67F5CDhYog1DSBPWF0TaAha63SSa2CowtPi
Fo5OvB2jnAXSRjWnAFDjxItheIqFWW7AUia3c3cCEZvttvhIJhueuDAmELjmZxqkRjAQhqGo6556
tJrMjPfVbEO8rxZZWrT9H8K+bDlSXdv2V3bs50McAQLEjXvuQ/a902m7XPYL4eoQnejbr79DM712
upqzVkUFgTpIkwlIc46ma1WDiJewkhlpZsF+6NALszpRqWZpvYn9rJpTkTYI8kKYM6xPvPQB2NQ9
agiIzbm2EqG6Pxzj2kMP+PkYfzqLXcL7teigPSlHXjwYibknbYYA7qSbBFyr5aBvCnj0RToW3d+V
MO1+4P20ZzB/XeLh6O1lHcp5IyZ+qJPc/sQgl36VrWtVvoMKZbEIgZr7TN2CtOQHk4VrYeUdSPXu
F7pj6hrGFSViFvcNY82+CTuxYGESfWmzY17a/muXQHZ1aqZox7JUPeiB1F4lOTx0LMCF7Chxt0mK
47i15X4LEfCRsum/IFvazzvuy3MiTBNmrhNURu18goly8t7XgSNLCztGtTCRPO2g0AvtD84WA+3Z
WKr2qhUIF2Dv2qr3bPnmNANc3AVoQnoDUcw2XNcA9K6dhiMp2+JJ1GAaAX1/b1r7eM7clx5S61ov
7fplyGZc1C6CrvRdprKL7+Espz24zo7PnNcUWrswU+xfrWlg8zaJe3jphf2mcTtjw5DpvOtBCZ8j
Lze9lMNwIA1tX0G9M8r7V1amsIME/8Lo4+xRgXoP6jb2wqqAbSgeyY9G3L7X3VppTzFWL3tVQRmI
40EJika2o48cuGl6cMvq7fqJ9Z/iFhD7oh6ZbDdwLIif/Kw45LnhP8YQfNrhiaLvwn581fUpw9vC
kpLvXA9SKT/XT0hkzHKzLjd4/A1HTPiH4+S4Pfyheb5OrCKalWyACQG1eDKaZk3pyHXej/A1M+CD
IHwd1NLFW52XpOMG2LbqvtObGsL6yF6gjorUcKvLa69elYHVzQnlRng3rIHvPe4GW8K33eoNL57W
DNjhWUoyrTdnK9+u7pFbq5eqxdMjNEzrTiWOsYz0XuiO73tU96dWAEshnwOs5DrGr2cnkDpY1ZNX
PFWV+mYjyvgtKusVAnH9q5kFyQL4qfHUCoHInpnXK5V67txSkzELRGYeBCkiUKCYyg4icpjnhDuq
oo2no8i0hzQFvFyLCUa0AK+uYq8FW1kT7gjERXUQAID/je0eEcjJT75+/KrWerGmhm1i7uCRXBhD
suXMwFuiTOCB3tUhh5mOGX8LcFcIy3XeCl/GC9NxspOfMLGXU14vh1a14HqDLw43z2+8zn6Medc8
Chk16yDIs22YOXBK0wejHpMNx/Wodt4Q2o8XgTephcfEuIGEIGHUaeMrVS4Dz7GWVOxB3ru47x24
7azdLANcfGweJhWA2p9E2RY5DRAM4fBwD2eQ97rSOxpBvFXSXf7JsyKw8arVjZNOxXtKsgUgi73x
gOgarkIfhcWCuP8JUlcb5HotvMLg8gQhxepeIhhzraMiNQDd3mzsueFBAKHjnfUEGni341ahtakF
wocVrCFuRRcCiriu9jG2QyCkhevPE60wDqvWT25dhQ+e06SHbkyCOSl6u3/Vt7mdHnJb2zMhAr+E
lm8KU8JihtvW/AK9jRaYfys9e607QusFX0TqRN0DExUEh/SjdpTvfTsJRWPbauVFmhCvbgMksrA2
nF45gzPP0I7PsIt5rycgBjQyr/XUf1JxsAyNCRyDpkk2vI/kCkkO5PXEhOcicuVQtwEpJEnTjZlk
zWfqIZuIr2OY880w2crmV+n5xmDD+o9lEp5HvgwsGUf4G8uFNJx0a7if0SVtq49FakXEv9/S9S+j
/rfWX8beOnf6UKUw2vUUTrt+RNIVVujlfkAEYKUq035QgITB5lhN3/Lgrhj64Ls9lT9sR4inNjWx
sgyH4AAUeHUd02aFsVQjmEp0v7GRV+vYkDliT3oO1OoJT683qT/Zc8bebpzpG6+6gJjENith7sPB
vO7drIZB8di+M7Fv/eDJgLl5lz1xVjP8TvsK2jSZvUodgIujpCyOIMGrJWBP5afKM78StdFwv+Kx
lXy7jWHRJBdG4Ly0Lr5MYq0BYVyubkW/HsoV7JHlKvXC8OCMoF45wzOh3/O8gzWdDMaT4KI/WC0W
MlEZmG91cu1gDw9sMGfIFpRAiOCWyDHDRFiYFweyocl00dFFarU7cDupFWtF64la/zQ2cSUyF5mC
gKqhTpgmYF4JA1qrHMS+bBmmmrq+r1wIBozNS9mK3P7RJp64wI92AYXbMLuXoSYwtNEBSt0O/6rA
IV5AVoPfGQVc/0bDS57CNK+WcJKajqB8pTu3SNz1VOT22Y4LZ945rnzpLHXJ0pz/ALEf+Ea//SbL
v4Z7sgV8o0ssCPnjXQF9BB+hGD87OE0XAD0wfKLbn+otrty1V1RX9yF/tLIzuN17pWCMdDMkygrZ
rJ1WQgx3giHRrcEsOAw/jDMUbKBEVQC1j+DKrHSifk/FZszfi0Q9xNvhY+v4c5FaYwZ62P86Np+A
0SlVtoC07cGpPbX19QQLaEQ4sokyk0cq00Z3CfJJbePEiw4mJp+kZxC3/ffAyeXZ7Qd+YVNyIjEE
W/X2GrDReEW9xmz6DpZeeMbc9tqLqq3RRq8hRS89c/3PsaBfce2l6sJdtaK2l4hQAiA8VOw5sqEN
h/s6uFeyhh43Hv5HcGSQgwo6iaBLbx8nQMVhjljblyavm3luquFz7Ntvne8l362ywXCdh3LSEksl
lnxzfRitDqHDYMgW4p4Oa2ij9CPSJJ0ZHQPTeEuNgF8nlF1iZoc8lm80TaMFggDLdSbsLtnRZM3n
+A2CDF8sSc2LdL3aIUiPRoVXhVb+ovpmaEHt0PW8F/NbV6qHTWeKF4NfziDYO61BmsmePdiLK1PI
L1kAGrQHLbZTnMr+JECgBtSgkV9iWAM4DNoblhcF659HJmY0nVVmPyvMbI6QYFJHzHrVESuQeOMM
xidhR9HejqNVaGXlQ5rG3dlNPABaejiDDoi5zKuAsQ21Gp3THMJQvF5b2eh+q0H+2GNyhFWLyw1Y
XiJCRn1pA+G6ldMr445KUem7i3//67//3//9Ovyf8Ht+Bow0zNW/VJud80g19f/822X//ldxrd5+
+59/c1/YwnE4NCwcH+ojrivQ/vXtgiQ4epv/JRvojcGNyHrgdV4/NNYCBgTZt1gFIbhpYYnQrc83
tq9VFcCkvzTJCBpu23rfkDpH+lx97YzFdR0b9jLZg7GyTmiG1TtOtwHUzElP7iSztSBdOdil8pkc
y2h9dRlMouanMnjEJwkgzG2aESdOvEA2JoNBCJSJaBMmwcc66lxm6YLhN76DPTHQs3rjqGw42noz
xE21yvHQgyLTX61p1X6GmH62cTqGGbuTuRXwSKK7dqGx1JkOADcFNvv7S8+t3y+963IXvyzHQQ7a
5T9fesjj5UZfe+5D00fjBkngEKgpc1pm3ChfqgRJEz2d6CfwoEvBqzP1cMF5AlWbASb2516VCoxd
JsWH4/RMy2zYQwuzYmPnOLV8SaPKWsR20h89WGLuywI6GSNyU58miD7j8rrfdFfoTwPjrbuyAE4j
YToe6DYzq/GulbG949zCMxeUBu8ffpe+/evF4QxRX1wdDmiI67jOzxenF0kpAJ1XD9dJuls44OXn
/BMyFPk9HGW7e1D1n+hxGNXKWNEjj4q6F+Ba6n4s4FVsSf8NMeB26TqZgmoaHkxS1TBrcJzms9VW
R0/PEfFSvKiY5c+OUcAyqOjRdcz5vvbO0sirM4D2KyTsnYdcq+mX0LaF3EES7KkOkmHJuimg/0it
NKCKhpWjdfkRNYNrbRVx8PbsbI7gVLydPAXV/kCB8jgE0Myw+6Sa1wFYhLJ5gHe98/BLX26ea9fa
Cjh3/DK1J4c5q3X8nW4k+7mpC8FO6hH0wPSXHUwefa96P3ts9AaRwqJyYgiAoZBFbjfrQD3cZX6h
Hq3WrFaGOeVLaqXRfZ9eR+cQ7727xht5YbGlxZvkg7h813j6qWw2K2ooLSb/4RfB/Z9+EQ5jwsR/
B47ZHmjInq1vpw9PKjxZrBFSMuGDg1cU7OPYcOpNyCsTzzAqP5l+bb3RJIwb3XAInWA4GdLHFM2o
YAUZJ0dylb26xJJ57NUelnYrvyiKWaPd3iKAAOG9U8Ywl0nKPQ2iBir+r3XXg4UsCdZ1LYCyGW2R
brx+MveMC3NPe3xI7HKmohFoKySK2IaLeHtr/q3PtYJX7fofnj0/P/b1xYQAlMuZK3wLQnS++/PF
TGTFzDRjwcUb6hGp2MyfmeAvnK3I8AH6zsxll/rqJWfOkua61KOqJFh6Pe+hcAvhWaQRCwHucVds
auQZ9HO20k/XDxuQjI5dCy83dKBqeHwg6GRKhNPCSc2rxIS8q8Wye9NPohkFW6iBZcZ7A7IzEaIE
kHU3eKvmcVFAyybw03sXOJe/vyq+99tPzOYeczzTguQu4/YvVwUzKh6qJnUvDHa5R1sbZkDaJAGE
TbvckiZq6MbxYijuI3dKFx+kl3MYGpBcMtVBPw/EWAEpeZJWDrwROLjBbRZ1FRvQ4s7qOUEBcwfy
HLBCDveORgzG4dprC+/51qt2gU7zGKwbex0aKoIYohiREW6o2Oq6XoChJEf7tzrqV+hQ07Wz7kd1
Yy0w1ebGS6XlvWdeOPEHPIbhK2KFMZS63HJLLVEJj62ggg0XtX7o7fO6hkEu9w+ytfRPYHzFz6lY
xVY9bZQDoIquZ/ng4hmBoCJUU7Dih2C/ABjfEbOu9ocHSxNIChCRkbrFSkmXdFs/wkEpbRCWg0WY
DBXknXsz2MLcuzi1TQSZ+akJ9iLzPqeqbS5UlePVtUiRw1hRkRrMFBQqZr79/W/Ecn67dXz4bfgm
zAV8h2MVrts/PIdGn+F1N9rlRUpTR53Vc1xX0RfVA3QYDC47I/MTAZ4HADD09eSXAooYyO8HLwXS
Siv4pkIlw3Ojx59H+lXHsIAZD35mROC4QovF7eMKMSnI1VJRRNNSFu300EkPqiKhWkXaEa/IjfwI
mVhATXURK4xmIzytcqOLWQXx0VI4w4aKIBq9H5KKsEJeRoCaLYWNXzkxgqLAqpfR5DYfqNdgi2Nm
VFVX4hACVdM25aC6XanXTgYhCTiBmVfqNdzm8rvAdj5Qr4twqJdtn7XXU9B5RhBzgPu2Eu/Fsrz2
3rX88C7pwH8dQOJ5sVsLTuGMZQcgFLxHMyy3gSzMF6iKNCs8U4M1dYtj6J8XyHX1jQDeqcMKgupd
3rzdDmuHEyLAejgdtmjzEKH44lC3fAJuFNaNY9nJR2iuc+BzEK2rvHo71sgIgFbgzaF+EX3D9EnN
sqkMnpJushaBMaR3CtjQTZt31paO5DTIAN6O1LMsvPjFAHIyfLK6YJhbMI1DcBrcZKE3VO9Uzbis
Hbudm+70XkcN1G/AKJsx+3oMEa1hYlXfiRARFMXb7BUC8DtyhmziZu8Mk/8CEKM7j71Rgj8B+1Sv
qczNECFgb1q2jU8gslcR1bs6UE8gMyR3DI/D+xELI3hewODaybtH5LlC2NmF+WOeTTVsAopuTUW3
TNtt3QE4TkWYMNvnumaruLXze0TYzUXOUu9ilXl6x0pvbY6Dd6GqIQqaRWAF08rWdRYvazh3XLsH
fapOVqG2FKyFaRDUDVN3SwEjSRkyXdcMHrDRHQMhHJMlAem2F0OZ91HlIKiX11s7qMofnZW82fEk
wHmtgzmW6fxcmna95mltAA80Qa4BLM5VEbX55U/HSZPtkBXlGgGLbll2sMRTUXEpNBsFMEi4JGsi
ijJymDbWqcIthTraODAOoL7uhKeUiErk5Ifxs8jzxTTm41OcgKAhStdErgUrdsxuOQgaOV6kWtzQ
SYsFiEXDrq+aChm4vuuTYx3n5bw2mX8PfVK5tkURwXEmHw+Jheg8IIneg2shUeDmUnwBp2qZZiH/
Ebb+vmuQkaHhgAP49zyU0RqApmn1909C+9e3JWYNnNkMLwbXNE08U35+ECIMVTbWYHQwjDcRYu0D
pJeIMgC5qbMvW3MDqTBERKiug3eUbLrHqXFLGN5AJd/1CvM+7hTmA32Zfc3xqwS4jD/fegDDHyJR
HUQbT0uskM5KC5FVrH86f0miKq02sKU9WDjCGHce1nV2nUfYQB/PWz4mp1Y21pkaGDIg57+/DOav
81J9GRyGeYP+57q0wv7wPvCGAThvwdrTO6bd8zWTFLc8g/MxRLwQBrCtCXqZt5s+De0FH+zy14cB
jShSgPzp7pcF9OyQKYvnf/+RufnLPMczhSkEvjmBhwf/beUJpqkJo8EoPl0n9FPgVVBCD6NXxIRT
HZSH2k6yLv2Arf+qpnd8ZQJK9Xt1CN3GazWz2+gVVhu33nXceAsnKhU0mpYU5sw8P3qyHGi55Oly
lDWEg5HyWKjElBcjLN/3YITAF30LmocKTb4Y9d6tn4JF3j8sx2n9cIuEOHinYxnMsbCwXZ8zlH/+
OffjNETV5CSbMQDVy5nbMGXpJlhte5hoIoDkXfqph6GuJpz0bXIG6K36dOsRGHxCfsgaZn0YwLXR
ApUhGgZYOUkITKd454AFmssHh2XlrtetVKRNiETw6A7hQXIGr6r/jFe9k4AnbJpfWL//+9+ApaML
P/+5uHmFB5UQbnkeOFk//7mgWmQjMlnh5srhsov5NSKD2L5/tEKFxCU0VCq9Saawhg446rtRgdMG
gepZ4kLFMWw7CPMxD2Hr0LLXI7ScJdYLoO5+KN/aiRMmqn/4NeNLsnU04MMf4zALf4nv2xYiPFyI
X6NYDK6+uRfJep22Cd+1sAufAykEBFvvhJ+jzIcEHoDnwqvAlORDNKN6IIC8FbQYkYCOlPzsszyF
2ZHjnkzkHJ4y5EWpm8odtQ8lwi5UzB3IUtdxzyDqGGG2PDTFDhmzLwBbxT+y4oRJI95IKrSRkQrE
i5YaniMy2F54kDarjJXloUk7b4ckcr9uKj6dwc0OF3iUW8/6OF0TRD+m6f04lgGlRxfJxKI4maHE
CwQKkt0JQPujCJN8Z+HuNnV4qIUCVdgeJ+Opgu7GiXpRNRXHtpw2YD+/UT1VUSNtxq4MFiam/fPr
Gaiy1oeszaGbtUqFa6r7cDLhNet2jOv9h7qsU9mhYeXC6Uv4TdIQOpUD8tfaSqvsYx31MZwq1x5o
HQIWv39qWFFjTSiYv8ZMq9yGDCqIKZhjcHE0wc8UqVqA7Wc5h7iwEK5PzAAyea3R7amcizycN6EZ
YXY7LtOgduGqNiXjHALKeKO4TfbgtdI7Tjy4c7lESVe1aWDO6oY58ApxMuRvQr43ePbj1qN32A+I
YHt4tPME80WMRCLO2zYebJbpGL4+EITTIVrQOkfqwdMy2SA2jgC0bqQ6O+FLhK7k+XqmzB9X2ThO
i+sxIsx44ym+86p1VCdQitPjrFqopemb3vJ6hDwo7234W94O6plTtADRs1jTUflUBKcoDXfCYU4+
Bx0QjhRFMG5Sdj1PEwb8AOuWZ+pOxxmQ1p81ENLcUTGQgmvWDnCd+iPQpgyhp5G61oFGhSI0NlWB
74Q+FdXZFugIyHWfqH/EI4hzBKZc0LUZh+DVzuvoIKANh2dMt7Ik5xcIPfKLPUEKC34S/rJxHanm
g5HM4NiS3VMXYAxsUNjgRhpZVr60Yt6s/Q5qwnX6lvZpuhomHm25YRWf0inABMRL34CArBduk1t7
uI4OF6PrvphlkLwBF4WphGrMkwj95A6zU3dGDcodfnSlZ9xHQZ4cprpJF3QCRMb3QsMZ8248QaoP
MvYDvgo6SRo85oVvQ311SNdp0fvrmhvFZ1hvz0dWBSsrrUEt9ZHGMZp9H5fIPbQIBs7xdIm3ZuIx
cKxxyRB5ZLNiiFg5D/AQC8xQ3VOr6UbdwsXKf01FafjAM8F49XqoCr/hEjGak/Bb9gBDjGgVWAjk
UbFUFbsDpXFz7dsM4GfDKiBfBbX9lY7mFZ6xhsmuM8cq3HywjIFfMntPbdcaBSZEBsTb9aMKo1E7
rFlgtaI/uZ1ifQUREdCGarw0EY99/8w6JhojWbemz9HmjB9srt4/c++KO8CJ1fUz65/DCtoG+ZLO
mjpAsE+eh0y6PoHe0OdGvLm/fq6/+8w0aKiN3z5zmFQQ7Efe7a5Rw6o3EmfdVv62QG4OHLS2ALDD
6DC1oN0xbSvAVpETKSLP2fjUIowcbEWVwtbt2rMBqSN2RAjXNo0L0cfogaheBZF4TmwJI2mqY5AX
lQfavdYWncVmgNoFykgWMsILwE4e4roEn6OCyhumIOkDeJfpQ5nBkbL376kDQAP2koFKtaRiwRLr
gsHUkYbAAUwsetmrFdXVAsniNprDCnXc5l06fx+G49ayAS6nLaG7bXXpAwud5m403fWtR1aOLf7M
Nt/Qsdqp8Y+4Iqqbl0Wxp340tAoH2LGxod5SnRpYfxh5/DKVU7sVdpkuENmN17wZnB1LVHYMhwoz
9WERqGIrkhz2Vkxls1QW43c5rVLl1T/GdPqKFbT1SeRILsRVoIAJh/DdVHMsLK0mvB8C6Miozspe
LVMgV4xBAMxipdNYb7FjQ4i/mbILnXkYc2cXx4O7hTTguhAu5IWsyds3sfxu91aJNKkBcUtXOMcI
b40VL0ITbDpYZo9J6c9ZAMyDUS9LDmGOFCiLNxGyEyS0dfoTURsx4CLHAArIyMq/GW34tYSz62d3
YMmc92PwUEOfcgEbBgbax/R+brD4i90v543aUNyDDwHanJT9J6CEQXA2gSj46Xyw6AafL6+LlT8W
UDCH+vmqggbIIkhhoaM6ExPusTPfQMybBZ1Vv/g1qPYSqnEbhljGJ5+7uzLTR618cy4mGB3ZQ2fe
qShBLodGIhYZyHJ8CHyz2Hkwk17SgEytJysWr6CWpDDI6estYPricfLdM7VPboyYrln2J1kgPA92
I/zO9ZkyP4TQF/cecds124HJZFVaVfAaVKvrQFt0S6ud8p3JEOGCyd/n6wcBanZmKFy4BAuCo4X8
zTzXBwRwaZdHrfo0CTluLFDBV1nTti9JMc6og2GDnwfvvmwP8aXy4guYT9Gpagfk7RqzhnMIDMTB
hQLmghoMp175eGo+t8LmawGp0rVMBuM55/jm9TkhcVcuJilSpHCB+IFHcnm9XDmM1WfAu4QX14BD
TaBNhGlEFQPxg0DSSzO54XqYimoDF5Lx05TDZ0Vf6CSDrgIEMLOjOxk+IHixNZvwSnpCsuqpHOHg
EQFPsMnDBLZh18Q3st8OtBMQz3KRutRCMNRght6DMcCcU79NKyN2LoXeiBRzu9KOjSW9PiO/Q4P4
Kt2hvr5Qiyya1jl0f+Y0iHp1QO+OmE4eqeQOrQ/XjR6v4Ty31pjmmjswqGYeUDFPKTeM+yQs9mbQ
hc+Dl+PigOx5jUVWlQmYE8uGJbW6WZguDKTuthR8BJL0R1oIdqKSPqIFFMWT0keEPB2E1RG/dEqc
9y+yeCrhNwlSyAHYU3FonQ6z064crE3vtXeWbgDXDSSyD83GUGzw0He3UxHDww64LHEIHOuv3VG6
cNmZhm+h+drzEGLfbZchCObbyVx6spkLvCPXpc14Mocd49rqhH2qwTe5TBWTRztjd++dlYGE39Bm
i2vZQrwQDM2ygdONPlit4EPK4vs08tMLUuMI+Ev/e+umaLNakS2tpsbPjE5U8/xrWzTmEkh0tgTe
2YYSlxs/p6HhLjPDz2Fsg2LZQ5I9kElxoOJgWxtg0DCLygPnQU3FMh9V8hzKCpkMbeqFiXTyDLcE
sa5Y8N4ap0OygGLTuKXWjnlvPJfVHQ01wuVkMzAW0rI4I/jyROfJFC939KEyfXxQxv/8oag1Q/SR
PpQBhU9MFpJyHYwTOxDK84r31EWFBPgswErmKhZAXa4yAh+QoaERIMCuO3kkJnA70LUTHTPSnZws
mxZlEy6xpJ8DlhQ/AAcyPdlAuycN2MFUYn2OKRrU2KkkTHtrTyy5ltJiPNhh3p+pLWj8O+h1iTsq
WSF7KCEteS0BVfncDp55ojYVZl9M6URX1XAGh3nkRnh/vJ6CVekM90ZwIG1wCKxWM+WPAIToDxe0
OTQLzFTsqVXhPT8zM448DbXC/x33VAqkbRuyJ9fz03nGjo1bJVukxvLHyfXidWIwc0HFMGXNUVTB
Z4+5EX7F8CkNR6iNUSNrcKrcrv2dqo38cUi6fKVihOiptQ/s7FCPeKJdxzbQSRHpI3XNFKTKEajH
xF2fVLZ9t4TjQ4rsOw7kQ4FhB/R/WvX1KbVhLZAmmblAfr0+OSV8fgHKwW4sgbEY4diwulaW0kdT
WZvnOOv4FqGHEZZw+hgMQJDMzj5XvdwOEzDqEEdUD6bfZ6cykidmmEYOsOiEBZtpw05ItzpR3eyD
EYizICvzB6qD0dWrk1kAYumqyO9hGq8XQiMdYDTBWrDyGk9fjB9MQKcCCXNHKtIIq1jJpGMXqjEl
5nqjkyYrapNj0p8RBrl2px79AMPrtkAkiYoCYU8I93eXyRteIZXTHKi6MQBrxA+021ExrEsOphHo
AlSkTV9Zj3aTpkc6kz+BXhHh7QXKEj4obZizgPfGAj+U9NzzgS1t1nZLPGnKlWpyb0EDu9w0Lv33
619bl/60GEE2BywPR5li27pL0nhtyVE9UHdHITFrscl6//gi5FgDOc9+Ar+pOfii4OOHczg7Qdnb
s+1z4mlktiF2tyraSwZvBSTfcKTStQqGG0gbDsMahNr34dD5twEdH7s5lA62shi8ZcrBcxiBgj13
scium6AW2nAh2PltDpmZrIbc3TCo93623/ar1oOxny+LaNEnoXlEPrs5AgmYLZIhlV+DLYWZb+2M
d3/bTuPxas6w+EvzFbJc3qJEimjfNuDmkzv6rUgiOrciqEOQn9GdQVNEZ0y/n26tNLYGLHNR+WzY
CmSw7mrb/EEpYVdISLRVlbumlDBmbccRRgSXBrNQ6hXE3tPYQ684zHp/dfVQssynro2ae5/75X1q
p58ICVPEoVh5ReGvWrw6kZKdjS5olSAZ5+ubzlZqVNlBYtmSJJEsgAL6qwtpbCWDLBeQwhmWY58n
48zz1Rm6h/GWAFLXOoJJuUNTL67mbvD8BkCkGKCA7jKBiwYhZTlxQHYViDPQ/bOfqBUWYzA4hq9D
mvThaggRpyuMHmqappWzo0z8pYns2NnWmxHqF+cwK76MVpXsqET1orXeh1IdbZhrDIsRi7Y7x4bW
cQRx6v3o1d2jk7T1sillvep1kRumt3XjMJpTa85j/66s+I4aqarouoVvM/OeSvDLgTzvmOV7eLB/
PBozV1FYufdwym4uRnJsLdXfm9r+vM+QQveDhs2ojerc0ICNVdQjIKT7U52fHJuqtQ5dnJ1uA91x
YDMq/jLQVg7S4hgEPliPMMX0fiYaEGcq2OSWEOlJYZ4A0QUTIazQ2xiGsvYq6N3f9jDDX5leAPRX
g+gRImmIUmgWAuABfdk5Byq1g+HsYYzxRiXaAPI/zmM4na/trIdQdyfCS4d4qh5MhwmixtB3d7To
6gSq2/qIjXScQ98b8uJKgKRSBQ/I6ZNFf1IMWesFl66ABCouH23iqtqntm0cqTT24NEOvfmJSpXX
d4cqF9M6RebsEIUSjpJ6k/xnz4n8dt0k5Qv1SM3yvQcVxzSdO7yIYUvIG0jQggQ0wbJ25kMt+9SX
qX/HdEOmG3IOMCsEYUHTz3v/DmTj9xFgu/6YCgt0HSfddhqiYJsTv+dQv5ys+pJpmIKHR/umLhBG
oQ5U12sxIANY2OugOjf4veevlHd0nWHuJlYEsLTiJ9r0/gAbNnjorjoYKmFBjwYpNNB51C0c/MXB
RkiN+lErwIWPHVzZNqSspXwXliiu2JOwlm9CY39GDVTWrUYQfgXmE/x7CS8h5ffWw20vNEa5KHSd
EaKVJ/7H1lu/IXcOMLv5Ivu+fEFwFukQfP0n5F2tS4lsJNVX8KBH2KwuNmyIyheJZVI2FO6nrsWE
BxKcWHLr+ttwBZeafQVo9rmxoFgzwcfpGQsJCKDrvUrX0R7VUSv167tK/toq/P59bF4F1dzvpbU2
JhskuUZCJAlK/DsAUJZUdaunvdxtwmMreL32nWR65GlwNGDS8U3vADLZ0w5M4a81XgUn36sVeYBv
oo1buTMq85wGWENE9M3Rbu1PMOsRY48ACb5TV2+owZ4sufP/GiHwl56uVCAPxi3AeNjTwsqHZt2L
0nzEV2ms+zRUCyqmNZDGDsI2MyrWQ4JlGmYKYRVZ7dw2rFXfxzGwQxjqA+E4K3Hn7Y3GNh/pwFVc
IrCqi9LFgX2FWHuACC90gkdxhsDYspDWcPI1OSgZYBHKnHDRgfWEVHbQcPsZimGQNEyyYm76KX82
XIVoraFK8NxK+7kq6pfRsdNziPjn4x8GGebIFiq33KOCrbZhxAnmSoswBOoSd8wiop1+WuCN5W5c
23VWmWGp9QiMN+LjePlS0a45Vlb65UvFBn6q8ymT5f04pnxnpb4xhwzU+JlBNGnetU52QMilewYm
TXF4JlAvWXADdDN/+OwLiPZC8Ck72J1BvWjwn3rZBrggynQloiFJ98yNIx2haNr301Lxl9Oi1/+n
7Lx6I8e5MP2LBCiHW1Wusquc2+4boXu6R1QOVP71+4iebzwYDBa7N4QYpIoSyXPeIPOx2jfaaGzJ
HxbXryK10IOr9fuvlsJgHg/BZG3a1qnvVAfuIuUV8nt/pyPs+14W3MvMM6+4hLnHYm6cfUbm831o
5TZfMUuph4lBXHf+XYoS7G0asDz/BDNxZtSm2WvedH+daUTF55lqQP73mY1ZWJ9nKrQTFpOPc9Ud
E7wqfsjyMCFY9WeLE2XY1IP76qDSsauGMblvGy27tNpk7gPHrZ6JtJDb8gb7j37pQ3VWVs0fvViS
bx3B+C2oMnEVNqlVwyF+Bwk2e0plJDZxkTc/k9FH5YHMWRYxo2q1fF+SoEGzRYobcpHDyW+rDxb9
xbaZbGJRGC+h9zT731lwgqntkz9Xo5MM1ttHWRjeJqqc5MHoIvPo+5l7rCyDJBH4e2x6x+nDdits
bJhbDS366JkQesMJrlFjVC8DFIJNjUfI0Qiq6kUnVQXdM1g2tS3ql3Ee9VuHWyL3XfWiRjiTf4yX
OX9QTW4byE3q++Kkxi/x4Byawsi3qpcgfndFHu1RvZRq8sW0xWqnf1S1TlgBfCN8TNS1k6TV9i6e
ykjD8mbc2KoAwdbf1dipKtprkTgwvhPNwkwnKV4IXV2HvKy+WwkYaRtJn3Pr+2BrF0gd0qi+z9GM
mmdv86fAy+O91n+q4ZoBNmnyWdirKroMXtWNH5XVN0ec9eReNeNjuu3stIBLUZinyhTNTl100Jxz
xc344pYdlDzLPoEhy56yysa3xwbcLb0Bf6pqiJgKG+ZqoslPdQfKSMwDJK9yzDZu3PZHVLw0EqRr
/f/x5M9Lra/2nxcwYlxA065CfWVVbOhg9qNn8ZoaiJH1Ru2Eqr00pmVbx6P1Oawtp38M6/z8n8Nc
FksnnXXy/ZwoS3CSiL+SrAtC6Rn4JXSL/U3HebdED/pN1wNxc91GhMv6EGV9MBwCuBk7VXUbhzw8
gYI7VY2s1yF2uzdhtfZ1KuKMNCYXG1wHMnGPxGE6hC45/z9gs291syQ4AbDpkhpB8N22cJPDOlF/
Qqxl2E9Zp12ioOkvkLv9vZXU2mM6I/gm4Hh/d4b+aqrzlwwZqDFpf9UlFhWT140otOI9XEdBefXq
uT8hYz0f00h2t2LWUBXGiuSNBNHvIh3En7F+dEyL99EY5quf+xNuNNx72koyS9PGOMAM6M+dWHBr
HUpnl6D9+aKvDwp279NPzZVoWRMTwy9yOGaWHh1nrY23nTSt1zLp/GPdEIRQ1RlI2THTsvSzismp
dTQDmX1Wx5i7tMD6bKtXqf2a6xPZcqssmV+pdk46UXWrz8Ee6epjg5HiZ6/bxt3RIyL0ea6oPNZ5
ucBqcD23dsmeyNnA/nF9V9B7CmzjtOGzt3Agkva+jgrl2hsEdXKMDW3+7M2DSDvEg6F/9i55Gh1I
sUPGWK/ceiRCsAS3PnsdA6dnx0RwXF1KJLp10Dt0VFWVuc04LL1EtmA9t5zG5WA6EaYp6+sagzkd
sG+DqjXLk/Tr7hjN5SveQ9MUwrKU96rg5/3rKLVunlymu3+PUMMElNeQRF5+UFVZYzJcCgfTpNU+
srBN/z5YOnBGdXRj8rU8xFHcZN/EiJ+qRjVOFXGV/vQSkKWqpjpdDf3Jvhj36Xr+19A0JxaVp+TC
vtrUUWfqL2aJpenXtSXOrBdfOGeZRMx4aliUwrlt0MrZqgsbBQ+fMIE9XsCyvny9WFRhP9Jo1UPG
hvwfrw+FQyJyVKY7NfbrxTwzOzm+rO++2vtYK85oV7+pV/66dlKa/obAmPF5De858gyooqvdiiq0
BKcVEeCSPa+ssv8157lwulDVTawy/j50SKWh34LkgKUVWx2Axd3noRra1bkWig4/PtXzf7lclycH
M4pJLawvOa/XceOeXZGq27PmIzESmDsj9VmboYMbjEZwamL+5arqOpnHvklU97oTxG8tHm6q3Zh8
69S0OstYwFfvhoQK5krgzqCc7deCaIBqz4pgOi1ighyoLo4tDzkScIXEQFjQGqQCVFF3aXDXroWq
dp3T7PUIorhqG5uGJDU5/jrUTd0mMpV696nXefdZLrd9YC0XJmGb2Nja4UbesCPwxbySlayz1UDV
YyTYNq6jxXruV7s6CiLjr9NU9fPcNnbOdoXm6s8ml4d5NrU7IA25bxf3qpjtBMGqtVBHqi0hYbQF
B91u/tWB1DgExPVcNTjVhsOs19X5X+1qhDqVNHm0b1kuf77if72YOtdog58EENfIHKHffIzmvb7a
I85rAa7rr6JWBoo5tJKTG+u7VlW/xoxWrG/0QBsPpvTS0DGcBEPpNj55dZEfRhHnb0mUPSpKySKj
lL9F988RAWD0//uISGu67bx0yMMGKIgGfUfwqovLO1P3draF1+5Xk5eniCN81b/OaM2sP1pVcw89
prhT7Z+DvVn3tkOBo53T990DWvMwW2wcOyZiJwHpvtY7YktVhc3sdA+fjXUpDwD6ViFX2qq1kG2e
7Nhj61t1mc8Ow8M/JkNNe9FXG6fV22nSZn2T51G/+WpLfeF5n/VKeTd9dRkGcqqhOlM1/qNf1aVE
C+Nfl/vPgdP6DlSPKtQVXcP/q+2ryl3HxK7G+GWDI8w+g4C2Dci4TGEdz/X9hBsjmZ2q0S8N3BTd
ElRVTx9Js9/GXQu3kl95rxrd1l1NQWYr3WYt2qfWKJ+aROdZYibeyQ8ywiVjmz2a/rvqUy0gTtOj
R+Rx89XmOvh4JCVsOiNz2icBVuCpelLDVZFbAct23fc+X0O12UJPEQ0R8mhW/ng0Ch0MTFHk9wTj
8ntJ7OMoUIFoosoY+e/6lKpHjQHL2YHHHtBxXkerDriTxr4aLCTDitw8V042yJeowPDXabDCC/z4
uXCS6cMowKy3TtGRh24wpctjABKlnM9zA6mehWP8gJAmBo0aDMyMrXM4Fvb8C6L9BhLKGId5P4I1
sgIwSzaCAnnSv2gRSbzBapHu8JDe1vMsPWnrugvuUrWzpnl6qSVg8sRFWd/ws9PnlTA6JbgSIfjY
c/vlRXmNlgIR1a6+WI5JHteb85rs0P/q6kgVMpHV0ZYWYk9xfO/+XRBag/s+8VgrEt886L78UJ1f
7f8au0yNWLFt/3mNr1NF5g9nPPl26tpf7eroq22p/eQuQTZ7fQf/eqWvNvVmsgXpZR8Xwr+H+qWd
HBq3RGgrduQ9wrAY1XuxtZ/8Qu7adAG/XzwGHkROrer8l7o0H2rsl246idQX2RtLuHhdfhnGInhZ
ol5uibt4fAf02nJ09xbL/525VoPVS3fRgOCoK6VDa+AbI36oTgepoKeI24U1912bOTU2bDG3Ot7r
lNEqZ0sGCiyDqqtDZNLHM4jWlfcxBa9FhM93Po1XVYPK+VyU+nj7rAmbwJY/PXzWXO9YLJX+qGpB
RoTERTegtLxv4M+hDY/dclOFCRB2V0aWDkSBtrKx/+poQVRiueL7u053eheG/9qDqEoY84Q6fl2h
QSfglsbiUOYJZvR/XxlyfLArLdCXASac0J0Ke4f2mPvQAbp5sCsvPc62B7NsqIGWrIVFVOS+wHre
jNiNsCqlrbfig9UuE8tTampsmthm2LoJdHXsfR56TJNSbbrTk3ncFkS2fqLC0xjuzxalva2eFead
pdXedR5Iq6mOBrY5vp36xzA6cDiX7jeELP8wy646F5g1IAL4dZgCzz6T1pXLJo3N6twZLt5dkxad
sHQg5gyh0nXa+kUMwMCZ4dsTwb36pWCBc2ixwt6q3gJy4X07Fm8Eo/Nu049L6PeJfKrXpCoqM0vo
eLg4DnGAKQAMKWxF+lI/SyNaPousHP9Z/aktboHQrxZfiArBS1mPoqUS/6iqjn+15eu42i+xoFWn
GEu349niHFvgQJMQZDzmQuw8obewYpP00XBamDCNbH7KwX0JJt16yfrJPmaeHe3zeoi+adAIJqA0
P5sFydFymLtrqhfW/US2c9O0U3mbEqHLQxzDRCtBeaGHMUYnQ2Z4RUozejDXgl1Tcx1XIltKuH8H
BpZFuhxxjaFTDWOK/k34Oj2ra6hCuAkg8HgPLRVcmrAXvM2RMrSt+btV1yhtkkjHFapPD8kAIjwa
HHFN0XG4Vo1A81VGLpEIql8dYq0Wdgf0ycKE6atDc53mXgO46TUlyrml9N6tOEJrWbTexYVY/G3s
f7prc4QH1Klfg4NkCZoQBHN8NOC6ooA1arijutod5GF7N8YFiZ+1Q7WpXsdgm4tYO2OAwzYbNAhD
rVi8W9CBEPc9O/mpz/mTbBrtpQbadZSLbe7zptTeS0fbqAEzDtvbvsnsO3VmVALVUdYr2Iw8FYZO
fvcvK4jOyZntMuuWuo55IyI57uNCw0Hk7zZ11Kai2azhjP0czAMcQnZGwzz5/DE5VxVOm5vXoHpR
FaviAREWgP5OU+X98tq5z3asu/OdDYNv+3VWs54fW/UQyjnyDqpDvZUI7AMWPjEi86srtgcVX+ul
eJvxfL8NtRGHJPQJOLfLfPAa6e3UMD8iReDaAfPu2vv/fZYzJM1rj/mSZpnDA+JEwwNsBKQ+LHyS
ySTdfbX3SUmieFl8toMMUx1Zrut3hFhP6iTVzudF9KEb1xCXZ93IdhNhH333m+7o70pUJw0O6A54
v7VYIt9v+PWbJzV3OwTg66xYdCeJY9QRZJZ1c2r519l8o++gh/+04v43l4vvP3X+lAKgt0rTCAcX
pyTC0PNLGlB1dMN0K/NM35q5ARhY+vezgaqaUqRKB/MQ64l/r2qqfW1So4JFRIfPxK9ZVgD+bFc8
17MZPWrFEyBhKC9rsWDJtE2bKdmrKnDR1Ua5mQ9NuiBs6fd30ujmm7MUCFmSdd9AqVpOqjPxpnmP
C3O5U7343U6XosSHR/W2BYpeMzgu1amaYFoAtbXnm6o5ETGGSN5FbG9Kc7v6TeerncYAoHSbA0jf
qOqXX/Wn0Y2qT+sY2WjdRnla654/wY025mffR7bT1DAyZcm7PGuwethMTK/zWlNNumm+IROb36vx
kr/sAZt4Zp11hA+M6HEQNgF8LhZApkBkA6SYiY2OmVyxx2IJOPH0qfPHWXdZPdrJPXkpfcsbGh+R
tTNZ2IY8Nx+ndqgBV5rZZi5m/Pa0AZeA/j3unOAhO7s8bB49uN35PJNtzQvvYBNd3/te4O7tKn+v
01oDpO9qG0F68kg69oQQcPIYRDzcDTiK330C3XaHQrNh2hYaF/Z0VUeaA9yoqRFwNF1+1lQbC+zb
61X0ONgQf2KWJhRL5IwpedQj3I5lZG/9yiSKm61I8qM3Pc7BuiIKkPaNeX0kMObqbJntsnk1E1je
yGecuf+nEBjbHxUSe0+1bsWn2C8+giH+IdI4OESJERyzSCO2xXaYWTLhX7S8OsmcH9wVzeDL6ZS2
NZ8V/Rw/wabYdsIZOamHGibiXiB7kEWgzxvjpbeM74Fh+qEOImxr9xHRTs0LW4sEkT4D/BnjfjOM
3D1ECUo8pzpsu9AM0R+CQEf+nDxhaC4CAhCJiB2gZw/iaT3JLZmO3Tj2zMt6nl4mYIuhqLr7nnB8
TMT+V+aUSMw2VreLK6PZ151WhKMNwNTMhw26kgCdkg/D7ZcfXdMf8C88ycW5WXWrXwIJtpXJadgF
SVuGRjL/GfU/2hL1Zfa+v5HC5ruQH6gMHtKg/DYUgEnMuoeKWz2ZoNXCscVc3tS+xWW2cdqGaaXp
sB8T9o+8fEf3a2/xzZQBpnmTJ3/rLBO2jv0GG6A5Azlmd4LZS2inAyEDTRs35lLmAKyc72ZiLgC+
WVMGSSU2DPiATLqrSybYucBsqqmza+KCrF5i8nZOhkfBVPUH0KI/tLEsX/rozwYJ3QMktFeN6Cjr
hOVaTwSQimQVnJpyJo/F2+qGeQWPySdZGlSZCC8AkRx/52ncXo3Zwgwtf+mHwXi1vPMAgnKjReLF
gBeyrVA22E48A4h42ifsxa/2Mp0roePElRXXscPzyYAis1syfgwSvcMhAU96TuJT0HQ7z8Q8Mapa
LHLs8bE3kpbFZ9ccEhfRwWHoH4B+bO12HkEh22ej8rVQT5ICpF3/7C0VCcu5WrZ9VLZnkY6ntgeb
i9QSqVng61qvH8cRjllllwBfwXUhW0+2P/GwUKlJE3U9bnEDrgxJ5F59D5gzrjmib9xD1ydoZyb6
xgUBKZBeOC4LPAYbC6DQiErjzLbc34y9xtI9ak/EsEO76WZQHPo5DQT88KZJzF0zN/LcZwin39Rh
A+8tD//Rt5g6DWXlDgep96eqJtAFOpKz1FUM1f15gRiPoDQyw2JaxgNkjxK2s92GWL1P6Ggs8iyC
xNw7vX7Tzbo5AyRfuMMSH7sU9sdbOQMy6c35N3OVC01mCR6lWNXkWRmEzH7x2TURVyjjTVR7eFDl
/q8n/Jw+Up8N3Ow1SViaP03XexZRH5rk9E4xXNWdlw5/1JKfRwTLQ227CPjWaDeTga/KVSR7CG5t
niXoB2O86oqXMlmaXd4DRG7734WHZglAXQ/Z1LreLVri34Y2OhWLrz1HCPxGc3IxrP61dLpqj3LJ
R1fm2s6LJD8ewo6o/wz3uisGUvgkqg1ZPctk+B63doeSYeIeMpeESj32+2hoyw3vN7sUxXQIEr6Q
okazxSyc4b6p+LKMXLwUI3l9s2HrEolDlhb7hYDy0RXyrigqpH2y6nWs9Y1YvWHwqcQmCs80MprZ
vquiu7ZGVSLjZtSN4aGOjPfE9AjVyPais9/Y9Msw7GAuOmfN1AQx+8w+5QKRi7Zr/hRGVYV4Ult6
+ycqPWk42SnW5DLHMDV+7ErLOKLQ28a9s0UBufLks56Lt8bWkzCwJra+fnFNPDfet9aIvnAMNrUN
ipNpsEjI/Oy9a4Ml7DN/3njyru7y0HdnNxRBieF7Ufv7inTPtQey2Mayu5ZOTzQXORLE1OBhdUJH
k1L2r8T001AMzrtVxTCyCDndhB4cxxzNE1+eK23+HXjoXznBhzMW2H9a46kk8xQmgnQxk/O0mR3g
fJUZ+BvC0NORnVdOdg01m7xoLunY8Qz2J3uPeYYZ9qvTp5UbbxC6J7Cr7Z09+8E2rQe8MzLIqWJM
L6oYhJNeyI5e8qJ1oQ67BTDe4dnPIFgQWQoLVwv7rv0ztZw3Z5z/aM2OHFhi3wHGvtSwEL2ZOKLt
+s0WHYRvErPRnVfmL8iKO9eJ6T7s2rw91rEsHooZHJ6W9I+iX0K7L/JdwaJua0LMQhQrxeHLGMHS
Fu6mN3BWbkxhIQjkZ8e28OM7bGki1H6s5LIEhXOKWKmdRZIZ53S0YGgm5XKp0mw8logg3wENtw6G
EPP9kBQxi1lorcBjmv0wYoxIrsnY1WnmPRRdnOzi9r7pofXYwiWZigEk2hksicsGn8ME8d/NioLc
dJlO3twGEu8I4by4VoBd4CKaVymPg+biN1Cm/mtH0n7Tek6P2n6CxnAPDMiasWRCIl//tjTsnIxm
qN61hpxokHXTqXZsZwvlVYYdj8v3yYHpk8BreYdW3AFOBvsAThXXv15Y70xgOCtC1Xqf3L7Hw1fo
eGs6+GcQF3mPEUQJeayP78TT2bBlzfBuBNEQFqCk3gMHKSRn8dv3uOIRgY5h8w6FbEJUG4m3WLPO
GA6aV/QnAwISXrRV1VQs5rXUYBFNyfvSZfUGXpINpjvu9o09Mcna9jlx2RNHsT1cO0Rcr5LPepn8
dg/gjL0yE9C2Dgqolrnn3LPWJqIUPGhLq710GV/ZaG8Gl3eJxFCGlPc0opGMKEwfW2sUFDUfoFHA
fmMc9NzJNjYukPG9rmsS4xT5wx9yUsxog8Dxr57J6cz7AT2RLUghd4MblhUOhpXfGmf0wllk1i4j
BBxaznAwqyzAkzwd90t9HbJmPvYyja4Ln0VL3Tswi695EokHAql9iCYVU1ar6Tek0FH0K5cH156Z
sKt23hBIAF2HcjeJKXay+pD2G8gM3d5aTVD7Mt3AiM9u7thXp2DBaRVpRzxY6uV71Vf4jFTLocGV
bzfXwRvg4G3fjinEF+7/aAHxOze+4KO4YEMwHO4W0Nqeu4uyJA6jnECrbNHBERzu0xTKkIjQ+DLG
/MHVsqu5PrrjnMCVW/Tttkc7VEOHjYlbQHwgIIAWa+Rs+qDwQr2oSEQyPXRp5D6NdUBQ3Sn2srfq
cKwIalRB7G8zDOBCSWZ5J5Pa3c5+O5wR6nDvU2Gk/OkWcAuScJlh80AtWULfvCq9K60GkK51NyNN
txucOb3A7WgOLPwd3tkN3bTmaKCYITQZXTpuVcSh6j9sb+kxYhPOcUCKJklSQsizZ+y6LqoOVSzy
jZ2+StdoHuJ5MkMiat95epNhHsV8Lp1wmIc6TGSs3dxa9tfJnbSwJF1/L8UoNmg288H14JxgvVFW
hHmyrn0g2g24oQf4U7UoUJYOBtqeYaBMj+ZliCitrxvZFXrjnr/EdO0k2UZsFINzHPk4phb+PULu
hyHW8nDw9ZtNQGdnufMcGp127oLqVQjXuys77Xc78UNNjmHd23VT7uSc/ZIW+J0WUXGccx6qvk3v
8mGcQi2dvXDCZaBj3kcVgmlFd4szRt7Rbo5wDxIDTOk+ijBdQ7pDeNpve7LHix0B35rqZJP0k7OR
gv9JX5vFWRMDFFCLwOg8VSd/HnAG8avmDs2xq96ypbKAilhYIppYbgCWZUUmCvfSTgGOLhOLJ6Md
5AGS7S6ZNChrjViOhZNLoJX1SyerR00H8IbAtjx4Un4YIjc3VmvY3GE5N19g35Z+giW3xCc/xrVo
jYn2Q5LtkINmBR8b81Zn91EHiTjDUdLJXi3fpbTAyrEs2HJTwKHAZ32zTBPuQ33wkUelHXbeQKwD
maYpRxtaujdSpdN1AmSIZpHc53785iFWs5sCEzdTke+WKXbZDA98QcMg9m4c6Tvh5W8YAk3bhpDZ
DslVfZcnoAkrLUZoxazvygk9LBkxRRWubYUeknB7LR28TVek3UZEyYEYXH7OkN51ddO9sMa/w+yy
Q8Y8fbAMQzvU3EhhND/kADjGIhWPkv1s7JBotnzyJgJeSddIdqx6a7LSZ2dXW/F0KGrX2KYAbELh
Iyeb3mIxOSxv5LApQEhuHS97TAJxcR2/3XVI5JK3LvT9AB3vuHh6AOMXkROe4VBphqzY9wi/L71b
IeeV4sWAnvo+mvWd9Pw2hK6c76PA4UkSiXiHytOHge7Orunl+GwUhIUK2DeNaWL1FQR4lloIfzVR
Om0xf3zmp/KJsfg/CH/me6HhdDFbWy8HIxMTlAOt77U4mrQI2plRAcxnEm8J8Rl4rhsNbCCg9q7d
DCwp9o2DgnmDEgTo8Kp7anIoXBaJwICcfzuBoM8new51VtJ2jzUYz5+fyCyMF5Hmj1rULJtBN6J7
Ia0P1yYPvwz1Oe0zcSpnHte2BpyrIptRexePXSbU0wveu1sDF7pN0xgoIlUR1LkInFImz51ZAvKa
cjQd4yaMEFg96Bp7lqFx2s/CWUBB2FWBNZLrPEZBtuzhaGKGkUFI7ReNnfpUpAABguaE5WV/nkYx
nNXRVxG7dn8uUqBTcGqYqT3C7eDbD3OZ+wd+3Pps5Xp9dol37bulus6I/Z6RRFrOacGmLYCXtFFX
8zuSAX0+HRoSjMjQXIhe+CGh/qswgvacNeVb6xcEUEp7bI9LUrBFDmA1+/mMLHE/n0erR8vck3jh
ukZRhI6DOotZ2qdBWw3x6sM0L+WZWaRkEzRFO6ev3twEVEA3xBXXJ9Qi8dkt7GqjJVXCXsqPzqpg
+co6NMmuDmH3faTp7XnpW/SyRufQ8jg8t3oGdjFhWRo2bfWSZt0fsiv7z+9KHamvKVkctM/naPFR
funFIVrdKNU+Qx35a3W15uP33rZ1OfGmKdwpGs9u/AqpqeZBtzOQ+md3QVY28NI3q4xLYyP1Jjt1
3ULCfdkaY/ZoaEGKmz0fjOSbgwwlShCs4KWMog0PqfUNNLehktdM43GBhO4myeaoCBM9ig5L3hxH
2SCsUOKKmCansYOXqLFYAwY7WWf1DhDzIC/sLa+k7Wr8Kix/2ahDaSQ129/ICpMOECVSIdC/X6oy
YGs12sRrMKQ6A3QwzwKO+ab24LE1P/0l/0ncxeebjdCQG0zHZ3dMHQ8sbFATcVK/VW1O1bldC1VV
hY2YB3/z9af8r+4II/p/jB69QO7nURBcLA9GPW4wW/5gc9JvpI0q3M7VbARGyuw4NEVAUocBcY3/
d+WniKXPYRu04DOF1wC5oxhA/O3nXwJPCTKAk6F1d1HeJ6dcK5Bzv/XYBO77ZHgso/ou4zlwRiUb
h7S6+IGcXEygXELT6vGYXcybRBuecLjm77ys1UKA0aQT4nR5ipqi5Nm9FHtjjB89smJR8Yzv+mur
+9ZhWMMEuuMU5ylGJrJtzctsYG1zgIjgPfct93Aw+OAli+olUDRI7AfKGCLlMJ60ys24dfz5KmYE
2RxPk6yaiDMGiDc0Q36OdIEud6exrIKMdeGrOaEFoznhQtY51CZAWr5lhlkQ288oHpV1nZ2DavnF
j40/DaDVkz2WeGuaabdNSJGZYxdcR7FYB4LKNayxTcoWYuu0srrpBaTGgW3URuR1GvZ5XN2clIwz
QlaI9pcHiPbLlixMwCgEn60JZVs8bkx/yd5B/beXqEztDZbI5VZqS3OXIZxhGZX2VvOY3XtT659y
fIke8c4kJ+0s3R9TJg7e0uE939nPnieqA7dAeYyIo79VZYRiQqr96CO73iBPO4AYFflV09n3yGDY
1XkifsR18kokaYMDt/0xxOIRQVTvdyGIpzEvmKXm3vKI5UsZp03Y6ti22dL9SWTeJxbAM8rTu/5I
sOSJ1CAcl76BaEW0ZFvFMjuZKM5vvcJejqiYLoeF1MEWlKa1XbRO7lg+bqt6TA96s8Y7AiJSJZHW
TvTuFaA/doVieCrhk1hplXxEWu3CBCeZYD5ntV6t5JVkp1vu8iRH/aOTxns5dg3q5BAmyfaTh8Gr
JfXTAB2gsdyiuZw9ijQrILdmMw+pXTcX+aUp6vHirNG7GajvaLXNMRha7RXr650ILEKqMPa2UZ/v
pjiNX0EK/hQYTd3bram9WLqjYZ+hjzu/L0A2OlWyz9vJ/2iJX7eBD7ZeRvOFwGe8zW3klAYyyEcU
+bc+Su4/ZDBaGy/zjBs7AOvU1ok8SLhnz4ndwXonE/67RT7YCdJfLYbErKcN6zGo8nr1HrGPgTWI
R6uJCG1oovwjr38jK5CQI03qcGnd4Bm0cbSPEw/CcLPgsbVky40Qw6/Z7E7LLLrnUXb+Y4+wRVKC
Z8Zouj2gBM7jSOW/c97sWeW8M3JpefhV/+xWI1WjqqtCDf86+6vtPy+hut0lUs95xMq0U0zkE/bH
amr8eViN2B2rujpS882Q6AxS9X8cfvV/DVdtqvhXm7qOapuNrtxaej2F7O1ytN/KsmZSXQ91jyUM
4dT/tVqDzYJg7c81ILs7/Nj+qn+e+lmKmTSg5mj7OBPNWRX1Os2OdoX4mKrbcv5fHfVqVpFDelfN
ZvzkGDq3g19YG0BE8ZNqqwuXp3tqjwfVpgodbrqejNHdZ1PhZg8xj7GvkzqcG082av6fbaqjlEtL
fmfVOl4v/tmWajI0jEE/fbWx49wgZm/dKjs3dolfxwenRmq80hrnqte2fo2KIGHqm7ofrW+8FQCR
n01dm85LJIqdiwHRYzUvbJ/iOUTirfpIQFwcUgwgjyRGYC3DTsRkb2uYwbAd2pxYSlTeu9Ug7+w0
P/jMsRecPFkiLVl+gjl2yNjyX0okWw+Iu7yWbe5doR/qO41tF4+V2L0fuyllha/fZ1N3RgyluODe
K7DUAcgNimrZWYHhYnpSoB9XLT+Eh+wkX3TwTED/vuxa/QO9tXIrRrfc6YvxQLq5Z4vZI9NYZdNG
om54sNuKTI+OIJNhQpRj6b3NhkF/bbwRwGiXrWwKIkk5/lBYUMXWe1r/smQv2SkDaOxj520Z7Xpb
wJ17yhNECuqp+kksf76opjY2+2uQFydVUwVE4XgvoX5v1XjV1vXma+AM7Z2qDUm1kGGa7rtuDsCp
dWJbFdn4VIqohAabjDstHscn1ZZULHYBR11VLcCV85I0xW9kaP4asExIVROVBIOyXkMV/4ex81qS
24bW9ROxijncdu6enCRbNyxbsphz5tPvj4vepmqOfWrfoAgQ5PQwgMBaf8j0n9FghS9yGq+co6uK
deFu69B32D2YSp1epa3ivb1vFf/Ra8jhT8UBvcTgWZszFRPPZDo5brCEJxi2pS2wopcsJ4MqTVbR
g7pNi+8yrktTNMzTXi01/SzVeGqK14mo+HqGHAtsHaCSYF4F5Aoc9DkuY+cSN4yvSLb8L+h27dLM
zM81/+vW/rkfIf4cOKShn+R8W8dei95GsnGsbLJhj4JT8YBkoHk1xkU/p4rGnbRJ0Rdq8dAuRRAr
wDn1aV40n6Dm/LNj66wls3MpdfV5a5KtKfWLh63NjbO/VK9m9lNH3s6tm/ih0EkZh5j1rltbm620
gAhq7yY9FDJMa7c8qNKLogOGaXVUx+PSxAxFzdqPgEDQ0WfOcJKqFhYZbggdvGvHaj5C319APkus
cOkcDWF2icMQUPVSHcKuxDEYnAlSTay9QvvD8FLwbYVJhHmpmiTVL3oDcr8dOvtjzOvhEirM2GRv
OjbJpa3L6RCYcOX71nZufs2kxE6IzqmKFiKSltrvTp+zBPPCL1KzMi15W/IEUotc3343TAuVpDZ7
kaaiC5hNZOV8L1UQU+YeD8ffK3QeDvpYee9W1CtIgkXK0fI8911janRRcyZ1Ui2QekF/jUmOdDYY
Lp5hMNzJTh9Ex/tXnce63w+TwXtVls/qctKkZbrbel5+Lx2xJWZON3U4I2FcuJO2gS/PMWxQofJY
33tR2UOi4ZM3yodNvk2u7viEO5c0TttDF9kbtj5fnLQ5hU6fgv0MonOOWsh7MLyUZZ2dPAVj6HRY
dC8H+40ggUXyV+uOBaisDyXpiU6l6tcuSPi6T3n2YWnjxDyfUQ7TmJS5uOHczRF0Z3RE049eGUm2
eP4X5KCx4BgRf/Y68yy1qhzqd8e4MjpGRxsvSwdU0M3RdQ/6VoIUde6HH81IJCutSElBo9EvWh44
+5CcwBLlc/Y9SJdjlJrdiTDWEhtzmc5nb1Nn5HtTz4KLpx8QH3Wf7cUPRgo9vRim8mTk9ddOV7Di
cavpiR+NDEcxEq9OWbsoBrTImOTxPrBLqIY6GoKoZhV/tHn/7PuV+o6ToSBudrXp+W8Zca2kYq6u
KhXXZ9JAFy2FbIXLHMMuzIcgD9K1SRv96KYY/WvcpN9L2zUuDTYWj6GFPtzEFPcuq7LfmHs3310z
fOzHTPsLm41T4jUWi6WnZpp3TMhzcthtC1zCSnYe4spfgwV/Heb1LsAb48OMm2sEkPe7liEMpzyn
2Ji86nZxhzJvfio04rS5EudHd4hLkt7RVyZ91bl3ITKErReiT5+0z2Zf1AQC7Oh7Hf6hBrN99hpt
Qefn7mFSiRHmcVhgnO0StFVBxtqz/jLHQ/4+dPHCLkzDm1TTCr1RQBP3MO/tZ7+byEN1QwVXwxif
o9pc+GVxcwIVHF+aCo0QS8kv2D1h4pDa9YWgX300F1o5K3Pjlak/f34mB0mC4gAI6hgrJPpJaqW7
WG8jgjf2ztRfcB18DWZGIIOh9hT4eoHbdw7qS9HKD91p0azN8heL1dpHP7vaS9voJ9mH9Kl31+Gh
vRvtHx2D84cZOt5bViLPj0XGR28ZEy7amDAv+0aE4Ig142q61FT0Fl+rnsj9UutJFr/mOPFKDT3g
8rXxklPol9ZHW1SY7ebZWfZ1nqW+OH59WWulWb20w3w11URF1kK/JFU6P2ZL0arD3Ry3OuEaamXX
9KfeVWy0jHT7cdQ1hzXvlO2I6KAZII3Gsie2+MZMU3aX6bX9qA4ae/2pnY9mFPUI1i512SUFCUxs
nvpHqaynyqrGIqlaEEbNhvAy9BlhySbEMM216hDCEMphUi2WP0ASwOboBfZM1gI4EdWx1ek9u+p8
7cLpfa3KHq0u+1tkJY9Z2v9mFnFxzYh4PfZ99XeBAqZzxFeu2n/aMaje+KDzU7a+reFoxq4ZtWoH
gBxpkeUsUUswaNRjBANMP3gyEnc8hT1kSi1VgyfeJEgCdj9P94uHkbRJPxdroCepupX5DOOOKMNy
/NY+Vw3yRbWtoMsY1EzlfO0QTn4I45Qij9scgDEUyyEtSSIvbZHJ6IkQUACcw27fMyv/KP0qfJSa
503+Aq3EkXzZObSxclYGO2YhnXfvqp3rDza+HyBGWkAv9KiApbI4fpNKWJNjQq9+vpeq1gLlgIyX
nqVaTnl89QcP5PByJDKe2dM8ROsflibbmvZRnQavUrOygRDrgCaKVCO834+2uQSil8ND2ypvcDHs
nVRT3bGeayi4UpPf1wb6JbWz+ll+e7bgvEYrVvDTXH73AiyadK08SrXEXJ5HM8ftRn6bnSGDFCME
tdTkbJHfP6clIV4Sy6TWLC1X90rV1DebZAGB5KlirDaL5qLaZIYCzD8/nLGYdnEQOH8AIL6r2cKT
jvepseafxC2+TERCfy876CIk5cM3fL751DM13OHRWT6C4EgvZWH7t9aYwzvfV6ILecj8UiDi+aRn
8ZcUebYf7eS8mhN+7Y5b/sizwsZyORlvWompsRuDviH2E/24kohviOCzMNACN35MxzwGiRMEd6RI
z/E4v9tzbuyQ4wS+Uab2Qzt3xbzLKo3Hmze1T7MnKRTbTp+IhiKR7f/hoPC47xMY6O5QkU8Lqh7A
FdBzOHQqGpsdLBavHe8Ay8/Xuqn+xDZTuVpaNr1bXcVjNz5r+MF/wXftez67exL0KHeX/im0w7+q
LkueojhCtzZ1lBM0ffVLacUak9b2pLm6/RHaZ1Ji6VdjnoeToUTx0VXSu0DxvjNdV29mHf1lRsWf
3RiapHcq56KBGCXL5mKchdDYWMcpCkyQH7zQSL4NJInSyXKBIlUkKx1e7KQavYMekl6qAAK8FsWZ
iHxMyg/T8zaPMX9BnZgsgfa1mgPvYnlkPgG+p8cqRB7TdAArDWDhm6b3761vLqzvxyHXXg21uUFE
r3ZkoYKTWhARs5C7JPAyEu9VmZvXjvE0jt90HE+Ml6K13cuUdcgfjgCU6z1xRuWiKeTV4DRVJ7jz
OvIgvnH7DtRDfUyJgB3QV7IPuZ0vPrLzlc8jEpt28HuVufXbrPPRpkl/ckjcA+52QiKmFIo5hvej
F3+fckwXxwHtXKwWf87QYMpW93ADDJq91YftC8lb7WxVVngLrJyofFS6hyBXjS8gP/8crLj8aaKC
SS7or6jrKsjfIcH6okQcYmi7nYpI3RXnvuFVLbTouQKlIjUpKqvVThDnCY4tPaTwSx2ky+jd+ZBV
XpFR0YD9xRewEccYL4anXjPVt4nU6tHTyXVL1UJI8TGL0YJfdvagC98GAzL2aPf30mTAPjg7kV0d
GjfR3rzeaEF5AiBaatKkGRaCb22a3OSA5etzNfgyM3eJLoXmL2qfZfc2+UBazah8kRqeVMExdX0s
dJadIysb8tXtTWqernVvkZKCEHCQpJc2HY+Qa+/lNiwaDpCCScmJVwN70eWAwFWmY1IlKmgEejCr
jp87nezDslNZinEg8KdAGrhKD0Ldw80vUIHaThm46Q3x1WT9zVk0FPvIm96mmHDHZGn6W+NjjZbX
4S3NQr50RRv/tFsbXWnmTq9OaL+mw48ST9x3Ypr7ybBGrEly470cy+9hgtCE7CNEq+4Rp/QuIEbN
d1vDz1DpveEofXNDD24VNjV72TuoZHqwX7fOvvnM974EDFNP2c0LmUFARYtepUAcpThWiV8ck3/a
9CnKdkHlId5t69HrFIygvHwP7W/znIaR8eYWnfGWzAqDPpiWq1Rjxeuu2gw8RLpog2288QGbnCxa
++cNaeQRldaLvRxeBfUJuLuPIDrctkrpnFcpkrhhtGuG8eoEsfPaoo3+OMYKNHMdAFphBrCjcaQ5
S2ciguELWnKsafw234P6bY5coPEIsPnv89XdzyJT/CPMfoBR2Ka8wqXTsbhrurUqba1ZH2qN75nU
MDEtznMFwG6t6j5HzdnZB7jxJE2jMZPO62IVW48qeJO2afZvWs6LIbW6VfpLa9UFPfijUvT29FQC
DnlYm2BB4mg1eDvDyaNnx+U1b9HOsifd3JHbJVNsDMGrFJ4antXCmB+lNvpu8xjV7rnQ0yjZz80S
Ba4rZyd7i4ivfGrphM6aJD5tbYaX/OWpKh+9vmxetAhW2V8O3qJjo75KwXOEgkdPtnpr883ho47U
8R5FH/W1D/z4vtbs37YOCesUlDea5ry1udiVteN60qYfEKxARmhvjfZ0r0fxczt62SPfwOyRFPqt
hwRxkxpGmba6k00vDV+11myvv7TJYVZT/Fm3fnDQyioD5JM7L1K4NVFCB0IADHXaSlUBpEsuph4O
CRzVtzr2yzc/KQmveXF0lrYsyolVxkDMw7wo91Plqzueff8qnU0Dj9YClWLDBP5TqthhpQyzx6CL
6rd6Ll9bAoUP6L3Wb0WCyK0ZKv5ehQ6K18Nw53RmzwVgZwh86kAiFaSUZtdv6lTHT03sXmWnNOEz
phG8b7yrNg3l42SOd3Yd9tzPwfhozKG8eWPdgQqaguyhDspjXh4VdSgPTePUB80KZoBHfnMyFcN5
6BMoGnHvJ4v92BEft6+N4Rfw4ft7v+wfrD5AsT0kJwUv4U+/i09WiOBBYrHSKZgBeKVWXcbI/jG7
OQi2+qr2AcwJJQTTrfb6oWUOsm+YfeQe/kJ6tptBCe/HSIFI6vM1l2wf+BjY9SYYdFUZbiAmPrTa
ic4BHwQC3CqQdEDKfa/fqTNac62mGCQXYCe5yjkd9S+suxhsQC8cSkN9zLr0ihm1cl91JfTYfnCv
WQ8BzjA+4maIWf65rJNBe2Z96L7NmaXdJjLaxDtagolGscvyqYUztVNHnHRRJyZ9O+EG4JV9smtn
vpEshh/U/kULG+95EeGbIDHYU2XCewyMe7OJ1ZOCMcquiL7M8/xORugQtVp5KuzWvesz3GAIBLC5
FdOAArxtVHeIln0FYTHiQtf2p9IJ8XHVdf+xz39wmvCG3IqxQ/d52DumQea2ULT7jLlqZo3qi5Fy
5qHK5jsLwdkgBCSSKVguJjqcvCm5NNpQ3+rOr4/YRw6HxnGC+9St54Pa6l+DEf8AEFPdMZihaKhz
+WIB/3ipdPNDiaPqkqHWeI9MIrgSvinHtHHa+7IoiJLoA/yt2d8H1dTfAyS4dDWCjG2d7PO6PHvZ
6F1zY6oOKfMGllZmuDNw09rXfXexqgURGHTa0Rzs5ARA+E+kmv5YzEQvJlnyPVer3wOH6/aosxHB
47mxGwW4XtK2dxolOgnAtdCSYMXeGXztDRu2jfpnlegTvDqzvhsAGlyVJeBhNC8yo9aWaTVTFB6j
jjxIGiLMkidIRkRDq37o2R+9rTymKTxfxFH2afwCevnn7BrVjfybypcwqdFcU29TUWmvJgwPk8ee
dK9dDwn4G6faG3kY3Xd5FdyCkRlGpvH+TiG+PGlXIrc3LE9vmRGycno0KZzoA6NeJpgJMVS7qutz
aE9/uqbq3o9u0u4JBbYhodAV7IC3Grkl27kGfYgjRACZRssxLSvqJVLyFSJAvh/i6EeTlbhkR+aF
b3mfgFhB3qo+cUF/1ikWMSNheLIPmHK0lfVMYETfxaDLDn7cvHluA8fMbXB/U43iGtaMg7Fi7ueh
b/ZlR0ygzp/RNFXv+yjS7tulcEwMKx1ImGm+C/XAP5odSL1Q01mhKE7H2Gs1xyBJ3D2grFNUBD8U
Mg8oMUQoChHK+N5bQ/mlRdacj/aly7Gxc1w4TXpADkQdoad6TI8fggYgz/zCiqTdk/esSvMRW/Ns
hxvARxqrIX/esRYI9WGCXPw0egTYa72byAoHrwir8PlsKxBKvtqBwzfj+xHk5Q7bLGYVLAq7RIXD
Y7YEr+c0ONneoj5b9T8C188QKDOAN7p6CojBzAEe+udwxqpRhzC/6zSoTO1fA6TBCNjvsfGA89W2
Q9TZ2Zl5q+4Rmi6OatGBUO4UDFg0VUE+Er2YIPBJLJTu21RNr2NoN/eEGrP93E2IomXtE+zlVyLN
zc5CT/7qTTooUN23ro7t3hS/925K4rs3a8HpVHH3R+N692XEMGs2CsNYWlWXGYUlLFS/DQBRz1XX
fcP7wIATbAdHpUymhwGvonuH4HGxEIiDVH9LHfcO/MPELHv0uYLDt5FVO9GNAPhSHB91o/N3TQGJ
IosrAhVtYJJ1K61L5VbFzkrs9gx0vQAU51mAbvgYnCAz35ycpJReoLmFdOxbaXUuUZ5COyRxfC6n
1jz3deX9lnrvcJk6tfW/z3Z9gPPOt9RbIDLK98jo97mVBTd9DPBHrNTmwErdu/QAz84WOFBwJ6Sk
FJ/FWwfh3rEKgh6qeWDO+OCN1vCcDmgUOdQQk0mOrRm855li321FNRTOWrWZ+V/tGooYNl+Pls/c
0RsscIxuBtCz8ryTH/jePvRQX9MY+vYsmXe6GvAq+qZxN9cxaVNmHz/SXD/mQTLd1Bn5JoSiXrQ4
+MtaHKKg6tyjWywPI6szPsRLsYjnmPmo3atm3b4MfTs9tvEyclPzyqB9qSOmulWdnsvAUcN96nAb
wYRdlZb1R9enzDys6EuS6ugcmsWzZYz2acwj1t9L4bsPs9fBQ2u1+Nh0L6nTJLeQ5cEt9Z3oYBQQ
AGBjR3eWbb7ogQF7wxt5orB7HEBcEd+Lj4NSv8wYVBLYY3HWLQJnWnYRDJi9ZKShCgNLNK3F6woE
5j+F0pEv6tE2LTzsMowQSS2/BKkxZl5LmAW/BgfZ8yURoMz6UfexdcVwC44EZqAeHOugB401BcPE
itPnWEIj9whKX3lQi7vGnJ7VcB6hdvj2YUSVZj8tVWQKpn1vcrPM1AVo5oQpvJIO6clZA13kmcUd
iIzLMMFIAa702Jndi9Li/5SbcXLQMdGc94KZCxcCvwX+7OgMUw6nYHYfx1TTmAp22ZNHau4WN9WX
GbjRB14boA2LP8IhSj/UHJcYr/3hFj4Pt0QJnCVUUM86K52UB8rxXO1BiolPGAArTzn40hsNcOzV
SikVwJ4+SIGpzs2bnAbXyveoDvJrFpcM2WPnHDDsBh5CSgEQXDHvCxTTIqeweS/svcmQ9zBoUHpr
gAL4rw2npOHvITniP8QEWC/JHH4JkYJDfPQ0YS13cJwRgvuCNwKgfUg07i76v6myT/v6J+ua9q4d
snM91nwmQQUmDpbWagJJqIXHWddXJ/y9yEvjKxLyKHKOr3oSWJd0UF5nggALvVU9V+ZiPBB/Uzvj
EntjSLb+4MWzdw0j6zEmlbZPdWSVWjVH+M8AMW7fuaY+3Wtp/D6qrFLDKkBGMYQyvJg0VT66NknD
3wMK9GVVgAiyujvZJLzBcpX2KhyRTj+7wdHegO26SGMrEwsBk3FaW3D1edo3hyK1vWdYAM6TOr3P
IPieDcAIdh40pypOvpZMDJCvjIBWliRTpTqnesacr8wAaCrKOenckPmTkQJ/sQ550Bn7qiz6C+yI
4r0z6+YywhbZS1VPnAa8cW3hF6o0D0yX+X/azj7oZfBjspXpXMTpfIfwx3M/A/Y2XTt5CpByeQoa
rSYzjBSm0zvp0art6lxCAzcC2BlKgsRcxs9bmBrugFSwE5JkLIKdM4/ZkVX0k0Gcg1H8kGVPXQhY
7I/cfse0rL1mC2amXHB1IQiLq+k8RQtutDYm9QowIlyQpFJMevRFUQz/GP/TJO3SPVteu/pWBlxX
r4VOt8uKlFKAno0Oclqrq+DgnyYcIS9W+B43IAX8t7EJ0lMAndduDbhFw/iGUDnqhnjerboaghES
3FBmsmBwYwcl70VwQ3Z0fgpJcvxzcpvgBi7Lmo9MVvklsilvtFXBJbvIZjITQYKFxb831AVoX7fV
URAqlfO0QAqZy2a3ogduHTR4Pfi7RNGWOAKtAVisI1mV3x0lPyRqgEPuD7MfQDEvF65ZzihbGz7R
1hJ1PgpUURrHOZuyi/SMnJYrgyxi8Pfx7XIS6aWF6rSznSw9yK9M0JomAYvw2eLqdw4a9SwKI463
h+Q+XMFwfu+W+zeakXPJUaOWHLAUiVx/2YxZIpPSwvhOqllWncNS0fGfWX5TDu4zwDvjIn9SfgbO
y2FUDYiT9NXRK8sfclw6BnDMl9u43mFpFLxU7pN1sRbS6NY2lnp3RmoFTyZAHyv2V54GaLdkqMcp
HY+qXv8heGApBmDUXQ2/jngqkiNZNdiYEVVOyhjvNkdJeq84r1ANvvUwF49eE3JHbSRET23SvMm9
txP3aSDuc5prg2HdGiL09pi6k94qbqnD8q8N0WzbbhrYYR0IdRMc5HbJ3ZCtEo/PZCeb8hRYoe6T
V+52XtHnN3wdPdBnsrkUEBF4NpRzhdc7Y8uQzAARgDljNYwR6C+bcrSDIwVIZNfIb+vmnPagoezo
In9vbBpi1M0hbpOv86jf5MqtVwlq6a6w0ukg11quStIWrP9bDfGVBQMg90SOkC1pWx8HqUthpDiG
NF0IRBPRx6F7lRu/PppyabanQfbURD53FRj2g1wK+ZF6X3N92qDQ90TQmeVa1Z/tYhuC3OV6fc3c
6WeAV8YpYzbAU/emVXkL0zY85TNE51afXvVl6JDPdhbbznkOZpDA2PHtVOicKOE26AlZSV78P3/4
l98gm9heQXbXQ33tud491GRwKO0N/SBDgHzfO+TGLzaArPE1hcu7XtwVTvHLW/MLqOLzFTRI4xUR
rMm5ORlhrs3H2A2/KV2mHrcrzCB40x0XSvc2uKj9c4aJ5Ul+S+9XT6k9qyc0Gvt532ThfTvoCjCP
ZRxaXms5Urb+s83ryhnhgDA5yJPQx+mJKQxLl+VB0EeknUw41tvjs3Swq5kOpr4fkGC7yBM8dtZw
mXKLZUl1zJ0B4yN3AVf+59+1i/Tqh2CFvdwArrAAUrZnb44fXH0BMBqFXS/yNgxvy7AsT5JUt7aC
6M8yIln67Bx9pxrArKTPTqAwRkp/Kba39ZdHdN2U/XPlDRevMffyJKyHYCtwVr60DQkCGQtZsDdn
FLqv2xu+PcvSJtVgeQrVvj81gPTOoROdZJ8pD7v02I7//AhKXe6abK3HSH3d/LRfqp/a1se2rGz7
76EHWzkS/Kl5DeDK7VLgMUUKyK23QTgvHw7dg2ga6CxUJ/2EDwV5euYFcscHW8cY1HnK5/bFYW7A
+vBeJ2IxqwUe28lLDihlqLs7a8GqzmP5kg9udzLNmalEo6sHNSiI3fQIzOxI8J6EdzDli12kOQ/1
IYjKJwfz4u3Gy1+V6vo6bXVp3B6TT4cUQ9peeuwH5WGUol6Ga9nSE+hLZgznSa6+nKQAzziBWeGx
631o9Xt5S2C10yqbv7QOrvFbbiGiJOuWCdfgI6S6323hUoRcsC5W0itxcKgh8YJvGBP9I+qBuyNj
cpRrLIXc9niZniCUyxp5Sv/MJ/3mxUZ2UufxLjFLBMq87iKDjMao3cLZLVHPPYRFsH4BjPYHpPzs
KieUOy9bjPTtwoaxo+HHPHjPmMW5K2bZT+w3H8+zUy5PxDYYqJrqXDlu+316O2qHfoJ4v13FMnMY
SZPlM5O5mXXwLehCQiqBF/AbuGSDmbiH/Kh0IbcG5cRAF2XUrOOqYyaTLfC61XlynesEMId87hl6
JBrFkb3PcAxbZ1frKirSgoKcm66tgzBc6sfaSIyTnF9+l29H47XVn2Yjb0+qabzIXd1urWzlXfc9
NqZoNxYFSv9QyP9eoG0DhyLffqmvEzuWpyWONCwfwPgftczOYee3+fCAILt5AZpW3YS1M0RddeNZ
+FmGWbbeX7kT2xiz3Rg+0H+l0DPNyasPFgRpZDEcA4eTgpfAZQQ/oBB4LLlkcmfksQ5UYo8W8GC/
wDfkn8FcOmwj+nYn1wd6Ge+3i7DtlS3p8v8/FXO1EfbSwzbUy4+R6joX3+qytTbOEbYfTGgRZpCJ
rtLZFxWPRekif3adcskmDpu8ausmee2/YfXrh1J+5y+zjPXYMnf3wALuSQhij8GHXuavJEcIXctr
MhfIweyDyfyG1grx5LBPLkUThupRuq+b/vIFjQCDdEG6zuPkSZUZ3VZsbdOckXLQUIrUgIktkzD5
d7ZiRUlK/Ze57Prry3mEifMwFui69Ww3wNNPNlmqeY9eb0ES6k9XfohZ33RXV68yLZNJnWxJsZ56
mRZKlUQQmtcBBJCts3TZqrK1Fdtt3Nq2v/Hp2Cj/6BDqYAxjzJSBswMIkF+kLm8eVzxhGb/sX3/8
XGrFLlIG9ZdppNzC9cmb/wgg2l/lcY1Q0gU0vdyDsOuQ3JAn5d835eh1qAKU01zcMj18poIEMEW2
JdwnTogQPGTvtmNbA8oOKbZ+Uh3874NW59f11y9P8kr22N6ZdT6zPszS6ul5R/7kn/dOttZesvm5
LgetZ/2l1+c/8PkoRSOx0drv2ozUrIwr2+xBjv23tq2L7F3n2bK5FXI/tqpsyXH/edZfljPSWzp+
+lP/1vbprJ/+UrAM+BjN1V0Io295xfFwJldRzetaVV54KQilQM6ERsTifQmzbcXWNmd4gkK/o0/V
GmyunWS4lZNvXX/ZI5u+GYAQIgW/PtHyssh7sr0s20v1n23bYfLeSb9/a/u/nsqf84XcX8Sg/caD
i0Mb09plLiwfrq1YV7Jb/ZdYxb91/9S2rieW065/Qc7zqc/6F4bEu9eU4afaeeFehgZZg8rW9o2W
MWSrytY2Ids6f2r7VJV+fo9gQP9dq5FESAobIh8vJ7l3prfyCK+b0ir1mVA2y+qsyk66V7xtwztg
KmjjW12ZFxq51GXkZy4UEFGyMstdQ0d+YLXzXoYHov9IsjYoA/9NV1sHDVslhiCjS1HOkDARfzv8
23C7PQqOLPq3PttjsLV9elykKnvHoEkJWbgwvQZ1Ng+do6fzXta/CQADwkXJ+B60Q3Ra33i5KFux
DqtbXS7Xf1Zlx/bqSjUgkPL38C31T2eQtjlLwE5oCa/RNtivE+t1v9yf7cgGrxIWb9nVIjBiLBGS
X1aOWzc5VgqZGGxV2frUTwbRre2Xf1z2fDpk8CrlOBsPoAKfa6gUuAZIDyLlhgaSY/lwlTjitW8y
dPlZkmUXuTJl0ufZZVadXZM51kVe9u2Oru/+L8HMX6YKW1fZktsbFT0RvbXTGuTKHURPjDhCJkVH
K3uYvZJ0DGou2vQor+gap5QnYJz1uPlNXuS/o1q1GhyxziZ10pAczPPsmiARDEsc0poUdUO2crfV
fStQ0D8LrV256A47s4UBGQPyFvmwdC04m7p/J5xtiwRApKJdI1dV7kudQWXSq+K9jOGZCJ9cX27w
3CK6067xzE+XXy7qL7doXbquV13WLLK5vuYRycnZM6ejXGX5s1shP2CryoX91Lau6mTPZzLn1lN2
b/+SHob63sZab4eNIVZxQe5/6Yp4PBsIAR51GLNUoZ4hQFpc8Zlkr6WTOzMcZHqWvZ4HzFNPEryb
6uAt0rKztpxDTersoQzqdie95i4bL8pcmge1zwDpDUOxayJedSm8zDX3tgfAUwNTdJ8m7kmNQis/
IhmE4TIr+yNRSVDDk3Nt9KB5gpNFrhnRWIjnmYN7Uazep/74viDaXwNkYF/h39QHVONGVDmoSluG
4FGWkJ6oR1QgYrtKX2PPQVnQ7B6mGC0EB9jCSSe3f/Ysf35Oq+Y7fMdLb2rllzE3cdVK/W95yZS8
xgf+5gcqSPGsee+92frDI1pPZtcPSDhoLeo4w7ALmrr+Ws9gelmSlx+6mtp7FHWAV0XIdqnFYgtg
Ekqec6tCv0lVDxUSwShDleC4MWKsHsdlD6EkzAQGHAXCRDs3hV0+zlNSPcqWFFlROOie5TnCwgTh
rSIODmWF/JA/Db+bJM/OrbpI+WVqZWBHghLHYQkA71yflVtcxKheqxA+DR8jURUFw0ObFWCCvHZg
PdwU7g2kBuk1j2B7i+rX1E/R87AUEF2iZ19NviGrqVylqcww6UZ3EVWuAuEzwyJb4wTPDWrYzyqZ
0OdU0bT9NI4BKwh2xLYHtCq1uZY5lqJ4yO6mYegetaTznualqDNgezbPFuxqemw7Qj1L91rp4Io2
kJ0xJ8zmxlFHF8b/a0qi+XGtgeZA+dfhmduOryLLe0JlJtpXYbtD99Q4OpplHqapydF4A0xfGJp5
sx2gzsBatYNu60m7wwoeGQwcwEsvLO8rqHb3zVJsVZ7Pc1IQQx2QNrLhppX6LZ/N1NhrpqHdpCim
4H8bi75S9pMHy90LU4LNiBq89z6AUdce+9+TIf/NIJUOLhy6P++WCZ8ZZCJohaJCJaaf/yLd+TXM
E/33qUlAKyCI8x6MGbBrdLCeZo1csjUl1l3l5v1N7+P2kqZx8cgt0KD8t+prMyo8XFlqPqhG/16j
GvTgRsnTYFcN1Felfo17EkcOYo9HqcoOUqEfyK/nx3rc9Rh37Kale6ylmPLFYLmW48hg0+Qo0G4Z
Mw6/HGzl35x0Nu/kVHVjao+OF14gh+HUmSGLduKDUx22X9AGyc8wnJP1vLUxt09N1x5zFVmbvY/F
ch9kbxgVzgTti4a1sm3eQbRoXuGe94+Ejq9Sw2i3fcW0DjJUNiLWtPSQNscoPx+UuO+qix4XroEA
taH9ELFYNhUYdPfop/X39UBYuUxRO5EdDkoWV2QwE9BsXArdVNozYpvaXqpyebJUXT5VDpiw5frY
4wjQpVomevHZHn+u/06a5P7ZLmo4Z8v1Q3UaRF42efjT88yMg4lyimxKUQUzDPetLk/b2CIh+Uuj
7JY9HeSOw/AEcAYEXjDswHVhqVBWDEp6/VtdB+Glt4cAjfew+laWJ9kfD2F9SnVUm6pZcQhYKy5u
4cQDr00QBffdUgwJuieu4Z9/2dH3KXYyXwLfjo9QGOK7cszwMFwK2ZI2k1U2lg02imqxFjX4Df5H
Rzlk7b0d3Y2YA/5fDkndAXyFqp0/n6btiv9h7LyWY0W2dvtERODNLUV5o6olrxtCS9LCe8/T/4NU
91bvjn0izg0BSRZVQpjMOb85PiC3t/FSykQDV//6daK3+JKpKNXmlLZLHQVpR91oqYCFSHmOlkUO
YOIsNiffh1gY+QPF63JMcH3ZXcqQy92fTmINB70jL76OPDIfjm2iKmFZOXhiTJJ0sJ4MpPiQpcTe
f31UbIovbqGO7ixA4N8fFd/2j09kqr7uSgQa/96x/KqpjCl2vM2F+ZJiT4pyabbTYztV6dEeIwQn
CuTNLiPPKJOtWCdFqNzLZTicbLX+nYeKfD+YhXyvhvWl4wF7ITdNpQvQQd5+vQb/y6pb9WgiLXmy
Mw5FMqc8p9AMnqJKeqYeObgTO/UyOPtFbF7FPpTC65SCul/50nOsn5JB0R8UPyoelWQvuvDOye7l
pqH88hLW6XTqAyU9j8sCuJ86uHpSs2o2s8szGzXesin6UGhKIse3v+RkwL3UJnZJ5VL6lDk1HG1F
a1diU+ubYafhmuqVugER3zWNrv+FjRXoImNU1xEFlU9Njy2CTL3edqmvfEIKVnpm5uu7EcvMa2mO
D0houlejfJ/txn42JLs9ZGUEOslUu9dmRkghW0Z+BaIDSzfs/wSW2b4i2VK9OcZF3Gz8BwXxGQzb
dkDvyVoctusZa1jqhf9uoizyr53/alMNC1VsNp/KwanX+LWVEOas4iGTDPPQpN0Ec7svHlQqpn9h
/e6KnRIytgcUGM9U8spn0WT6DfkFeyi3YnOEJrFXnClZic06tvXrTJZObIkjdoN8lmG9qVREH4Np
RpdQGKF2rGHFUBZd+1DYzPxM0D3uPLR4YD1By64rf7AOYk/f+s5aVwaD6w63k9nnyQMwJnrq5apf
UeMTHcSmFckmMoWoP4pNEyMifCBV/yQ2Z2l6t3nnX8TW1GdXntf5VYvR9/hjsAujQbqlWSufI58y
4tDHrmrIqytCnzXYif5WOu1jErfyEbHCcFPVllslhipfJfZJdBDtcBE3pVRnF9EkFjqUo8ikgKHu
VAxXC9xjMzO4ie4x5WjXXL81TbGxO7vCsLBegzEvj+ZkFceoo1hugQWXR0lm0XSVDWZWnrzY6YGO
m1FzFyoWVuCT8QAhLH2VjcpZw80sd2KTGh0k9WrxVOojSEqtR0uwdFP6yXdh+qGqyUfcleUWoXiV
vqKizraU41sbldzHq2lox9yWjHs9zKxzmRgILJZu7SR/Tagl97zalDPDOgU3ItbsZTErqb8igteg
3/277aeLWDOk9qvqVWX7vz6vtghgOjO+q8e5uYxShVy6sEHfoerSeRN95bL/qI+D+dRYI3ygXC1O
WaiZkI2rFEXcMD/3lX0TXUctPdWR5rzUTS57dh0b57R0MGCpa2gpcGEfKUf6kIBfreNiZSMbOskl
N5U9xu+dgkDM0OzmztG74CCZVrKN0lC+h6pSu+Lw1vwil07z0ZE3Qkakx3AYJ21HzLaEulsaN8eE
Oc7tbgG2VHI3yeoCMi6MqlPJM/VklqHX+2p8qIGT/7Xju4/YXf60UkeC+BmMvyfPgRx7Yn+I7vEk
jhZbNo1mRTlhZen7702xW3WUZNxwa0ffPQNFvRl6Ymxlc6B2++cQhqUfTeTlBys0pHWqFCq2VIO1
M9D77vG6aU6KplsbM8mm64SPi9e3cvPI3Sgj/bGtN8bON9g80p/GebCHhCHpWBib273ZFvoHNYnA
InWe81x93LRZYlGkEszruqrqS6y29U7XquEQ2a2Bu69fYkvQWfCxEKvy4KMyUy3BYvm9/xoH42MS
6dKXhNLy+4uyXAEVVxifUzq8h5JkvShmk0E7Vub70IQNzhAluKOE2t5mC1Rclvz02KexsSUckN7Z
lAKhcW4M4mc8yEx/Dl95AL9RfCh9qgE+yKiTGGEzCE8CW//KICOrXf8QYM3RtL/6Ds0ynOLmwWmZ
E3Z9pdyh2+iQ5+CwRN2V5RFc8/2dqmp4UI3WgjSQU9zilC47ijXLqkkBgkA4dwlYF/xrfinW4Dzk
qfOiTLF01nvH4RyA763DtD6IzU6DPJdbcbdX4x4wlcK4bN+VSN2KxnYeAwrS3WoI5XNflf5jVM+v
qhGoF7E1LwpwSzXuRFdHsY6RYvhXsRX2wbZNy/SXXqj+oz+TSyyM5r7ULOvR345+Zr3GvCq37Si3
W6sdgrdC3dZDbb6VKLKwzKnq3RAMxQs2d6veiOxfzCNPmDwUl9qXgOcHFG90fai4323Ljqgg44yz
7lLJMm6BHU3cRIDXtEj7EnaHBjC10Aq6x58OjVZrXmV2xmbAUvDSLQsujMlr8Eb2xKbYQcK2uDQz
bltYVh8RO/HNQVehbsBw1CV2V1y0ZWGC4j3aknbOrWr+RRTgpSuj6W2KFqFHSz0HHCiQe6n6Es/D
9DbWkbEal/Zoaf/v/jbIpZ/+vu1zHORpqyawAb79ffyf9v/X8f+7v/hetRqo3Hb0tZ4b8Wpgwn4r
h6m+qZaubs2lDVxGfRM7cia/322iC6DI5lYubf/6LG9OcFaSs41V3oliYSzVlk7VyBuujOyvNhn7
aCfXNz/dxM4xdhy3rqk3CMo7KWsNCiap+RqVegjWFve618Ox8bJRKe7EYtT5fxX9k+oqTbVWw0Q+
BRWFeDykxAaEdvnULguxaWoSRfff21nl9UzXYD3+vVe0/2yKT4g22HbHPELQ9tP0faSf7ZSH3jza
dyWn673H/gMimfOaUM/ERVXme8enllQdrV+T2TvvGgA6ooXOcGfYNoajCbyVIpUjsq9UE1N4vG9K
aaOpzvwMkWHYdhxVAE+fKMvai+8IM+R8fdUaZ5ywnYvfKSS6lmNjXnGnctYe0Y0YuA5o2kZt2vGg
1iHM7sVwRzjqfJvrGGFBcS6TL7FDLHpY3WsbkRWV6L2111O9BK7T+rfMSqQbgOjOU3cONmLJPMN0
0WDHACG3dJchCHUx8VhvpSrrt0z+wOJrfyq9fQMxMjxHMU7wSdf2d1HTKzs5brO9P6b6JQxUPDGk
cn5Kw/QPosPsDx8OsYM/SLoOHQvr3xt+Mltt7IJLVTTNrVgWmszwMCzAJS4dNHUpRWqQbBhteVFS
6uJBJsvrwSm6i+gvumHwtMY0csIADThNsniyI5nHS7ZPbgGwDnzVmvQKdAiDCANjNK2Txw0+aPXF
CLpkW1Fac04yiiq0UZ9Plo2ymOp482hlQ7QvQBkfHT0y9oQ9ioMzzcMhq8ZxL8lRecy0AmMfv49O
SeODeBos+5SUE16vNUGSqEv8Tdy2Mg4Mcr2xnWKk0BXoMgCo/kp+olynsdXdfGhPcIPRDvLEQQ1U
9f393GH1g7nz+BAZ4JE73e27kKBUUMiPDTnoVTjK2tNo27C84Z4+4z3Tu1U0jWcfHyoQ1HnqVVMY
QcKCH8e7iYIPP51/J4299vEjeyF73cC1iZZa+zm6R0v6JzLl+beUaL8J/FJebgQEygNb3WQtL2d/
0Lf9cgQ7xr8DHViJxcPIhMqcgHQiMfldoEtUO/3dQWvAFDAbjrBRx2uNkfpC45+BrtVnx5g6UMjc
AcyMyl3WKIBkgPeNlxhaC4PycZfrUvTgS451sRSqaYURfKj3lNwZ/rDr02F60U3mTooSPNgFd4oy
5QXYAHl8iRAAroNy6HfiU2qc7GttUA65pQwescTiQEVQzFR1UQYbDoYcfut+N+kTQETRRaz9o9Fc
9ojGf+/56T5mgk/IF/wcR7RVlU0dGgm8VYZj4MUoW6wcW6l76jCwPIy+nIGv4JRk8LaJWw5Ueiyb
EO2c9dQW+Fwum6o+UbSkG8VebPpprbhUJ8YuJg8UyZkWk4JloeYhfk+lPpXH0UkqHCxYE4ufPmJN
tOE0Tu9GRaI05Kix/j8+NwOMKilQ/69ji81/fLWFj8CekZD7j7afj4jvH6NyPmTpSzOF4QPPXN8t
YsvYqz61FX2u3cuO5W+1IZRWc86/2XKK+GpWxU5siQ/pmnPfdplzNgxpB7povjhdQ0lhm7fP/WhV
rjZYwXsbSA8UFDmfuqJscpvHARzwVaDkakQHoLxdFv8hmHEHHST+XUV1zGunaV8Wu/tVYnTlmTj3
UQbifqZQoDrnShVuwJnObqLL1flnh9jLAOuvfjqWPEVrreTuCYkMzs3LEcRHRMefzd4cLdcaanKW
//mSfx1aGhPqhVT/KUWjCjBz+ZKfA4jNdJB3JL/ig2cPknXqxgADIqxDcXyR+pASEtW66pAcr6m5
PH2VAoWBHtrfbVT6YqmU2juLUMHZkjEuiWVQ/9+bSxtO3cM5WhaiDQmmssYXjSzIsvdnh+gn2qpa
zjb6gCuA2GxNLV9HYGG8Lp4I71f174jCBaeQ61clmCh/68vpySqZtNdT49/nc957SMX6m9rF0DCt
MbuzNaAqMRC382T0w65AVQvBMUKzj23V3kgdmCDLU3yw5OiSp3K1yZjrXmVYu0QMiF6nRi0RWC+y
R35duCLmbT8nJgQUY9b1NzxFX/wmNT9Kwz/IBDIDSDjUNSV1wlD6sShbE3wfQQYSGt2fcXJOfp4X
H1oTv0s6UWqelgjoUQ0ZRo8blg5qwQDpmc3Z8OjXQwPTnAmE2DtaYXkMM0oBxd4cC8+T38+NK/bG
aZjheQlTTuydWjO91JL+lixHIuOR36V1dS/2xbpNzAnQEmPy6K5sZekS4yTEemDM0Z1YEws5C15n
Va72P01iDTfU0Ivx8fn+1M9e2cqsbUwiyhVtVhOCm7Qb6k6Bg65++v18jzxk50YvzIM/q/SdY1yp
qES6HxOnJEXkkzxRUuXo2J1ylKmjomY9UrbpDCpG7BCL0YYatJKWPrUkTdXm5zOKL32UcwnZ7j+H
+UcXw4qpIRMH/zlaj03Hqrem0vs+rtjtpzFf8Y+esylJK+ywdE8zHQrBlsNLQ02JIBWs//ig2PH9
leIHhpnsbxxdf/pu08Qv+PnyyUm4BH2rk/dN2Hr/82/66f3XcZXPLIDb8P0blrMg1v7xY5cf9/2b
xJ7vL+3K7C4G7Eqp+NZobflYLN1EB1+vCfOIVbFHLCZx+sWqbnegG4bfDhmhs9QNG0Yb2KmNzblJ
ompVY2ARRJSaBU3+bhTNBEMPTWMv783Qn7eW030hy528FLCiHH30aoJ1pG7iR+HAB3OGbh+m7Wed
+c6GMdPRBmEaVWrkKea0oGydD1PCIjvuXKnmQQ5oVgeHbzvEGBvcrew6eWKeuaMI71Fvesftue3g
ekwPtV8hLu4elWDkYJT5QcROLr3cnKyY+ssK1RMBnXVKdKvQ1fewGE4SWc+pwBJxAsFQLgm/QiLp
kFDvu6OOmGmqkxwjSbnVbSJd5Zgpb4mf0bXyjzpjEezllqZh7CmTSpPzd5uCiYs7F0O2//lUQCTP
y2qQS/imSlexgxq093am4qpqe0o55/umum9SfbgODIRaq4aFnjMlH2YkI8DLYn5I8CiVmKzgkIPt
QdVZkB3a0R0pNdUd9IZGeumVEQewZTGl/q0eqOPPiqMVDAaqfxYF0eIVNWbjRi1gjYm2HALDdsZl
jYDp323dzEACpKm6rXDRK2zDv8uWBTgKp7Sqa2uCa0pbuDgjY5jrvCyiVCt39mRNrtjkCaJdY2gU
FAw1300/7Y2pP0dGqx1Eky1VKlyyccYutCnWok0sNNVXSRPBbBRd/rEDYp42Nd9fLJoNtSC/OxX5
XnyxaPPDwTWdVvPaqSZjvfxIsTNK5PxomAAIlyaDsPrFsiRvCML4VpTrgoLga6so0Y2c+Z8xqvz9
oGhnQOTpacSs6ioW9gzrH6yVsflpS6c+x8QNMn8iS7FESaOv4XndHRIjMa4E+43vz3aRuZ4LH/ej
sG1w0bKZtPkpHkOzUdrb720ckqpNXaT6Cp0v+8PSUI/L4Dlu7LvZYXTQzxW5oqrTr46TSHdGdAyW
DS2K/1qMRv3aEbU8THq6TAup98H9D2HGT78xgXKUzjx6xYEsuTDxroiuGN51l7KYvO8rai6jAK1x
60JFbu6KOgtuOkGymxoX96UfjEfRTSwYkqkutkDlTmyKvgqUdc+oUI6LT4k2KipSShKSM3O4ceXI
gXNNc825wuWeD5rWvQV+DSVkaVetrMdJKnb92KbyX3SDgLkncx+eRQ9Gflc5UrRjNHP9FVPU7qTA
Ma8Ui1pXHMSqtRLaeBmMs3UVO5QWuKdckpwRm2IHwBT9UqUMGHHekCDHhi2pZE1b9RHP36Q3Tj99
Q2KnmJk11jZVq3hjTygmwFmGt5JqCA97lmStWZDRVlZb+RvN0SCHw2+5gXqObnrbUBuqJcQPRuKh
tpZiKrR4mYgFY5cZtyzcPNV5ZLRRBtjhSZiF+Aupzwc8/Nfasglf7zlv8fLDW8NBf7dYq/iYQx/E
GnbNGfnrQ7tUCXWLhFGsicUghJLLgkktwknRCLq22zoqGe8xBvhSTA/ht/Bq0XnLDLvrF1mdCbO0
zGKXwoefBWNkSh3EdiaqHno9e9aXwqNuqaSpl5+ANxGVR6aoPzIqwG7QIAkKwN09iIVateOMwVG9
8Df+s6qmzkeUqDAwmhzso9jd9zMVomI1BjsD8j+JSXMAzidpB2Xv+4zZExYkCZyR2DZJIYqz+L0b
2MtxicpsYZ9gd0CFGeUL+lqaNIkSu+5r6vRPH1pEWlTbEfsvz1DuA3wdD0XXv1ic1mOEHdimVfS3
cNKd9bioahMOUzhHnjjZWvy9P2dbrIn/ADmscK0HnCsJl7Sj3KlenQT6rsWo7WBqRbk3mSQkVVy7
ktxtB918TPmrDWOkQp+iDpn/MJeAUjMmtwHSz5LhxTVFzEtRWr4orq3lnyXWMqAN6wosCO/dXjk0
kC2CyiTRpZWQ+JJ0PP3jxFCizHkznQaEoqWsJCnzifcTcKtC40PPQmmtGadiqMdDE5rD90LTo/Hg
q8uZy6a3TFGrAyW/1cHJK6DjYjW3nV5Zi1VhvSrWxCKx/Aq1kwMNY9HOF4sdS6lVFOgw6PifF1bp
WPk+ygABLDWiy58pFuIP/tnsMg2yjIJvpr/UMM2LRlGcjkLUnIrVdibglWfW5P38Z8R1+rMp1hxl
wN6KAl4e3gWcQBbaIvv7WRidHm473Tgmi/ZeXAdiES2bAymOzRw1J9FU+gbmDoHNaETYGvTC0cCU
ev6/fVH8SpWmxn1Uy6kBW6rGvletTh32CZAviuQ5pwsfotKxMRALsRlHUIiVSPpTM6QcjhhDtu7c
WD2uKFI8Hi278DRsutpinNwgw1o3xJ/ak+2KWYwq+1tiP59OOj4o5QLWZTyCb2yB4Ryl9BOp87Wa
9dSNJuesqEIXRhmJ0rkMTyZamHPgdyvy7Y07TNklU3hF5E5leA6U1aNctSseGSUpdCKLZdXtwQ0s
U9tZvlF9r+7mAQch08aT1npu6zbf6CRhULF3PV4sTbCJWowo9dyV+oz8CDJBjxcuD434TlcVczUp
k7T2pRZbmF7dwP4HTzc/anq6z8uS+B2WRFGjv1ZDhWfhlG7AL0Vrg0K/ou1OYVDLLi9HKpPDovAa
CjLC7gT4FT1JTEpXkkm9BjFBFWqpVkDZos1QLR7RrYYKlxAFyenVXKoD/sZ245UgKhqbWGM//mks
TozdO1il8Pm5d07BlMSrCIMtP49luKZYlEYK4epeBnyrxdDxMc2s+j+xT0W2jJJqNc6GvfVh3Uhl
u2vVkJMAhy7STc60HlIr3gw6upjhybGX0CVGkIzHmk+LV/fybFEU2DGWuc+TrSZNFAJL6P27Qdoy
ophX5B/fGDyHa3uifr+UzAQ2ETIde2bsqVObY4NHQ77JHx7kzrRL7NsIAmlHxlM+IabFPcPGgUHO
+UeXVOlSM98FAIPtwJbx2up0mFNUPYXSn9bHW6Yez8sVpMZme07D+ctg5ypveFFWTLIly78UavdR
ZdCRVG7RlTL0mDVNA/nG0MIxR451j4DoqUgaHHBN6sSo4PZSwgmaTlH4nMjpymwXpAisZXdU22ef
94UH5dXFlxl/0IwUjs13mZUTwYSY+xWqnAmil3HuKmmTBY1/myCuz5X9u0xx1Qvk4H3qpU1rMxEc
lN5bBoC9qYVHtHIbwwk/JTisbjHiTayM84tTEbAgAKlIXxYWiXCNtGivKUTynFi+QVywV9qUen7Y
P0yKvcEIF/lIiBRL0mWyrcyQpOQjqZRuM1dj501hWm4k+ymU8tw14sxf12lOfKbPN4YpFac55IBD
S2QwUpS7YIxb0JTTvpPfmfmHK2ey+nVX3zcJVq01fl3E89emU74qbQ+eBUCSrWF63PZPKHI1YEdx
uMLFM3MZDSqrGf6q62CY6rbTmLmxFe4MXZLdHmSXGetPgMQqHZEkmK+U8VEle3mM+4oNMVRWup2i
BQb7pufA6d/9oKqBOhWf8fwyqwnwtTT8QJybeY36iIXiY49ekqwLtNTh6IBMXXIb7djZHrG2ceos
QmaIgE1f/UP4BoSJ+RoPxqUYSdqnzklX6ZYpw1mTGf3zTI/XPa7Dbdmc/LnDQDafttjzmrjL5uFu
+o1zNvHqhyTv3pQOQ3m5na56zMi/mxdcb0EgEGt0En06T+gcyGSHZhiwYcA1saqLDiBY/N5zkty6
xBRY0qR9OTLICnWlWrVbzr3spRYBfywFjlq5qTPDv+Ft2K5J7cSrsbIezTHztLzjQSCBoU3TFzzu
U09xSHg3dRu5TZM9oxelyLFlDj0mEX5JqDfNGiPhxScWZfS4bqT0CZj/DXSa7TbPvQmBrooS6u6H
vR2pn4WUfGaR+tFUGmaBNWR+mTkUEe5tPnTTxs5IFkQKWnY7RUcUTsGLQhR0zID9DVNxL8fVpVoC
Vfm0JGK/tMbCemHgB4dIZZted+He1etRMpdy5/KuD2M3KkyiJYtQtwrGfaHwUsjQCJnA+2C98NQ0
g1Ws7OssurMQYrhlWlyypPiTada+qsz3JmLiNerX0E4zT5fTHUIV4kF+i1/L4FNXbw+HFjezAFS1
V6FAX3daDJFn6BPPlHCjV6V2ciUjHz1fkz5syEah3yNEj7S1jqmU2lrmdhrrB2zeSENn+pYowNaY
iWSG+WM+yhsdV++NHZroh9GsRAaXmVS8OHIRH/pVENoLQ+xXr4XQxtOnaW5TD/7MQ1jPH8VoPqvF
dOvNlZqZ1cYMxvMMmjMxIc81+E8qpnkuwFjbRQNnsFDJqOnNPvF9ZNrmdogkz47wun+dovLNCdIH
s+xOo4mmUR6ewjbdNWhwkpFrIm6bDUg20DT9KQQciKANMFqdGl5SMgOXak+ruT+hyhvprmqKgSDu
BDMOPjTQALwrAuNtasc3vKkz10qlx8YGZNNG6muTJR8DOD2tGl+pL/tCtosuVtvOfbTv9Oxhoox8
lcrFr7IDXh7BYeoTFNWcj3sdE7FtQRoAzZ9G7KiZtyQggak1+6Drbnga4SFoEx8fWuur0RvQFLxh
8djG6j3XQf4CUHYlfcDyUs7BNqUntc1vCWgeV5kHY607znY0nf1r1gDogza0L0ajhbefIJafkEeE
+Gjixn7EFKO4UDeMhM8Cm65yR5Y+kR2iwq3xIWftKZGHl44fxdTvOUKEAekzfXJq6ciT7x5xWel2
ncWpDy4KzvSFoW7beNiNhb9pds2QbxpOCw8JZv7kDkeX3F7E+H8ABWyVl4go1a7FT01uMBYbnVNS
wPrstIR8Sr4ZIu7ewfa/0hQL5QR9Wj7Wz2bXnlSnvXZ2usLP4Va2wZuRMW+khAzrhiF9taiph09a
9CtSM7g86Fh/zlwbZATAxucMG2plYEQzrm1NRmDcbXXmGXuH2XKRXbAerRkHRDKxKm6X7tlsCSrP
qT26cHju0nhs3MqCCCjrCI60LHgozPSrbMfazdp08CqnwzGSosM6lPe97PyyNAaRUwg5Ow/6o9Yw
yi47/61rue/mTt2YwLytpj9rRO8gpyQeiDtTSsmGVj4oUbRTIHefYRAidAoIoWnEDute4yRbnEYs
T2Ye6ErmdarlUPBv224fD5mX3TcZjKg+keSNqsFsaOroFwbwrQ/bnhccI8mb8ymPXXdSAJExGzN2
tt8+SPoEdtPp3vQW0vgkReheure6cTZBD1K0ifAodhLHSwkR1CQ4UoTxXi5L3DwMwio9XlUBEYFO
ljMi1skum3t7j8nksxUB7+EN3vXlp9IyNp4Gbs8Cvk4cnXSpwGFugKEYc7lU0S+Fx49HdRKqJvx7
5qg6BVHxB5PR0NWVjrSS9ug3NkYl+W8Fcp0911RJKDiC+ZGNP2d+7oLqaDJYDNr80jskDfEXAXV1
poDoibH2k03SYmUEi1eEOn5MBjOAxO7Hi+3wqjEnL7G7xWGQt7mJgVTcwFGtnhO14u4YVmY9y3dG
n40MxtPE1W3GYGaKbiOI/vTEs9ujUSyELGOE9zYOj0YxrBXVGBlYYZoRWbAdzO4qDWO5j6TkqgUM
yPGkzVUj32pEpqpqHhjQhv2WIm2tMTOPgNCjGQa/4VvBTk3Q7IVKxR3ARSP9Iej3HhXJ3je1EWfg
lmzlJSvBmIG4190Ute1uNoLaayBiOkO8imfjXHcO2tTuy5AOWC2fIoxZc4LQAB/R3iXlmlLGa9zr
+kbOq1cgC4cunyE+Fwui+a3SMa4eHYVi/SJ8LHWLkRAaKJsggVvJAePOIgIziQQ9t7eIlgysIa1h
FZsU95gTVSHGe9yBgOyHCc92U93o2vSgyuapirkDQ85womMqQVbyy7D83ktbiMPZOlTMbWSOb/N4
QDnzmKJIdfEFqdaZwnnCSvxCJQaykZn5ukmtUjstIXjjWYLMt2jbVtBDXtTmKCkbE8Mj1zGke73Q
Nz2A2+UhVbhwUCmFmhBQbxe6HO4fCQ82STuCDnztQ+23akrTxld7YMmUkEI0ZHqapuDtGBEaDld/
IVE7wMAE28SQ+hXG+G0UwkhKtD+a2eauORLuN6Am8dwkhGiAF1TlW2TLKlQ5y0twOXUlh6vEMtR3
Ai5feCiXxz4ha62SuJ+wKkpU5RfAvsxDKkMBpaZ4clIYywfWETFiT1VJ7NvJVjfg0irjuLOU3mYc
EJcrUHMN9JT2JVYqcNTtUYq42opad5u0fIzTnHIk8wAY05sLxs9D6+DqS5DCNdNwO+A4DrVzvphI
2Ev9c1KcjzKbYw8hW8ll2t2sfHi1muEDkuhunqaVqSpvxRgZ0JIHEL0UX/hjbcAnGfIVeRC51O/7
xLp1jU1ZRpyde7sjgVLJJLKd19hocbTPtAe//dXpMqhuGKI4iOG4I1u+N4b5OTX0k66Y3LpBi58T
eYxatu5KZh19kQ9eGMlXDEce1R5XTKfLN0E4/Qp9o0cLaN1IqGDgEvswm+cX2/llmxIiEXVh8WXt
uGrbmAE2A0zwdYEXq4U3QbHF5tzt6458Q7iVyvycp49g8xySnf6Oa3JVl6G2HmOFmViv0FWN8rWk
mtrKPjQBwE6CfmgX8AZ3OjQnubUeKvlFSlNSLZ269UeYe6OPGV4KBq2yulXQtx9hhfTe0PaML5o8
ZYAxWK7BqJLZ13AnJ3tG0gbU4RSXqshZKUVv8jX4IaSOtPLR5uaVpqxsO/6crPAlJE85TV22knrY
gLGjTntrei70KF376jbVSUjn1KFSgxqsTXxgCr17SfJgiVAz8/dj/muOWa94IZArqRUirfjVSduY
ItLJTB7Hkbe3gav3phwYcvRmS5qwIT0cYhLtWA4M5c/SxyMjCctLG4QbDSORjTONxzJRf6cSBbth
DPl94Q1V7QeKpEcS4sVGQqPiVtzxa0eymBs63ErD0FzyaeNAAZ4mwu3ouSrPTwLobAVlgRWVCClZ
rbih9i/1iYVE0WfhpyfZkoCaxyXOQr5B6ilqdiGADRfRkuXWhfo5aGCn0kfFtPJtUChvliLtrHkk
fuKg5tHKz6IAdQqv+xPezDsj6mFTqeFlBjkM2TdJVrjBQiGY7+oQC9fryNuUW5GCw/wdSQzS7/4P
/pYX38FiOeIZpWB0nvXWk6OMx6kGRgJnDi95rb7ra/09558FEuUWJY66lRbL5bCcTqkhQ32P8m4T
RczTZMb+ZTk8cY8iA0FUvzwOzXUdTFs+Rxa8CwDfhntshR4TRZU8HLC2TxSS+u5Q+aiHPp3xubK1
Z2LbD1bWMdpEmGrMKM6wrqZ04pgmDtNUHlG+xoCXexORLbHeqkZe8yqb6luloKXK0EwQsP1VcPLc
fNBuUpoQMtS1l568pRIMvYf7z8JTcYJTaOgPwWzulJQBuh5gysfTiREApD3msLYKu7XqNITGkIQJ
WF2dMLiVXzx4fTI/A5WVY9jfUp2ZmllTTxMP2KLo8ktYY9QwqQV+UMMDANJ0g4brGlv9ibQChX5S
etHToPWYBJ6Ghdw6affKe5Db71b3f3Sd13KjzNq2j4gqctiVhIKVnOWZHcoee8gNTYaj/y/wrHfW
er/6dygBDUrQdD93ql9rlQsztV7JvnjSbbExQ3IKiQDGBZwg2fGurrhbkHXBEN/XhvrWNtaH4nTU
lWG61QbZdYlKMSbh+e9MsYFiojvI9pJKfMDpAKDBzebN2o9gnry6SniacCrEUvuU6vZE4a7+Vcph
Kx3lNSOSeOVERr/uCwbeqgWbIeBqYRTTisJDKm6qK8vM7oqg+RAmEoqonTClhP5UtU9OZh6N3K7X
utIyphLQ71UMqodEUTbmnM/bepqPFJwo+qT4FeXRHuOKuyqOtmpqfUZuRZ2qAgUkSZUoxXinj+Ul
tQkUrWR2KDsiU1u19GGFv6daDV1UJ6Hbiv0kBXhOGvhvgcA42PL5CMc2ujqxgCTcn4Si4e9ka9EK
0WPQG49Bg4QiCH5PQnnWiRIa7CJ6VtKfeCYKa9LXSqjCxur1y4j32MZotF9O2xx0L34qepB1FICf
TTD/2FH2c9S6WyrQVZO2gPtVwXeO+8uY9ucigZ4XhO8MId4JVo1WTtFtrXL82ZazLk/lQa7kHozA
qcB7XIdtx9h8rlQOO1C8aGOMlGbVWCcAXqeaEP30LBIp0lqc8ow4pcJ6zN3eBEFXfkxhf1IlFtKe
OOt04abj7pqicNd5j8mdaPy4j9/irDLXv6VV/rKM7CMoS7iWevGQ49bYODmdi12RtmQ12OMdJ9H7
AfnxsJzQamvlEZ3Rk650kNNR/qKy2I89toQR2aBJolLUa0XH1QjnfDKNjQqmigdXiBZE9Gt13UxD
QlJinG6n0DmioHy3Tfkzm6Zrh88XsJp95g652SlubUq78UQBB9MNd3qVrJ2+hXCskBaVTBfES3e4
1k47aRm+hb0Bzx+NPMps7ercXd2kdnsyHXDRhwY+uC0m63yp0vAeB4fijUM9ZWUwouMqFmcje23N
dEOA6n0VNW9RBwQ+X4LTSMQUxBJ1G9pcKOgnLlMW7KiIvwVOc6Fyew0wymeWgA4tk5pPCtExM/On
JtJ/5INtMtGLGNaip3I9XJ7MhgejiJ8WqkCoUpSheFzumY09Ear9VjbJL2a/z6hAmwO2+WQqT8EG
3cubVZ6qMvjB8AA+RsQQJaBQf1IAciqNsJV2tFLfzfU9LCPKesloMGSQIfmQyqlwSuXCXPM25NR2
p9bZkpctNoVl98zpB2+bT1jRTGaW7kV1FoUCQMAJfDdVfjHvXY1oIcw4cPfDpKCbzLGsJCQrHNzw
rot7Jo04J4DtK+sysYgtHq3dWOfanZKBYEmUCCARDhM1N1KRZ2i7cfTkAXlcvKpGMpgGzcgflbHG
NN5J692y+r0NG/qE+7LOgo2DhAMj/lLnWdUQNu7kBVkGc/rT8OaaMWbcBFjYzjCupTceCgdJOiKn
nzZ1ZM2Ef+oYrbLn+2wnjYFqawZU+jCxZ2rzOmVVvesYoVc9z7CuogAZN0/kC7+3TTYru3j6TEp/
MLXO2znBb4fMzvWYae/wyHjW1NDdEtUMyTnOfigthqqFwdDe7rWvQLjcNIyw8yD4MBKzXVMicjfY
BpiegYmzKvhONt2SK+/ifh6yRcoxcuDwBc6vyNN/dTX07ZFOOGiDA07MGKRTsWo8/ealmH5b23JU
znJ+u3hGYAwb+lSP873nvuKfh+2hIFliEutuTE6Taj/m5bVMzG6VZP2TCEGfM9c9VKVJSdO5pjpq
csf9rAYLE/9Q3o9W9pDM0IGn5JQNh+poqmG/riuDO8IjBR5V2R35GGIjQzmA4TcbBtc9t7VxEJ1J
oI7F7G1vhJGJ2QTMDtXGkUBzSjxRU8PBoTGs/MQqr1XSvQ35HLQ4JN0uMPLffTzV5wanjZDytmox
UzZCjwfsaIAPGIbvRepbPDpnL/yt1waYbEUemsuEs4xdQfeYPOX9a2DEuAu5zNGi0AhXSKxXQ4OX
w1AMa9dLmDs7Vr8CU90lsardUo/eGu9YZreUWIacfCgtPpot1Re7My/MsZ9tNb/VuZv5SmXGEC3C
NzxGkLC7+g41k7qG6EE3OJMOHWKHqBxSpGrXc9nT73TE6jr/sT6jrZNCMKSVpjuCTDlKPxpgYVvV
td8nlPx5T6ky6ABXsFBB4g7i3jcDcziF3CVXZO46tW0NRVP3rGUYAqoGli9dUUKromBllZ9pIvF+
Ef0+G6kza5nlHXTz0ORNuxpDgKl6ovjkOOl7S5GPp02hrASkhzorokOYdPMAWv9hIXFZUa0MsTsZ
qns1zwFWdOujmKGn4KekwrLWUoWxa3OqqVlCk63uQqSBLYORh8DmqhQFxc5WRXfSXTr0dWs4KqXv
CQuX9BHYw54Ta1pJxS+e2h68jAsGZ4R0V0W4VDC8Ww1V2j5IMtM3NfFGsyH/kbr8ObTkOmup2ww4
amg9ZU3GUuUh6SSOHzwRImkGa9nG6rnp1W3OmHI1Oiin44nEclO9eqVp7Ey1lVscIg+TTJyVnQo/
0glsmUIeDmFo1seeenvqQnBP0uHVFpBM1eYF1Iz/X0xQf6jIBnGd3GUFZXXmrfjUJjbRK90WLwZc
JKSIT40DfiorivalMSiIYvGDzLzcnxqDh3Ffv2HR4wtrHn8WSOOm7mCl9KRZXLwKezL2jl7AZjaL
8c6sZ0yogk5D/AYcPietGNdm5Imj3fDNiMtC6U0E2DWFQG40plm29ZpnVb52NBGssVwRcDlRvZbJ
msg2gQHUfEtes4G3SEduYSOrrLVpmnOegjxZZnJrbH7bQGvsfRKnEJi47ZH5vFY231havCV6Iiox
oU23BiRju93N8iyIxWl+wupzOIbFg0oJhStKrAL+FT9Ka+y+64rpHu+tleOWoJEO1JlRlgPW49tu
WayTsNubTNyJF86JWG1NsQMsNvCI2XrduYgIb0Er+67aZvOY64HfJePN6FFddk73UgdoPaEBVTtB
EA1ddHMd4olGym+TlCDKOuFHadjtxnHbuxAMlcKhp2OMEo6Uze3yE/9mfqIxue/UViF82kUB07nE
bgiECbKET6tTodMJG2lJ2BRcyVaA3Ro3Eqr/8myODd3NIPQDRiXFxLDC4pozS+1zCK13Vf/dDdMn
1jOEW2AUbsn7qbZVnHEC6tDBO+ZbHG3q9lbNUFAAGeJeUyMyoe6h9N2lB2O2SfFJos6vI+WHV5mu
32oVgWtxWpxB/hw/m1zS8UwwHWCvtaox0mGeg7iXESvz2h3GPuYaT4x0w2P7kBjBeGcHKtgGUx9T
QMlxwmLYKnjBw0N+apRM3VbuPR4XDAzV8bUbtP1Uq1SFh+ql6UBE7L5Z66Go10PvaQwUs4lPH56j
uvmR2UBkxm+9i+9dZvtMgnkqdt0A1YjpQDsAQEeewph9X6Ebv4bkkSgFYdaEO236Wvmsiu6HEZLr
lQXntIVbabafvUtBv0wowcOufG4oCpD35uH7K2yKH8ZLFzA9THBv8BHovCuzei1yxuPgEF2QJ8mD
Ypa451sjl9xUFqsCKspG65jzObMnfl2KL9XoP5pOZcRi93uNvmc3m273RfYBd4P0StxPwXuZGetO
9cg3SriqooTyi5XtIixwIRtuUiXZ5yqBzlVg3MvaS+6KmmvbkJuQH3k1lh70QEBwTXqWHzV9fyld
34A9u3EHk7SN9n0ciytP2IRRsLEyS+RzVSHggZTbMZkFuw3zDkLbIMhP5WeCyIqpQvKkq16wjiSl
16iwYl5ROMnCor0KG2Wu8otae/9TCfegryrWTualq4HZpkH8cpzZm8VkalTVEOs6/hVNnXahN9XX
eF5YVN9ymLR3yyY7k0QZUXkoU5tvW88RNMGwz6E/wsnV6UsJVncVDxf/qhs3paQfDkrtOWnjhOtA
vdXYS2w0XXfWobF3bdvamJN3C+PIROVGTbuo896vAiYyeY8OIllVQyEPcqifO6ecdnpixH5XZZcB
yhjYMeicUWVyx81DsLHbpvgID2C1IHEM4ehjUeljU0F12Dequr10pfuYCX5QMWWrvNSqS+M1JRne
W5eHvlviydIAb+A6dq2CkSI/ZcYmGj76VsNF3AGWT1rt1bBhFpb1z1Li5IKii6FQ7nuVc81BxDbl
ZNZrBq1+gHSwA2LFM2cO2ui/kmrcBHbXEF94l1btsMX4G+ZicPGm8BzazFWYlm1TvYzWvZJSj9H6
O438AQY5wxddLuZRjnuvGdWDbFPKMHb4mo3gnybPpRAH6UoZfw/kByeBoV1iy+g2jcjDrZKRjCA1
97djwdHMm9eh6YKViQ3y2hnVtVOP9M/G9GkO7r4yiMlOfjs2F+iUZ7/kgLZWdRrGfgohRmIMj71R
vlQpZIqGi0uvn9FxHL0Khk8YRH4QV7h4tPrK8cxfs+KEgTjuJLWnG+tAd046zOsM/MXvQvvgQfm5
Q6j4os0x42GpgLYX/ACO+VlniC3RERUUX7dD4GJqk2TPng1OrTtkFOEFcmcX47UzQA8sM/gR3cNA
oVdZB/3ktzrU/a46j22a7aBlHMYuuBIXgvSFWkSqDVB1HM4ZjuMtF9ZXNQ1n02yvjFKxLY6OaUAL
rk4FQlC9Tc2Wq3senYGjXO0kMhnO1jmVE2MvreagDeSg58OTMk7auYULpMMD3hbxPq8Y4jae8aWn
RrsSdn1TimaizpXyMOB301FmSkhPlRsdG7A0am7vutk0J42w2CRyx63SNN6mnoq1Z0ZcLfFDhjPD
OqSvL6odtkoHOJM8ylNVR99f/sxs4sSCwSBxWvkKrfY9NdOPpoomrn5910v+FzMmvJC89a091T9D
gyJkksxy+gQEzSDjSS/ccG1iUUaFAcTW4mfuqm4L8Yke9i5pkhf+/0fnoyorbxNSL6BMS9G/9tSV
0jOtssKvoR4ea935KrPm5o71EyhEsNYTBZ98h+AsD0cpGTAdMLWZvQOOqpAabJtQsok8cFdtPkmm
/CqosxMYR4zSPrSgd9dSwBOb0SzRIM9nppZtiN05dION+cPdaIw7hztIhMUup+MObOXNaOPfmJsJ
Ks9y2BUqtDbk71H1JZz6Rs4U1WhRXKW51QKenPTpuCt7+9zscD8WH3rqwk0f/NaNodSpZkkuA7rT
co6fUUYIdoH26ehfAJquH03eeYCSthEa1ghQr2Opwun1orvBmrRVEkfnslBIrTTyk41aLRUy3zWj
pfrQ5ixGF/26FfZO64cQt7FSEsEiH3VOjMMat39q3lVMSkMUnaQ7RgivPdnQw+/GMvmKCjmbTjUH
Qyh8b1I5TZsqDsNbJmFzBtrYv2pT5B2pbKyHmuxx14o1f3DEc1RW90ZLEAQ21XyMeNPncF1dquXo
va2znTIVksDl63hUCa4y0hOeeg/QvzH9G0oQqwEQYyDcCebUTjZK6ffltZlU7SjybtsLJdzIlEFZ
We8LoTFupSYci5h/bxC+G03nOKcDCiIpfLVs7kKX4PZQJXYBxpHmKbXvZQpy5e4tGyq/6mqGAE14
r2gM+ntRfIYAejIhjNILlXijjPq73cirqTb73MtGv9EY72ZNalMPMhALZTiyBP19ExofpXkMDXpN
cgId4LDfHhyHwrSQuXfeFxkp7xS/TOm+gqDsBmLg0LQcDSalUcgwYgj1K4KVa9Sr17hvYXtohzLM
8q1GecDO7ftB92YqD8PRUhKkOMJ1LSv9Vg/xMwxLhqP4UFlNh1BD2BcxGU+BkTya9Clb12l3aTXt
vFK7C3iSIxZdtwUAGdGUfpJQjSSxM4mrlS4HYwONkjU3ZLBTwoupc6rmaLnjItqNnbZ1moZRCcVG
j8yCValkJ3OoPoOk+0xrsIpkWmnyMZNty02D5C8o3vTI/owH66vtCvz69Y2hZuUO83vwshFjBcms
3Y4+KMkC2JeionimXI1ieo4s5zVxhr2qGwcZMVRVGv2E/Q5yDxOOTssD0arddnX6rZmKL9WSBwbW
EJ1nbi3JE1btPyqBbWD6YRomOWzpgaLug+1Qicua4jYF3qYaJ3MXNdqLRw6rlN6PqJ0Z8XF0UnqI
FBDtSIHIh5OVk3ta6BS4c/dFxcWtDYorhkcdzKvuSXbUYpoQMWzh2GeEYwTaBeVjjpBh5U3jSbTe
Jp4sUpRoAmJyMvBJAWZ1t5ZbPRpW/l7VZJUpqoPXPoQ0tXv2TMrLhoeswHKf+kZjwGZt6HJBoPFI
gIZrvqQEdCI3wV7MMqp3obYbBZaqJDV0iPWrrTlkhuIbmFBzb8tgPz/ywAVuk0itlRkJtOlIfQJp
PUijvljV4K7BGpl2E1q3UqRxn7V27Qs4Pb0L83FojnoLGhwCp1TKL5wciHqktrrqKxwk4aXqDn9t
D16eZRrzUudACZ6+MdZKnmvTrtXa11ylBIYr0qxI3ykIu2vPZlDCQLFHrTLDgPhJxdhOqOFIcYDR
b1D/lK62bSvz1DoOfiglyZApfTaGFk5BQbNtzn1pNmetiNszBYgJWK9X9tBH+lWtlMMhr83yMTGV
9JFp9fx62VDU6B/xKeKxaQd4QQZRqK0rS613f3bTUBk6n1hDeV02QQcAh7DMH39PkvRhQj/uDr41
1eUjdRj5CF3sqVQx71g2GcS7XqSn7r8bzK0yAky3fNpo8/dEFNJR6fe6cljaQbYeHgZJfP181mWB
tmQfIagEtuaTLdtqu27WMOwsbFz+sy2L3bWGqc91aYF31wjbJaGgbaX91Ry6Pwvmdg+uKfq7f203
GRtgpdMDaP2nvSZtXCzMEzipfvm7OSNa7RLCMFpOumzPipHoqci6Zy6yLXUZ3Cdkej7LAOJUUfbN
3bJqe0U6Z8BNfjwk7bNXhdlRl9QSRdi3PDka94EMhHWG/KZZC2c49yqd73LoWHn1OoSsd1hWk8xL
dggbzM33icOgP5FVSNFsftsqw3Uu1b6bLm/leuUN1MU8L+/Ux0Q2ToEbUpCged/KfM90WlkvqzHK
03Pv6S+5VPgcqno1pFY/LefROJJSRiVPy4ksAalPCi/YLnubxFqPcHpR1WTFw7KwMllt04pbC6us
KFq3doHXRZ/X62U3jObigTeM9xUZzPTic5s8niJYV4Baf8+T1uPAfEDsKFLo26Yx4isl9mhb9EN2
DwQ/MwfK8gGLOmdThHH3mGKpualxVXgaK2mvA9Q3z4y9qnXY29lrQ/WN+87qb9GEn52TWc6bGCyx
ypS2+GlW5RehssglK3FzuyT/NZQC2WBifIoJInvmFr+bgRFFDqYCwlGsO7Wk45jU+2BgRLOqTlSr
oOTmuNCYdgL9gGhihjsdradiF4GFfAFEHI1mkp9Z5Tw4MPw/4j754YqoeleZEzB6q70fOtjtKk2y
cRuXIdEoniYfCJPHVzNz6ILmwOVlW5iWSConhcFPJ+XDskMLNYdOIij9ZXXZUcUUh5IwUxjucKrv
dmU4+DYUs82y2swnKBzd9bvBxVHvn/cg67mAPg2OZvWyiNZT5ahbxdBwIZ7bLOf3wAR3g7S674+6
7BB10O5EDaa1NFnOPygqPP8uAu8vJHw2FOn7qUuJiwQCvZIWlO9baSVEgpbRmdtM8RtlSJ4wMYjX
lWY1P/NMuehW2YdgxA+TG0S/ZW69Q/D2br2tu0QgN8hmeyejquLJoyIK4+jovbtl8tpx/+c6uLjR
vfVB92YVWLlElo96gD9oSqcH4ZT2j8HWi3UY9tOjp8XF1rNz7HbyuruD3e/uSG0OrsSa1htDpuor
jMIEw6ToXqrpo5h0/WKUOUYLht0DTYAFtmkkL1w4AEVhkV5Spk47A6+Fc5qa2a6VuKRkAoArT/vx
nFpGszMErAJhAv63ppaftXbUdzjbhGfN0+0dN4pzSlOEAAUdLnfZnYB0siuR9u8NK4keGI0wpNMc
+1eY3eErYX82zMNXdROOj0vT2JoUqjL/aTp09b+aGsicH1UyvnddY9H7tukT7KnkRPbZrg/wNsVt
mXLGso2C566TZR/5PXGhm7JSQf2C/iHXa5KVk2Dy9XjqH5YF8bLO2sBOYrusanM7rUOJGxqltSvp
2gjuTqhl4+oTHvRYDt/HRQlFZVcPqjtA8M+JND+Mqqj0w/W/b0oP2xt0SswG3X1Bigocyx4xMLqE
BwNX4Q2kncFftvWFGzwwuoejj+MmmBDtlm1Ob2z6EXumZa2PgvyCRdl+WVtOhD7N2yek50Fn5hzL
wjKtgOBm7qG/2+BzVkC5tn5o/2kH/rHRsba7LptKzxVYulX7oiJCfciyZqPqPewKCijNVklM/jvi
ICMfNSJ6TGVKqWXp9dXhsQARYN5IbTJdf6/XssKAjzrud8tlFeN8Sk3z4u8plh2FFTZXG0gdz2kX
G5i+vmrBqO6Xwr1QMj4EF+b/Z2No2epe0SjxLwcuDZfFsgMdKnDwfPA0ldDHU88+hPMEVEaVcemo
/1zDXEJrwTXwJ1XDGpDHKu71EqMKa0KPU7QAjoYjvoReeA9xiPDGk9TTl+254z1h96E+efNwV0pk
MUrU0l4Ux6LEFcoaSZsORiH9ZXsbMSPq2/IGiuNgTjQQr5oAXeYWkbNa1CvH2uFqWi0vm5HkUjF0
WJlbynHZVCUpe5f175fL1r/7Ow/hWpYrv/+1fVn91zZLd7VDLlO/d6mhkns1HiN9/LNQ1fohbvmu
kwlfPI8c601LEB+oZVr+BLT7tMzSflcc8dpoWnMwbcPcuVoS+V5u4PqBB/yrWWjAZyg8hO7Sn4Ya
vkxVFt9IvCTUmA4TVobi18Z4dHHZCsbE2MAKp/8Tw2WUMv8aS0w921p/C61ahUFauMzYe+Wuv+11
rcNWVAW6X6m9Ee6DXDC1bpB2uXr+XnraD/LJlUcMs4uj0LEZjJ0JQsLQbmVeZrdOBUQblUzbKki4
ftrBmhPkfnvrqrC802SVbVUEYoeiDfNXdxwPFCPFu9YbBaqnIDjmUZc8Bmb4e3m7SXf5B+VQXJ0i
7y5BCMowzAfMnwMGJZhWAjdQ2KG5w07yI8GS9LwsDDG0Z2m20GstF4sDhVm6hCB5NvTYHFZLG7Sc
80to2mjgzOOf1X9OsTTPy/KW51mx/3vqzIAWbCpd47cSacAwTAd8W7zLsiZSBGhOh+39sppUsFig
px56t744AILNoaYCAjtMjdeFVKrb2IGrJsKUP5wJ3Doesvq9yPIbNI/+FxHN55bx6Ffd2UiyREiC
fTGtCheZwEphIj+Xo70QfUs+wJBxQ3OW2+foxBt0yrO5XOFIHOZ0rVzFREvvltW/O9JMyclBhmfZ
Ue6+xq9KR4y4gSH1ybUj6W3rEopvP9j1ITLau2VtWSxNrLndsipndZHZh9TLGuchHlTlIFx0XTkq
dWbpHSYKOuKrTTzvXtpUSqCus4yaaGVZtOGx+ospvXL3fYiuZetKD63rd2P+p4tGsoRVWc4DgiFO
8s97fB/fB3nFlcV71FAKjkPZ9Nt1Aw/7MUxz8RjMU45YreDq/LPNrdtmk1ICg7qDJRzKFf2+Ul33
JPWkOqFluTEntp5VZFX4jdn3Ze1gKZvAJ3e4EE/LTgtX+w08kHKvlvAEm84od8KB75o1RvgSB4Xj
lx3mCHoyoKNC3kl4TofUbcjt5ymDZeMVofK1BV8LvkTHkNSoGus551w+BNn0NFhGtCmTDAERTIEn
qpn+wLnuDcuwnqYqoHDq6MwwEdkxN8fU3TCbZLXsdQyQzrFxghPwPAajcZxdytquLg6MNSD0Kv6Q
Tn5XicR6rYzSQVMRYgcy5fGtVCggzA2c/z0SLLWmqO5GH/BFvo+06bHW5Vjr92BLVNwdmT33GQol
DDzjhyQI8I3SmgKIJHN2/Wjrx4RnBHSYvAXRTooT/VuzG3PVuZj8Pr6TpsZDkRF/F6uK8zzMlkX4
8a6kNN1d3QbTuMrnDIbWGbUzUGdG4RLXrXmTgMF/LufFd7umMguyLZQ/Ryx7mnEkIbk3AyIIEbeD
cfswEttH22ijp9LGsyLG6M1fVpcFDUzHbh8Z2c8qIIyH/jZYttFAMykHUgHpD4HXmiTTduHRFll1
7qM+99M8a171OPm1/NWa8Tu2+ugz4VqlmD4SdDEf42JVdDTnYzKHmkKVmPXrZMzwQR98meL7GOFl
2kp38z/HSBteSpqJI5Iq76g1o3cE8gTf6nUACZmIcJvybKhIw2aXWHb9+yWDYGOjtPE2G2TeElJg
ouMjVXdV8+1xeSZHfQwxYVhZqstSzBv+LposJgAY1uvzhJDWbwcS1+t4ME6F0FM/thLlhkj+2nMV
flpxd2/WvXFDtyCAxev/0zTI2+sydDWj4b704j9N/3VWc1LJWC9kShnxXa+E8aIGVfkcdv+1Enfv
Wmfr33s077/2/PuY0iv7XV0FkFAm2ZEsXqsDz1gU/wCiqukvL1MNQ4B4XpRegsOke1Xx7TpW6Txf
W14KPGgVMlX/d+uyjjN8dTcZlKy9UbkTVnhEMmLuMqDiO1B55W7ZjvCd4umyUcsHF1/kuTWgnydW
S6vW1lprvzSol63Ly2UhXQuszGmTVYlzxp/2y55RC3+2XhUdR/r5+5BbY58NFOa0XIr7QGjifnnF
KPS1AUy9+7t9CEJt7xoA98uh/9sWtumftg3evSs8Dlpsh93wvCwsjD65jnLTd2SOd0nTov1eXv5t
U4/AHf9us+y2VQuzlo5gmRiaYfisYP5+FKJRqU/PL3UFxtfyalnUIc8u6EnR6u+2TndHef67ntpT
uk1yfMyWg5E44tT0r/NQrgSkqWub7soFI/uvczBwctZiHFT4NSVaLez6Oi++x8hA3IdqJO5lNjpo
xANj4416/t879k2Hgd/fraVhOBuQVmOzHLgssFYW9/W+mlsuG+oefpjNkGOHTiMnaeY2ATeeCUOQ
q2UVKVOxqw2clpZV3UQyqqDVPC2rsR1veEDqz6Wn6/dpbj4vm/sY79bGJEMuGcV4qzWgXqYQzmHZ
q1jqlSTN6YGgbPOpFtP3qb3MbI990pb4KXEQiMfo4yvEfHT+WFqGm2BhKcalJ1fppgckk/zfT2vO
n5ZhWLQFSRpufz/tcsqUT5vXGDRLVPq7xQk953GxbYoQXvRslv7tjj77qf9dlXWEEs2DQrPsXXZM
Q0bPvqxnqviRaZnYL2tjLo90lUh8Ms33Esa6yALj+B5vt2FTU8/2h9oZoTJF+TrAqOBSMBQiOimw
gB8q7LOW1t8HOkYEd1q6c65HfG8pdXwP3yxkatE/pORfnDCQP7bK4N5UnbcfvQHVkefdyy59qefN
wkNnU6XA6U2burehMZI1hfj4tOxt7IRMjDF9DTXY041JxM7QK+6tQjS2FVUybJejdL2nHNkmycVT
Mu91Sk7LW7pKp55wegUBnN8qSBKA3Eoou2V1TMcfE7mzeFjV5XMdBv7yll4DNqZNJF+3Xaa/mqjG
0tg9N5kB4qGqiIsJsjqTlO2ce2mBvSSaHcALNZ/GMTOxG/pn96DAYfh7yDRNI50oFvsWj1bDQnUS
dU9h1HZPBC1ROswghwYhq1jeECDTj+9/W2ht8NInRnZe2pN6Uu+MDqHlslrNJ5xR3PlcyzF9lVtr
PEW8nWdYu6Ydq+sg0NszAIBqXyncrSomma1hh5/RQxt1xScZTjk8wXDOGjBR206Ni9C/T14su/7w
DEV8poEO/cWWb4ZuSb/BmfBENdI+l5MmyUDynJ+JIjdLU+mC8+m96j5OGdlwoxrzJLGq/nEqvW61
vJ+NSDHrbPkelFAVFTkwGFNS61gjqvSL2HZvEAfOS9Mm0X90rooGUbc1PhQVneU7FEEv1w7zqP98
h5Q51Pd3KHLGVMt3qFANvcRCfkDf7baBTM1tpqbTHnJAvtEx9nhZVrsqFRs9UvUXs6n/7J280Piv
VTXV5R7QKN+idgYnMZTkVSUnfaOOanWBDN8fpJbWe2yT8RFV4mzj4Jv3No7dDQq0+dutj3WmTF+N
pJvAhDxBUM7RkxdUl5p6ZtFiuNAb4r3PZbTDLyvH/i7ryxOVOSKj5lf/Wm0xeSZm2GzWzANoLWU/
oo4gBjpocvuSaYYfDEp8AjZy1xl1V3/ZLl0dLhBCZ3EyrMIvmp7IiLDlCMOLCX7xBvf7BP3BcExS
tbQ5Xs9x1JNpwgWd12QSwuIpqvF7Z1dFml9VHY4E846lybLX6/TiCICAi34CQIUT2DarQutsUt88
2/NiWY2y3j5OhEsua8v2pYWWgx8B+jg4U4sE6ft8bF+QcRRZ+TYi9Wa9GLCjdH0pMfp/ikMIk7UG
z2IxQnem+sX23PT/sXcmu41r6ZZ+lcQZF/Nukptd4WYO1DeWLPd2TAiH7WDfbvZPXx8VJzPOyZtI
1KhGBQQEUZ0VErWb/1/rWw+008Oft5eps2x1Q32DtoHbvPuENs4chvzlLiilvwtAB23dMM0fkp4m
R6OJ7tPsxRIAdPsuoDatwDjqZ9CpJKC1abQZKk0910J/CuqkB6lDUNaYey9WTIZKrDvJTVtWPRkg
5gi1fwwu7DEwY+fBHbby/sY0GvvOmi+kgW7RKu7GOLJnolh7QoJ5xP+H1rKWSb03JpYVvx7fKhVt
RMOW7Xrb9WldiAp/jNpsez283iGi+gtsvXX49TAHJZWjiuwW86Z9l1a+unU7bfnrAZBlWJrF48ev
l1GmU22bCVPf9UnXO9o2GlZJGvpYLnih6216kw+EXUfZ/nrYFb69yaMSNYQgG8cLrBeXLd2x9xAB
XA/VOIZrSDVidz10kuKpod11wUzlP+BQ36imtV7KMcDA5t3rQyxPtC5A8AfiBzIssY3rki3N9bbr
RRTl6gbPFbZlHiumwtz4U13umy5/QwuM9dzzjZUu3Pi+H3PrIo3vLbUFjDPEVezBmGF5ne8s6iK5
FzISK0F3aH297ecdfvlmjoZ+vB6BUrQuXv79+vDrLZGliz2L1j++TpwWAlVEo61rp+swkjbqLcBD
9fM12Fwg166mN8wv7rL26EzHtP71eQCK4L0+/Dry/Z9H17FqgHLx677uT0f/fN51kPvnI6/Po+fU
Pxg9vep5APznI3/+vfm+Gbjzb57nDQHqx6DfB/2YnHA2Jicr8e/bbOx24FiS06/br9d+3lYNNMx6
lA08/NfNec1Iv7geq6n7SAOE+eQznPzMKk7Xa9cLVY0wVYy0JUDsH3f4uoiGPxxLJ9oVIsgOcU8O
5c+X+fUKndLGtR7P7L759a8X19diUdAtfvvLf/39vz+G/x18FZciHYMi/wtuxUsBT0v97Tdb/+0v
5c+b959/+81B3ejZnnQNUwhMpJZuc//H+32UBzxa/1+5aEI/HkrvQ8SGZX8b/AG/wrz16lZ11Ygn
C13304gBjevXzRp1MW+4NewEpzjSizd/XjKH8zI6mxfU2MwePUp/h+S61s6NrmOCQV57fcj1ws0q
d5nX6H2rhRb1HgsVQgLSTRAn8lxPlvnzIpv0s2RoPdAb5rOGliTPqPLLraYH7eLX46530HMjQLOI
QCaXEUVRK99VudufrDwbTtdr5j+vzY+AnJKzjEN3GrI1OfmGvm+itrgrI6S0vhz/cOTlYm+F3rj5
z5+85f3rJ+9I07al61mm6xim6/75k4+sER1fEDmfNTGuJ9vIinPfivRMusV8Hfe2or8x31KtrZFk
MmQbA+iQ+eL3m+PaAxtYKf+k0dxcZVJYAG8GdedFTg1CgdsG37aQk4ouxNX3j+OyrT+qtG5Jnwmf
K+T6txHd8GdhPKdJ0z6ZmKbuE7Tc11vdtolPuo/F8HqY6jRVBlMDnj8/x8J7sA5SVWPeb61ntBbp
cnLy9Hi9Ny+SP7z+UP7h9TVT7Pu2xmjp66Se+n4DrEN1J6rP//mD9sz/8UHbuuA8d6SrY/mS8s8f
dOvmLgvWIP+iItLDi+Hzu37CQebxoVqgLDD2Qcu7fsa/7u4LsKgqzw8/HxeqFqcwHNFDKKf6hrIO
ftiEEy6zx5bQzPnGzp31w9ervi/nq47x+6NKy/7qKtZdVVB6e5hV5rpzm+m9aRajoh4+ERCzEZnR
7ttMuo+Wr1+u92fscqiYGyVOTt8+1+CNl6pzp3dfJY8DNeZHxoB/ecEU+cG98EyEhsshhVs6WcOl
c5zwpu3L0/UISOB4+f327kLOMwS+rsz9RWdCfkTmYq58+eshPLWR+c+nGpqsVxPrk10Ro/IIQYeA
sI+Ge+FXj+Og6wS8ddSS3Gb+vwTaq+Osx9YSbwL6/w6xkP3z0B6jc46H9cF0CQmKCisjMJVn/7tX
nZ9em7AQrqfGf/1p+FPX4fCjKMc6CsLmXw7//lhk/Pvv+Tn/fMyfn/H3U/RRFwqRwH981ParOL9n
X+pfH/SnV+av//7uVu/N+58O1nkTNeNd+1WP91+qTZt/DOPzI/9v7/zL1/VVHsfy62+/vcPPosxK
OGv00fz2+13zsG/S5rf+8Cua/8Lvd8//hb/99vg1vKt/84yvd9X87TfNM/9KudB1ha1bhikxjf32
l/7repcu7L/aJvJ14eoG0iWDYS0HfxbyV+2/MtlIz+XX6OlCt5hrFE4d7jKsv7qmZUlXCjyKrifs
3/7xv/99Evv5tf37SY2e7Z+nNUuH7CIN13MMyRsypTEPvn+Y1kSjoXgtCrH//8K3/+fCtwE0r425
T18SZdEBgT0UwOwPUQrOlh4lyjsjCJaoa4xThvr16MQIQOYjOVQEtM3X9NomaVaIE44DnSBoBIZ5
EXnbIiGwamFIdSMswA1KM+3VOExzcrGn3dI/CC6+OQUXGnPbHK/6zTSaMVxCwE+eVQlqPeT8uhkJ
7NfDtvDxfMpFIiJvYxqs6yMrko9Op4xD4XQShVMXntgSvASg8G6FF5QbsmC7paO5/u31onZH7bY0
iofO/J6BONn5k9PglEht9psYUCi2G9tSZtxG82qt+cgb4wjFwNLMSgx1iYJ7ahVmQACVHgLvwdPt
cHojuCKEsc8d56amxR9qQ3m0yAe58fqiJhLGL1cRnvrLALz8HIE9y8YW624Ttu2yFsawTfv84tlC
Q8M8tg9qjJDEBqTPto7VPOS1Je90AaVpH0q9fhJawYVADj+xh5kPDKumH1h0Fwd0oN7H9lNHejjL
+uhVpE56NEU34clU8etErCwxpRbxQMp8HVChPPpm89z5RfcdKhZqYWIq7jrb1w9kXQ7rENXecmhF
exwRc5KdrH1VtoZycygJctMJDEJ3g0U8AJyb074zbPOM7aE526JHXl4bD4NWjJ9ulbGqL1uMY0xb
KBTCt6JH25p62zqRGdKTwb4P+yT+pvu6tuj1wn0Ysd6uA+GEG9WzYSAuetqncRPsSIkK7yYfD3+U
uNY3NMP7skv8752BnUIbbr2h6Z+UU0y7MBw0hMamegV5hD/LNm6tec0s+trcDhriEm/sg+ckceWm
zAqMEoMXPGeJiUDLCgTYFe71emOr471fxoAKdknZji+O0l/GRCsuSmLcHZjn965vBaiGFVv+d00v
/XvE6CZZl9WRtEbvrPDrgpm1vW06RNAcdQO1NA7HxxC8GpQvuU4VbIAqxjPr+rXCxmA8eYYktj0N
3jMtqhZ1IKdLoYvxFKJoXxrZQFgGP7ZjRTLeYYDwNTs3h4cCbNZDbhi71mJ511Pu2yBpHB4AeU/r
Jhr19fURjqo96uAKSzml2M7JxrukdoY7Szb9idSyw6+b+C4JlRXRkRRRsVBDXr6IkvDvCWTr+no4
jsawKEN8Exmdtbrv0hdLhzwAX/XOmtrkaSzwWCU9vFR3orQZ5o+Qes7spYPb69EQ9AEVsjTYJfwm
hnFwHxmB8IZlY3AzRol4yQTeYto2rFr69lJb3rMl9JUj7PQeAFN61xQ5LEoqq5ItM4CBNDtJQhRO
WtJBimkhqgfsgxblYEZH33iUhtkfioig0QLIzUM550mQcFB9hR6KsZgSaeUAfNVKbzkRgX2is1bf
8v3Bi+y6cIsPL98Jr3gOpKYetFzPjiCYxIoIEhrcZRntStu8DUQXfbquTsKj0D6GTavbe8SF44tG
/t2h9VKa8vPhquhCuarbytjXSjqvKWcVOtPkBVChd3QmNH9jlrmvPZqwpeD0WkQ9xgnHDorXds2U
D0QdpdUxjYCf6WXzo9P4PVHPJFcu657hNmlQu3QCJDrf2ngecgZ44f5drlsF7gWzgEbsOCu3q+SF
aBzUhKSsndmJFYvWy/JV19b+zpZh+YwwJFpmThMdB3glPp7u237CZRgGTnDgLcdPjpWSGJuOrwYp
gBsdOsxDJor2zgUFCnwmfKh6yVjt2yUNg5nMGANRJL/qAlRN42cety81iOs4KvKDTa/0aVDsO6ST
q31ZRRH7WpQ+keB/dL0XrjL5ckjhs2kfBALpqU1h9GLZYCKDqT3+vG0+zLu4WJeZePbLqTm588X1
Wk9JetF3FvE02OEpQhvd8XoN5z0cvanUV1noo28LkJ0POcOTqBUWyAifTWQYJemcWDMyL6toRvU7
GBE/dEGyt9fRyUmlWSxgkTMN2ukhyv1go7sZyHk+BM4fF/pA5i058alPVG8AEgBzR4QBp6Ldkzu0
GWEibfHYIu+v0RaUeH505EFn41Am9QWBS3anMcou2iBBA2R/6RMNR8mksM0EzfvEUBVstBKacSQe
ej+KkXH7mGNNsD6OS5+jSMq9aVZvc06eHnTGmgTzfmf19XcG4QlwqebdBqPEbli0L3Ad41MnQTpV
3lK2Zbt0LOaHNpmt8+ND1KUoTzrse2bT8GdxTjlSNgfT+UB88DjFFSMq4juNnZyqhzvdwu2r6uqH
T3+hbWsMg7agLN3oF62ZmfIG1dFh3MObxTPu6NGm0awK50tc7dzYwYIq1evkZZAoW7wwIgXZja0f
MCYcoTBEKumVH4GChc6v9VlrUOXzq2GLDw8rwAIZec9mZXzomXZqHHHWhA/XVr65ZbglDeauLciK
A0Xx5bRI7xByweiM7KcABlLiWFtl+/YWZ6Pgv/6F5tReWHSl22Z4sfzyoytsTNtTcGSp4Zg9CLoR
2jAQzD4M7wjobhdg3nrRrcHugfgHzJh/EuLBydy0S68u1TZo/W4pan3bGHIz9iMm7tRSGDCDDyPB
lCUy6w6kAuyVjyiuXydpraa0w1JOqaCPCHvS00PVg2iZLP2laMSD7yT3ReuhksVE7YgfPbvdfnz2
IamURrIqA2vnG9oBotqtP2mHmj4rZ9N6Yv03dZdBuVCnspGTVbvvTO096dWdCAgeStpVrNk78qJ3
CSPxzKV6pIYVLAsNFWJC+XMRtlDdcKoWwYA1Mb3PnZ6k7ylbTa4OOwg5Ob9+amuu/WH3EJZcg59k
He8rw1ILE3zM0JMdYJOxXOF5DGT1VDhI2D3mevMQldVtFSD1r0N1w/opobMJ7Qgu6KAPZyPvgXHK
Xq3qDvC+ZSw89r7b0HNulQeVrzaXuZPT6q64NvtNIsEAk4HOIFzgnHrdm0NLE0rJB7Wncku571Hw
e1w1NaBI6Zi7jPiKvqxACFT8ED2cZ2zE6GF740Ufe8Hbx2HdYOWCUNxBjmgfxiQ7ZtBTF7kr6uVo
lqAHan3DqR4uWpRgKxKWn0VhnhOBUnHwMBEj2H6bKlyIitJOo7AhelG8njxjYCHXPeNqeFPz69DN
ofKbns3W7wkhSqBMhl+V5DdianihiXtfqFaRvPnkZN43x0XE534yA1z8uuatlhANKhgByv3hZuN3
aRuQc7GDiDyrSdZsL4kCSTKm9ioizrwz3edRl1+d3X+NEEhl+aWUFMusyG5kHu4twHKctOFHaEV3
TQ/8rSB9Xi/s4sYJR6Yv/O2CuagDUgx80aMXA8fMGnZoME4smF/Btr8ErXWvbPvslt5daoyXoqD4
PmbDm3DbE15Ccj20I0sjA4BK+BnqJoZBTsCMiETUe2rTtTGanNK+rRP72E4j6IiFjZgf9+qqcBXC
DOKk+jrnJJkwZUFlWPRaP4v9LiRofrMETWfmX1vLSWAepgLGYHsTKLmrIBWvVRQtCb6O6+zSdaRG
t5OznAKQEzTYbgMbqU9DK74m9xBHBfbCHn2Z+03OySrVNH21Lkj6mpxDZZ+1LF6TiekjbIloiCPZ
3UGMuFUzddjWu4s7wg9O628omPaYM+ON7GCEp0pt8iGCOt8NBCxA0bWjYKXLSuzGyqLrXLwXud3u
pTPA9BOadWa/v5FBWbPeKAxWSxjDdJfPwJsG/ACwA0ZPhRen9h+jov6RjMoESQuXw0w3Ps3bj+A+
fnBb88GGhP+YFOaL7zO1B6rUVprfHzpLZRtWWWpveZxSudcOu8nIb4lfedFDiZKvhurnR2OySfo1
XuSKrdzO0/qTqmJxr6WPkelO9AdKSZDBbLTvbtn5SdzPjCYB6VwghCMSMENvo9ugGqqOHG2q7Rhg
pA3cOirWlpvfErkUbzqvVSvhO8eEbw0hy0ZXTbjHpoDFUaS3mtYbq8pyb3sEo7sA/L8dezGLFszC
pWimFQZH5PTa8M2uwVqxT6S4TENqcgk5qK3kLYoL41Bn2NcwYUDtBeFTppq76j2M9KUJ7tTIsD7p
TfUKbXjT1O56xPH2kGSECFAifDdM6HVBwdj3zdIMuXSpR+4al32zzZe/qEyB/hQBZjj6G7a12Ipr
994mM3YR1CY1YJvpsk4N0DSkWDTurbLyu9FngHdSgTBP69Z0Nt2jpx17plc38xrMoZINOmQmOCQj
XmPYNbUXvUKOx9pt9ac+Fz8IkU+ZyqIcPj2cS72SbKwDBKotISK13ZUHAgRxc/46vt5oejYIYAJ6
rrf3GXGlthr/5+Oud8ciOrAbq7bXp9b0YArK0Pt/ecnrncJnRSgHcXN9yetN/UzCqxzoxATxQPEM
8qNwRkTvWcGwjMrMtPZ9XZxj7D6oCb7CjMVsM4pXCh4nOISaQEOAPrgAvgLJeQ9fVi2iBr9Ya7+i
nvuelNOXE49fFcSGRTv6K+XhZ+j7rynxGQlg8DGJIaAG6DXDUOdcWcuANzhJ4wuyK3vKcFWX+ono
KDxMn9NUOJs0ZRboLP2mKu2VjPIc8b0J0gDn9VK5tDGzomkOyXxBEPzv18C5gazuK2dptE67a3ux
ut55vQibJtuANH+qkgHGkhG9Z2FqHwSI966XRBWVxCoMoOXIsPAWceFBuZJQH/Q8U4fKaAema5e8
outxyR7/ULa7pEnvCtqMW0VcLk7NAioGNsrRC8NDYqf52rRYnU0Gsmk5hZvJIbapmqB952H8bXKx
W3dmQFhLZ5LCOF8Y/7xmU/9jKRXwIx6y5Ai0MtnDniM1Jn5IMwDDyjxrjvVp2JhPxUNjwIzoUfwk
wLIRJXlW/REq/8mJhl0Y8YEPZ3hUPTCf3hRrQ8sPUm/xsU0nU+8LfF7GTYAVWdL9MlqxigqY+AMB
3i3wYTY9nBtsUpYeb9YvQKSr0lhncrZ+RHddaXaHuU9lO+vG06B3BswMTn6OBu+zHN19pPzFvESA
q0J6Awg4L71rdevo5PWhqe5IRz2VeXXWomDj4SHXhfat8fsVpleW+HSJoFdVbfhNn8TJrEBnqolY
LrxzVFPqhmKDuLgE36zC+xzy2Y5uyNkbDMy8kEOmdIOG6NhtiHmH9aCVNySabIHdQA+vdOZ945YE
4tskGLDQx6AP67zfovIDAhGBuAeCEgLUSh8L+tWzaAdUI0WwxxEi9UIa/guq6S1JM+wvAEkbt5LE
CnA5zXffxYBYxz4pISXWwHhvCkIrpFn+SEpAy6l2IP5FkYzQHiybioBLZHI3eMW5ZOBfwONbWm6x
N3KA72nZlXtlZevBLdca6TlV5pN/CjREyOSWfmqxLMrbUcLHruUbHacHDY3JkqkJiNUFbUrOMghp
f2gBwaKKDW2zgaQwsb5U8aYvshcfHgGcPnSe5GUs6xA3u9y2sLYWXcUugAUHp75qF2X9MLHcJxGy
McDd0b1UcnwCvco4gvwH9dBbSNnBnVB9uuBsavWByerQyASPO0LjuMjcFY5lKpNjvzL6k0xSWrPA
xkzFyZkDkZN9uWvs2X6JCGRR+OEnLvv2HElWj1C7hoRpLHW9F0y3NSy99jGOOrYy7USNqH+t0mgZ
N+lXD5FDl+MWk+tH41UewrOk2FiGw8jg9/tsekiN2lh5MxNKQhq0hPbkOqDoZVgcwrEFQNpaRxFt
0zS6zxxxG2gDdIrxrkOutNebVynVTmteWic6mCFwhLbai1Tex/lYLIWjn3u9Jfyjioid6CyiocyT
pvtr0jhuiwqNROafUl8RT2SOJjWUs0q7r2qK3oL4YuoVFgtZrvIyA8SW2+amtxnRMCNscGLdeKBH
39qy+NDtZG8q7WYAb+IHzy4/RLNjFeKa1bLEFqZ7AxwPliI2ttlKiRdpxUdUeA+BgRch7ZmjkyOJ
mktVOw9ZXO9lU7wnFQptEUHfKUxPLZqkfQulF25B33z3Y+I5HJfkJQQAj2GYEHpb/ggZKIyp+lFq
1VL4zV0qGHMcndAt36GE+X2Khu8+g4KuZz9cTz81bXkYHefbGJff2sljjwlMXoKULaF7Lzq9yDa9
zrCSTAnhNQvjrcbJt/Om6VG5+gNxANKXa35dT4Xo74Aefiv9uXUYkVrUg6HlDU4ndxh23vjUZmjn
grE4wBnkZCnzHw1hGQKqA+4w86lmCiA56VZ6QN5FWyz0MYfx5WyQrRO9A7mHqW9Dte0u1QfSTT4M
pjDsp0vO4DdTP7es3mA+nYup3zekfsbddG9LFmUTlWIcga6Fb7VPLrLoiYoEjj402UFZKK49suh1
4EKR6TxUsY2uaNxbZg/1BNi17PW3Xnj3Iah34spwHrA2FIFBhEdFwpKT8t8lR4pPO4mph4ysoCGt
gRxeTsVwN3/EbVY+eqlXLm1GhATlsNGEHxr7stVYFixz5tSwN1T31JRVTj4n7H0Ve0/GoJ96m4Nc
n9b1VDN6ZpNFknN2ccmSVdZ4klHoLRBIvGKhfzNxurO18lbulDzXATHu/RPwDogv5Mxcf0hNyqlf
/mDx8ZRFTrEOIDjFKKbXlXup7Mpc9KNHtR0O7tIROvsPBMNEz784mBTAN7Bm1wDOUpFimkymk6Gz
L7KTG9pjvFa3SM3Z7dxjtjIwOWzDVnz3QajoSXiBwfk9dVwGea+6BDqhfobq12NR8qs0+ADxMazd
ebtdABkRRaDf2OXMV0y8M9/+vsvzaOkGlEO0QQBck5SN8D/zfVg7cmyypQ2RZuVbT1aFtsSCYObo
8GcocHT9D9a4z236YMHa2ESju/J7u1hxbqUL30QXCG9hJoy62qodwoB15Hjwa3JF2PT9sHpbADxw
N8kw3gclfz9tu3ZTtpIJ1TC+Z65dLVR/iEfLP1lt+9TTBs+UqM4oGMk/URHIM3E0QPCC5mej7fXQ
sADKUnJlXaooPgl3xskrjI5LojCKTQhHgN8pbN3I0N8m/R2t6TMaWGIWgSUBpWGErNQbJIZ32yRA
0sUNamcdORlkjUEdzcAb17w9qELIHwXgUJ+5lTAN6u6GBNY1AZJtlLOsHMjxjtzYLTD72iKEpktb
nYBDVhN67BJB0IS4B8Pg4mghdpcRv5AM8IY2obvpcZ9AFQifahTbjFj1psZjPYkRF3/z0VauXAxy
GvnNBbdO6t0pgyppYz401fBSmt6sLuHNVtorFVtLQGwbwiLfZRolSjD8zLNMaDP8PApHyJJQaNjm
/Zhm2nDdsWelz0cTH7lo4zARgCVZU1/39n4EQlNhb0eNCtxkmZtk+czVFKaNT2h4a5k5fHFhkqyn
Er6d7twvbNV0m9AonkPZrouGN9CFwll0NVXlyWvXelYENxps2dbjFNcLyixGF1SrKjO3QBqsTUNU
Asubp2Bil6smDcXoTExNIYSFzUdWy01DQAYMjgjQvo4Vx/cJ3jCLs960z0DHBjJgbodszddLODH1
JNKFbrUiNFctVET2Kd4irZMnZ5ojUlcsllp5Rm08HDthUKUNCsKdMqSTMVSwZ8xlAFn6wMPTTMSM
p97lZFdEDbQHwjZO+QBcVbqodGGtUV5TG4bnEec++3R6UAdXzdnJw6NIypMTMOZ55NdqSUiQgFe+
S4N2UhhAOx0oYnVfbinI7GDfpMfGotezp6FPQBJUs6c/jAH9l0TuiWldIIwdC/WVa5W10ZS5kdT5
9fIZxh5w0MihmBdF38vjoLLu4HaC9IVtaAEAyxKCn0f3ixAJ6v/09XLK1Zo2jwCZhL3Sr3lryI6r
rF50XWZDeyLGsMTmmBveiz3widf4ffJ2BE/RrD29DpeN2c6iVbFWyrljQ/sY+v07BCoHCxyIQDQ8
20aYbzVxmFu/IY6mG+pvQFjpTkZtvAoHScpdq5ic9FuLRqHlC2hFLiOfqRERXkabboDKCzpwndBN
WRs+UzpL9nKnHDg6ZQ2JL0rdXTkp1ujWsMo6TQGR+uylYAfjiIXemmoFMtJexbaurzoVf1a0zAAx
xY8OAR8Lg0oAxGaSDmyKgPxlg47AqqPNtRo09c3yQ/LLTBbGwjcIZiBiU6+n50AD/QZ1Six7l3Qh
O3fHVSuGD3yBAgyHcXFbKIvucAjovKwojHHrcI8of1o7YQj0tDhixtpBI5sWvu2SZqnXqzGDul+i
ayKbYrofleevRh0mIsC+Zm24pNuQCDDTdFhMWi++Y97JIYAtE1ElREW1Is7nDTDH0muf27gFYFGQ
sJh2vn6E6aTnTrWRRsva9tEpYYrAHR8P2ZTivzc2EW19++yn/JLpPJm72NEAmQVkCPpmZ27agUmm
tAEB6on+FbH5W4YDE61nESRdMGRDUcvSfTKON2Gv+l2WTuk6lfa+J4OV0bDes5a+K1qaPXEfnjST
bkOUDnsiF+jRpWIfpPq0w+f3gU9HLh0D+rGnfNzFMEmBJ25yxRJB1sPG7aC9qaipl7HNhnxS2mtR
OweitJNNWa5UVRxFUA5LEVBQMWtXJ6MtNg7drPHyk4mxqPDUZmzG7waq71OKXpjuWboS2X0UEBFc
ac7Jb5OBJi0/jECsiyJObnI/evDbnoWHyzsjRHFRyTkgj7yLCMBmTHdy0dTt/ZwWCm/YQwlKp7bL
nfTQ5ViKogNBXRcrp7GAmYkEeje977vAe/GbAzWcorS0T6pz0HbtbdqR7TYyzUhP3ZKA2620uIu2
/L33sCsZNbt2Rt/TjpdlsTG7/LuAe1eomJzo0GGMhShDuCAfVxCfocccmELvS8fed06erawGKuAg
CyDVUDFJcJL2kmdRbHM+0P9gn2mzhFE9dtckWdPtUca6IGSeHkt5wJkO7U//DiFNHduSRJykBgTu
PLmjoOfup8mtFmMTSDcl/6VdUAThnm3JUZOppH9AOQRpxD6pjCWSI+LiRXYZ2+nGdLAx0NxZiEZd
yEml1YGBXDecjtmBZGGna8DtkcDBN03mRxKiPsvNZRXk7TaNSnHn+gGtRM18qrzivgsbIl0rgLpd
h+zYrzaTxCgiaTruOx2uae3164ma/0aorFn5+XQBdCK1Jt9y3p2IlTojKkD5MdRnA2DKfmQPt8Qt
NAOTtHdAYU/uKwX9Y6o994hOzYLtXg+bYWl4TD2EGvbdwKIgfU5yCNXUgug4oOpn82VDhFogbwDk
UpSEfPNNTubAytXN7LUkf3NBN/oFFxzttxwcIk5HxC3TDgvcXTcGJB8FuNQSUncWZmHjckjdc+hJ
LHSC1Z6Rh6esTp2zljjHILagf5kJpbX2LQKbBXSPOFyR+RQqsPCGb1QH2Yk05FwSJphA7Vuwo8iX
EikhnQ95TkGC91DBYYXv8NBDh6e5rC0xdalVY1DJZrol5wzFUKm673YhtYUlq3wF8YWxHbtjrn/q
IOOXsQOdJzOFu8689pRtXYKq+jrc+dqc/pKw/k3aboungUBolrFtxJaKonxl5saKnmW+Yk/nLb0E
KLOeMGITGsfChcK3ZXvMz74/ns08dZizs+NQ6t0maYmbRmqyk476EeDWZ9T6IWFyrkq+EbezzbVd
RYcWSQzzwMYJ5fcx6m9JuToYerz2R4dHRd1TU8QPpKKQI9ODyZn6p5H/jdE138bovbEaSL/oUNbY
eVYhCTgbmefpuhjxr5I8NH9N8X1DsMg2Q/+j6+3F9zyYCS7RK2b2kMihWZRTmG67Am5hUySfRjjz
KOzi0YdNi2ziraX9vlAJA5FXqfeJ/ApW0sKZnF0adPS7C0IuQ+N56jYM5fx9qrYLvF3Pjj6c1Oj6
GxgUIS3tTCzzIlu2UfoOmsdg5DSOniE+fTtnRcvan/Wt+9jZ27Az7U0R95dxrM6e19gLFEg7hDXt
Gp5ESbyKoQgLVZ+J3idsPlkBp8Kp7tpKHiPH8tZZA3zL0fxDqhvY5ncdXRUahSJm0vZfaEzVG4oV
fDdgjwnDileJAl6bMXlKKhrLaMi+2S6gqWKeltyQZBPlHeIZWd+mcFyzjsgiZkxrYD9Z2vj2ikx9
0YojWdlEeBXkNJGo0+Wjlx4C3TzYhEYUPc0uKpowlDpOOF6akSFWclsfbaei0iG9Bw3rCuIL9Ym0
i01USuIMlDEc8qY5MwDtkN8xFKCIxaauP08C2nMwSMgMxb4WXnLv3riPOkFbR0VCHfYAm3pn8GCb
X3Yaq0sRT3dBWzXLIiJtOBzOw7TgJ8KOSyU1ejsrWYz2NC5FdfKnDGx4gzIbGzBJE6BYFhVxaEsi
N18sV4hXW1n3tQne3kpeg+z/EHZey60Ca5u+IqrI4VQIZefsE8ppkaEbmnj180hrZvufVXtqTly2
rGQZmq/faMRbmwD6Dava4N07AKxbKyjyI9IoattIFGT3ozBBVSyQhU21igXho3sDqUuOv5/ES9Et
0z4WbnPQHfnZdIM8VMIK+7gn74doMpQDFqYxAB/RaqRZKrFOEodIQ7IB504kkZT2ikSb63gmvsAY
5vnG8PITtUHEAmetvndpAAQ4AM3OFzqi17lkMdbTXu6UbRDRmY16pEDow67AG5iMOAb5cmpIr/5O
Kyi2SYood4Ot5sYl1sVOkOKjRT0efTqssu3kxNeaRiDYiBackzu/nmf3wWhi694um30w0t80JcZD
Bhe1m3SKLmcVHxrHpWeSmvcBYv9g+LQDklODB8d4MkAIHZtW6SLWtZD+E+OAEeAjF8COc3suSaoc
yEPyORtjYNeilsiwz5kWlaCs7YxmB3pGdGmXrmNffXSlHWxTVpraxQs4tyBkcaq2hTURt1zaaNaK
ciAINej26EB0lpJ3/L8irMgh3cC9t8QoQwPx3cw1TKcFtyrYddOm3JcfgyONG8rHo7H6jOloeC5j
+q9K69Mp3UgJmhCCcmhApaOCWJE+He9LDgU8Capda5fdr7aOPWKrWvWiyT6IMrfexB7tkyXNXVvJ
dVkX7bebVAymgdexDyS5SZlcKYfD2AiS9mWyZ51iN0Vh6JjjfiwspH1VEG+n847zO/NVfW1n2Zug
G31L1OEx08goKbviUHFQ7yzfPugok/aWZLYeG0qq28izGJ/mZHm32AxPHrSryItIb2AxMvUamy31
ZoV668yWpBsgPFJ21c/YinJL01AaBkp164AKSG5nQO7xBEWet6k0jtdl7LuNg5Ck1PGeUy0XhLiK
sbrUOTSEdxQsNl5jL6DD+ovOdL/GSvWoY6NayTNMbDeZWPeNeqyyQG3INZnBnBxrTQw6IXcsTgOR
Rgd6MnGud+kTVZVkr1OEFQqT+P520eqNnrLyoSWRUWLNH62q/uDoFwilvNum1e2ti8Z/U8I74F0T
zxiDuV4u9XM/8rnZVk9Jm4elRJdgvOZCR4gYH/VhWHZyXREEVtKhhwyho7EDimqfBsnEH2qnx6Ca
Ks5ypzpcvgNPQaz5/7/NZPdOtu1/7jifn+H3aQSjUOjKVJF9m9cyvNzxch8c/wjtLj+D4/tz+PuK
cSH41eXnbCYxOrw84H98+/v8f3+Dc7kz/f3/8138fZN/X5HrXUcW2uVt/70lIXlk7ZFLVB7d1uL4
OP8xl1f/+0Yur0aKbFPtfl8YozAjxOWukjCD9u/n9/fJL7f+PsvlO92bWs4HDtJ9MLwnrt0fCAxq
9liYzL0ypoZlJhOHy3cx2oe/3/3e5i/nyrrfn3NEVqBq/7nn5bvkvFL/3tbFZTjFuY3RmNv/PsPl
t38f/Ptav4/752kc7SzrIccwNFxw9IiMLIO5Ibn5fSPS1GAgLs/1P77Fe9Hq0e+z1UThbgiseyqq
ka35UOjzxu+JGtZkfbh8yeelhn/gyz+3/f54+a5W3skr6mDzz+2Xx19uuzzJ748LUyh7H5ppL7/9
/cXvi/3edrlLCZAFAn9+a/881+W2f57m8mOgJPHBnUMwTg/38p8/4++fe/n58lR1L2it/edp/t7p
vz3t5THFEhyCrhdbt3HVAfuSWpM4PLD74kcvzqDRzl/++VEnx6AkFen/+jU1Mvnib/LgjLjo7f9+
0OWRly//3KY3ZOpbk+3QDPJ/XuGfl/l97D8v9d/uZwQx7+n3udAXygNJLJebLw+wxQgH+M+T/o/f
//Milx///bUWVGI35330Xz+C//a+/uvTXO74+14v97nclqIgw09l/fRZb4fofJERGlBoq3pUUB9G
hbn4lsYOrNGX5XS0njWH+q/lKjXF02U1aIDwDmneNHvbKugmBK4saOY1SZMEUmTL5lra+SJWUIlC
RReugy3sb3uckSEdnfN3oHWtzRbbFdFgkMLL33xtFkBnul89kr6j74I03xIV9UiBEJCjBqTp1TU0
Yof6jwrYjYiHm85orpyFC0fcMzOTe3A7i+HbjuN1kaInsHLF3gMeFgxQnuW6M60dEkWaqcfbytCx
mk+Phgho7JCIIqqJCA3VknBlxFlkYiOkM+2qIlB41WbUINWLSE8uKqir5MzDNNQFj3N1XRloASCx
nTWN0ggCGIVh0UVkFyq+E7LfTzrtQ3TV6Xe275q7ZeSduWxXJ++F0YStjSoMJOwMOqbfJZtMnScx
OHBi6Lc9n+mabFcQm/zGNg3aR41Zi2KNboczHoOpBaH/8kTs+L4W4gqVrgizjlT+UR6ocig3DFBZ
5HBtZ0I5pQmMVJ4Cu7Fjb9ZdvZ/T/gQqwR6DqPwVnfLdOsmNlW7BAsTKpiFe8tnhcd7Ffpo+JnCI
izDPnYh+txZszDt/vimG6U/n8cH4Q/AGpw49OgSnZC6I+Ct5njon9FaIaQt3djIHCrkJRWHf0qYv
lBjkMQOkrjMRTItDquuy8jQaG5QJ/a21/jazaVMaif5biW60I2bjZ2bJadPhsQ9L1X172S2uvuKs
C+SxLlDy1tLm+d7EE7/qCc9rYd2oeS3euyFII+j7aic0AALRpy1x7Ma4tXH7+mg0IkKnVJiga9wV
/t2UBe3O73jT07mCLcEKcNBr/tG0YqZeEMJBWiTk+Tq0AeeSMtnZp9of8l2XdTtdnY8gM3fVVZku
P1DYjMkd9IC03xU1CteN2X/JigoLk9MvRAZIYeiMVI5gVhHaOt0ZMe4aaIqRHMNgZZM/ui6Rb1k2
oa1LoaN3VhTXAMjC4ZjqBdsxYn6Xqrga4dVM617i81ouSrJ1rZYh7KdhPrS9g45OI0W2i+9mQ60W
6X+KsrZXiZ58zMO5/4FQiNFgLjOsK/CE9JjWZJgH6bd2Vr6SjASuPS2vgaRwxLV3hvbjkZK6MjMr
21uGXoVBrt8tKqahd8aUnw6Ps+ETzB6cep/pm2A5fVMM7Yqk569CGv1mkQzGAI+CNp/n9DxBO3lF
pB01IWt7qMFCtOa0cEqHI6Hy68wwKD4EnahgX3v9w5GUPwWzN5BN89AV8gkxPeX256auQLwZariG
Q6tCwn2JHx6eGz22QrujqxsXMn0DBfV2izHpqyBpqEHACUuqaLoj51tnTjbu3dx+1nJAUfLay5I9
UldJncJ6cbB8g5pHo98ZFoLLspxfkmD4iBNJMmzWfOfL62IWIzK19EvPUrh788mX6dOA++BYZ6TJ
jJRLb3R3CD7U1Ptr4KppRoyXY19cubH5py7RU+vuWz4S2T8tL7Q5n2yTu1XGeEU0QLVSxERHA5IW
JbpTjD4EaIryxDSlYX4hZpBW4GFLo9djQban0dfwQmq+tXMNIzdh+S5IIiYJ1m4bIkxiOjbqHoC1
HdcJx0TYNj3quPxj4ENatQIhDDaLvZiwYGHTonOaPWKqM7N7+H265miRNFA58R1qFFLfaIkLzxSy
O1Vrq+5ZCDQQh7Kk6rCnESggjrc7F+B2XfUiHMMKHTWvS8IY10kxLmu31QFkJhgxVPZRp5XPbm7e
DdMZnH4ZXFhfmRV0CCCIyMzvRitwn5pfnbRAOVpU7jqdwL1X4ZjpGdequAhpG3Ug3GC10jl5NVAp
TBW6znFuHvRcXstuDqt6PokeoLMDsDJH3nBqbujZtgFwKQqdNErXFl2QWgzv2rj22vIS9q3JtG9o
+uI/Uheu2KAXAR5VbhLmxr6FVadVGvMQ0SZVAbBlEb4o3Y8uE1Ez2bepX1ZrWy93qUH7ZRIrte7H
GP2HPx4UzHri1jZRo6MRnWsMUf4NJG1pcDeI+2b0DWQjxpb25UsIvniYtlZG4cg8olHy3C2s96Nt
LFtPVfaWiIOts4xXRVo/1ZO+IRAeIXqKPGSW5VvmcJhptBfpTX4gfjcl1kXIezTAj5VTErZDzpDd
do9pu3w1k/tiNuhqgIYrV27cZLpa/LVXALgaHVJWw3WvSLwkA5OUP8A1j3Cwbl/EKFToKhszDXcJ
SrU3WPv3ICkfXdGfJtdZ5fqIwLXcdXb5RmdU6OSq25g9s4E1nNIFERF9iJHeAmoVwrzNtJamY85P
WoiccseuG/UhTYibbHSR2DczrZXO+6ym96SDE/RKJKF+A0yQwfhWxdfoZU+WpMxaLj85JO2QWJSr
Z/vepoauYR0p9eZeUKfQZ3RnDAVVfHwe5DYiSGmWbIgKwyLogKYHO0g+Or/bJz22HNDNqKbYcTUq
76ezu2WtuMKueoWEoabZhCst55I9rmSt1+v47BFS9R1dVeySEEZEmKK2kxvs34hlPQNk5ElN0PSY
1JJQm+1mlWZcmzXzKMue/XKMoN32zN1ZRy1FXK/oryUm60uvMB7p42vPm9rr4iUThVzpc/kctNqR
le8ha2Ox6nuPjz65NgRjgmNuVT7upoYuyl0HhNzxsbBIIJXIsFytRmjC93SGGOw9cZ35Z/WC6iK9
m0kKDk5F0zyUPf3vkEKYVDh7Rz/+KcvpQISTQ/Bm+4Iq5GQG6ranOs7rxzuhknenQkzQB8BQ+Vi+
eUGA/gCzZ9iR87OybLDhhWOjsHV3xSL2IltjZKKZIuIVTpySW7uflz2lI3FTXeMNQG2DGQjPDKdL
/+IqYLml9CeC15qbkqz1FS4fPk0bPadVJY+NW/6Is3GlUuWI9Lp/ygDid20Kq4Kgx8O1gMcA3Xmd
DEekW6SS0b6JDWbNkmtu3EpuPJIirDagiJdQMUnlrFZmeL6g1i0NXUHfvVQF6lQ/8TSSxYnQGSw+
ZI+P0SPtmwWd9rvepHGqw8MOzgKzWj2gpxYcc4iZ0FCvHPJT76mZVLGrHrnAMUneBd+UHfUnY1Yh
jXLOzo/Vo2bP7Obom0fzu5pnLcMu27+3XUCfhQ+rkc38FslcCUjTwoqUTSPXyOY5eRjCJJpAmUCf
wfUhSK2KXbUM/t5fyhePoV5wBe8HgQ6c2XgmMy9vSEumBdTGjzUk480U5BwuMrs3WH7WXc+5FscF
NKE8JVnzx+sy4HEDurwg16TzrxGcfBpEXuDt7Bi9MQnFmb+B7r3qE3l0GRYTQLYhSK4ZQVY5HUhm
Vjwzaz/7LvU/TmKgjzanL1ApyBZ/mK59gtFiuiELv/9IRMbV3CV6JAcedyXSbdJ2xRgSeajfOEMF
2+SWxYpmWS90S3uTJ9mfYRPY6ug0BtWIzkSK0ERyWjNGePwnBiv6rmgdW0K3v8WGCtmrFbcW2Dic
6yeQWL2FZruRcoHFXNJhiy7XIiF4bfj1EwqiT3bKMnQKiezVgPEniO9K+2PG5kfWFPvYhR3MUnUU
9nUlKIgMUsTEZcUgujgJgrvCDwNMOfniXLV98Fhp/Q/UjhXYJ1JQIyTvZG8jsMRqFKkhuc0Hm/7f
Wr5NLTl89XK/WIAzg3gnSQy1aoBoTG/SJ2EjGZ1E/OSPCGilnjB30kaDVhYDuI+WQ6c7B3EK9Mqy
G9x5ldXOR95T9kTKXmgnrrmxrfnRJNpZ5pyBKZ9wYWfJWXL2Q/XosC6VR1lrRKg9SpDpfZkO8D5P
pcdZWlWjjCqDz8ke7etkqq5mrMznTZLJONZddYXzotEAYmMjQ646vJrdUTM2rj5BAzjag93Ym8Fm
O8Yi1WAM9PGBzs+EPy7+GEeiKFjYNOtopd0bXQOfpqvNm9gcyFGMo1lR+j4nZRlmLROhE3D0N9pM
tGOL4aFMCwYqi4sFkr6msP7Qm1avSCb/gdS+rJurTNItPZv6XYa6fpVKb10EcPdawFHiOeaH4/s/
GfwSVsFmb5njbpjNAObBuJdOgHTKCBAVW1jnyB4/PyDKMketEWDtJr+AGKfIzUAU6RmDzxyQi9AI
kPAg7njNDblvY3XUECjKBtFfV4qnvKyvaME9DK1cL4STU1ocwMEbJBu55dnyl69XDf2RQAGvwv6e
kSSJilRQCCt8Yl1/59Xjm9eNXxmpkguktmsa7+g7nbUg/yesF0mZXYutbxkhBDh4hP0wFN5dDxm6
mvPqasCxpMFRrpo8eMsd9Cfonx5jdd/bOkQoW/dV3ZJmrXvxGlLpqqQfhwQWTt3k3MEyYdTQvRvB
rmMgUmxNetttYI9P5qA96QHJrEk63+NwG9ZEG9xVcQARnsd7tlqvPsVnYO2ITCqPWOGzYUHlDNgM
mK6HL4mczvU8OgdkY6uh7bfKS9EP4XounyQO0IOexzuOyZDiLiuacmqikdtxVzOrI810QZ4PdI8h
cu/w+SXZEgU93tPai0apv2plefDb3tzG07ylSGPTDAS9JeTuIalSX6ns1rNj7Zkv8IQzYIyU1TBV
svsab/RizyTt7LWz8mTIAhQyg8vLUFhdBhq+j+C1lhYaPD//nr30lX7RaJ4xJGtDT19eYCK6ml8a
O6PO19yWxJCs6qGuVuQ8Rm4OtWf3r0UNwx7Ddq5jiloJ3mrRwgQjbkcDC6e34275WXzlFk/TxNXb
aRC0ipGRY3BVGPidWEEC1IiEgoPdfAv66FZFKq5Vkm6swskwvU5HUZifBEHs4jTv2bShR5bqi9Cy
pwIV20ZrqICVnPFRQNNjaAWcSuPYXdfzJihxq84ZbS6dkjBfCVRoEyc0okV2OYhVjsluXcZgIVn2
3cTlSffQNLEFo648dsRqyWjAnihO9JmzV21jfo8Wpo7yyYC73iJ8e/dQs3jLBH4SVPvCEt8NHNDG
a8rvvMTqOw7jRtKhuiQIVSVfwu7M3+vLTZsGO+924mrKqXiNU/kjI5XddIY/Zimu4wCfV8YaZXht
VA3ec2CQydRqKDkku3hyrG+G1kZXBvvnwV4VgbnVzlB4KuZT6egqKrOa2lAEjC5k80qI8ZlzFDWI
IRC5jLYbtRS48LhVtdDUV+Tp3ij1Jzyo2jqD/Xu2TbQjo4zvVPodTC/St17Qzzx6Vc+0Sd2Yg84i
7GhIWiHqQJGEltJjt8DAy7mJZrchKLd1N9ab7pr4P6znqeo1PtD2vuHDAxS07rSymNfKtl4Hcj+M
ZBzWC1ot/jNBQtmV/Uir8c44694IHOwYhVdMAC5HFv8OE82ZJEkQHA7X42DeBmlyJ35YeOMEMZ+0
TmSl35U2OzW3NdHtjBIJgf6atp1JM09z7ZQjAflnYjLNbnNvOFkBOjIfTtaGhl2zCTyRe7WeZuvB
+EBK/eHhXO50DszCefZS98F06zX+/Ks0WLaFwoJSzoeu5WxJsE77066z9NdeOZ+ahySEv2uPqWqD
GxcwJuf67y2ZtdLNYS/760K6Vx0LQGBnVdgq4y0+b159LTktLVoNozkVJg05ZOF/CTmdtQLPZU8B
AwgpoWI0yem6g1gk5mhhiunrJtgtOm4qBwa5idUn1UV3IiUQ188d9jT9g1eSvl+5XQhJwUyF1J7i
GsCenMZUu8p/GAAMSBmKruy8+UqrdJc7xaHFW0ye9nfqt+BUbSvWdmkkmynbmrO4LtxiIjyv3Ith
wk+ii0g2DgnE3aE1YWIDJ4tIgKeCVFmfaVzftZlDoBiKqPTGIw2hW8ZTrZF+Q6xeSkXxTTxa97HS
cGfEf5ZaezTPnjUcO49a8T6gcXAWk5w3XTBzmWg7K/oSlfHl9WpvBtkDiTjJvqmLb0UpGB9U+T4b
w0tRY1WpLZzGXcPfTNXMXIxXDb0XWCg+GCE+iB1N0YgMG0fM772gUNHXuZBrVUAI5dLY4WJ6yJv7
C1I5bSeWzLU1A83qmXlAtQ6akL4HWILOnOqpIm8ZFfR95Y/2ytO1NxoaT7oMDmlQX5ks4YSibFXT
IDEYKYxHsEjp3GtGYG34Rzriy7HKz1iImAG+uas0GiE8GpvO1acWbawbVx6XeoxibK8uiF5ZGOJo
ldUDYshVTUsEwawANVQRAcTHLwRYAur1JL8so3fMFoLPdIGYXmuSrSvrMdRDtUz5yvOyYrMk3pHI
tQ/Xlu9Ix2+GKvaJEnWvOENecDt4kdbTW91QzeInW7PNQ2/sk8jT6tCiy1yL60NdDstWOlbk9CT9
cMnTIqcMfZOzCxXlsKPTCqkceurJx2J3/qOEFdxPHuAN/YTsypnoOIrrK6t8JkGGZrHmtk3Vazqg
fT0fgnScmisay3BkuBwoYPnX2P22IOKvsaeuQW5v4o7qgjg2R1YnI3JycSzt6kGl5ls10SLdqJSx
lnIrP1ii1FZcGOvsAfUC12EdUAbwWOzYjT2ouXoVKv9i9/s4+krtPfwgVr3EaxIEXskApjTtjfGg
36cpI0oMUH/SfDtq0VGFiO0LopjMXavZwHr5bDEyyORUzdqp8YR2zV7zZarAdpfe27SCpDOUFiN7
eoQ4GGpAxu2y2NXtVU21XJjyBJQ3al/se1dzPzzaWezvyEG9FuzKqasoADH95DBkI5tGrd1Yc6fR
p47oXszOdu4q46CVaJnlIhOYCI+Nmp/ShR4bW7Ki5d7RfOT4c+CHOMCqe23u0NSQzLG9/Pj3trja
5ZyX0Ddrr8wKtMDC5FqlHLbxVbMtU2KL6+nVt7MriJ9+43p4qmQw7xuvKnAceO8uOLKBgXrlWb1G
Sre2WQwG1d6OQfqMKmRr87yUbbcdmNDbkWvY0AJAZupBTM1HTycwcA9Xn0Ub97YxBFsv/uN5M2Ev
JdSQBDdeOkm/NY5NpK/lG1UrCgsTo707Gj+4gTlpmLCrOP60cpvYHBcInVQlO8Ain+pIsFqXZcmX
B5wjZ/BcQ7Tp77zY+0oDE/MLjeUzi3DcxzR1ZSfdBrFSgfkSFNc9UgQ8wlfy/HLZmYGxXEMiEH0f
A//Zt0nE8Oudjf8mHOb8tOjufSVuRE4MA8qahzrB4Y6Rad8KG0jTu8HDuGo9/7udHKqUE5K8nPIu
P1MHgVYBG07t0daTEReExRkREH3f6+rQD+geZSKpLJ+RrCF047S29vVg/wS6w+6N/BR04rJIQUJd
EowNT3QcWZa3MmeMd0RI3bQU8k5Vxzg05dgarerPmC3dlSrUNgHe1h12ytSqcIGle50ee7yBqf6a
zd5VkPxBBZUf9fbsRWDDKTK/ZnnMH6rxObawpQw+e7Q0QR7bYP2eVINKuEGZERAUSxDfuCJDZptn
uvFSBKzWhaKdtQBiIQ3K2RrZ0e5BX9zBvmaP/ejq1UtX+WWktRgMBoMIikQjK8w3qZ9CnZKjyOSf
SBGlp+9skENAKnSawJ4Yf5cSrgRLs9DkYdHc64nW0C3KIB5lHi24sI3uux8LhsRqBKqMB8iVgTT9
sDtnvKmJPZxmkbBUl35YuK4RxcvwaJQNg6olcRaT9LOyAKwc8V3k8ral92tXzmd3UYlnxLT3qlI9
0h2IqW4BfPK84qMH5ONq02iYTUHMyibdJ/lwHqDNN8fF/wpamWy5d3urU9YUjibytjP1FL9LEBaM
SxqzqyKYfMY0iKEyKamRZRi5i4l5IWQOsLPXtWA7XA/aOYKm6kUU1E7LzA/t4Q6jv+8liF+29CN8
GQdMYFGK3aYtvQzQllNLMLesIIE6p+NfMzZHcPmrxCFXoQe3IY8TfAhYk1lK7PMBCw27qW0qbWIH
+ky/UtDuOEpZxDzTw2OTUSqo3wTCtra23svNMDf7ReYYNAoqD0yq3ZaEi0OS2N1xBG8vfCwNeTE9
uzU+UF09wZrx/68XwuZAZOOsyw9lA6zOvpWaWfSFrTVsSPltw1ESRq6Ig13Rh5kRNjBpx5ajmAww
WnIVck82EK9BUEe1c54/G+Ucl2HvFKykZdY81+5i7fCc5Sxh9Nrb3ZkTanVt1RsVvi2vaJlr6TQi
E3KI7JTDQhtt8wjfWBEdvmKb5TrPVYltzDPqOPTtsDZJiXBGEsVtTtFO+OdT8qaceIli5hS2Strm
KDO0UNHJE/7aF+Xy2caGcknZo7mVk31eV9Nz6/IXS4eXNAsMZlNC9UQHJeP6w4sTOAZS8OrkA0oe
k+ZOB0LhiILo5r8SpUVHvTGRCFHMaxv01FqSJdQ4T1keXA8p6CjB82TY2WzcV7pWaZHZ2/UWsthK
nXoTIMNM04HXkx86lR33FeVQFKO+EMdwEoM3kJqQN+gpsVbUMxTRQoDAlC3cSftjV/QE0y71KSy3
X3t+f0jgUAEOAzNoCbAANnfFt6noVcOdcDucnbp+7D+X6eDv8CkNUSIFBdNoUNemlLu+PrY1R7IT
45riRCKZRVzZs2K5mUj89UycnYwVDsecLYzvKXE+dPMPdbPffS3vApFHjiNvl87VD12GsbyLP9Du
8WjbdDF0P8YkS60nwZJJldG1q43D9QjH7OKfytMh6lLtLWhtH6lCq4esd0gKbM2LysX/SgsbTgfa
K0QZy6yxMIvMTKzsa7dmw1pZTXOx5rK9z614PrhYcVYZWx+77hlmk2baUMmzLUX2QBGtvmn9W9PW
GAz1+XmYCKjqdFDhqX1SA4yIO+K7S+qOGKCAeJ2pXHj3yVXaqbfShSKz/phDduuz22cTzFVxGKYX
22Q70ONXW6Xn0PV81zZOSl8jroTGgjZgVhk79LzN8EZ4BJpu6kL7YqDp43v0AfQFDVuskNqjAhRo
zJLaOrN2AT+sJ8qKQFtLVUVoQT40tu5tSung5GXkl+f5nWbTVOQ7pNvQw9ismgD82hjY85EaB/gv
6h/dGj/VoDOxuCM9oV2zLepmPTblJ47ymMdiLtF8dsam197zF+UcVfiKWuGU29Siv3qR60LLd5VO
tlAbW7eyC3JqqDm2LUk+El7AWQRHjqM6NCRem1SNlFJizbJJ0fYnorPS/mOemxuusDlTsLXCVJJR
Bl6jAxGbOW+6E84yUP8gF7f6Ir7zDi2ISvMHUw/iMJVAr2lD53sqAU4w0PU3tRtmlfYF1j6+a8kO
9hUZu2ZfDx002zLVX+SbG1STsTVqu2t5dubkhr5sE1Ltbi51pw7oW6UF3uFyEz6Vr8EBeRCFy1/b
+Y8EF0y7CoH4qkACAUBUbHwtIFmwpXNASNbhWBiPOUVOHAf6SyfScW0Qf0v76c538YzZS/CSZCmh
Mi2YdkMFCXHbbGSqcWEWWrVTI6l+6x4HTyxbEwNSRGHi9VTYCdwx7BxZIHLLyYOL2MeipHy8vwZM
HCMca6yLyp6dF3UzVtv114Pw78uaD7Re8KsKo71WgRKrIiOSkscjgNdojQ3lmN/Q3gnID8yIo/Bz
7A0yST1o+bw3ni1Xeqg73oWs4206YbBuiC5rvZsKRmyNhR05Mcr5WGibAYrVKLVu3RBalmPait0B
a3hzKNp+2lSVJDwsviaU7Cpx2auwLUMHKyhK1wrwGAM9dCAEQ870w5JLGJvn3xpWeyepr9hkLkkc
M/ynzXUpKanV0fBmxsNtHuMazxxrWKu6SjZaSfybNPw/njPgPVTPE3VKOLgYN7wZhW03sz5by7c9
+bvWIp01/+O5HKBLda5fI0lD9xSzH02Fgqbm42iJp7ZATKE4uMzucSq6Y9Ci8MGnGaEzfzIKcg28
wP6yhxafvGUQLReYVhib3slMxKqEf4mGxN0HSH4OIp+ejAULXyI02PaGD8Czv8kN2PapFuIUKTdT
7OfrMS8fSYiAN/Vw8iMjR4M33wwW7IFjx2/pLQoUVpUwHin9MdVaG9orgsfKLbKM/TzEN6KDIPbA
IgpjQqrj8ZzYoF6q2vlpl+nKJt6AKXWdxukRQ3K94ujUEAR1m8LGp1WcpzN4lBs3T7F0Fx2GzcHa
SUftDRKT+mp60ObFuOrRApnC4TKQ7cilcBjerR+zsPpVTVaERl8vOFfBxYDPzZRhJRE9tX56VHBp
YG4fpq3UCf0nqz0N7ZpSwbpbmjCwKbuqsruSHqgwYa1v2m1nG3t3KLmUF7oZlYZ4L90Ma92EXcnU
fhKn/6Az91O16cLRb25Hyf/FzsYQH1SxcZeOuFpAyDyvIk3Lz+1A+PnMhkgQGxcbCAOMrcPHPKBZ
RvjECnvIVf7E///e+2zxS64T8AJgWkD/LtDxHbKtcpKfqZvuO9P7EaV68efuARaCFNJcS/jQFbwz
7jIZsx2wjbN6Bx5Vw3Pt2sQb6efy3L5aJFt+HdbZi62jkManEY/ELNXoxM5sVq0ShC+lT1hYLfbD
5B6H9jBb89bjDKpR71Us3LGrvVp99qc1cWKTZT1tG+oGxxj3fPtTe91LQClCmNfNjbQ3RsyVkzW9
JL9uV9kDXbD1J97ZEfKEIPYMSZ1uUx/DoEp3aRk5Z5sLi8+3Z/5AaPoRdTNX9PCgXDLsr7JK7jAL
pwcyhA6Ts1wM5VeCgDAG9+rkEhRY1LLaqtmhwLwCK1MAP33tbo1xSk6dEnStd/IeH1ikOw2nf2Ef
WjaliZIaRnmiB6pAKlZ4jGT5T0riGqYFtbdqjb+bOEXbBcVhvGUT5iaRNo9YINLgCLIRTl19vg5S
10iX2WMq2luLXtiJUAfeRrYe8dGufdDysAXzcwnMXUno8jCbydDzrOKUu/IuIet2ZU4CxmqCxJiq
HLCq3EqlEVAibtSiG6Q2DxtcE8SrFQxlots1NVEfPZhwVpO8oya6itPlKiO/OoxTWUe6UIfEz/dx
oiNUR3FkEMAYkV/zkrFZLCf8LkPHCKAScuAY+gmA+E4g9GROsELwv9g7r+XWlWzLfhEqEgn/Knov
L229ILQdvHcJfP0dgKprnzrVcSv6vV8QIkWCJEgkMteac0yC0tfaKD/ttrqZot1nXjpuWp35btri
DmFera3ytNiC/LtvA+N7aZ4Cg1FTRYNDO+y3h8ahMC2Ilb33yxnbT4pfZuW+0kHZqTygV5KcDBal
YcA0QgXy5sTqFg5IqocOtYd+KIM02+qUB+zMvlcSMxzlqXpXVuIIVwa0WS3fGgXvpqJgamVgVtqe
XNjcvuaT8eQb8aPJmLJ1nW6X1NPOK/Wjz5XcdONVV9Ags0EmxTHVSCxwMRYJWSljjYySW27AZKdE
F9PAMxZtdogKUNW9vnXallkJxUYvJx6w1NKzqeqfftz/TBp6FfF0p1ePadV1nDQjVpjiHd39z0hZ
v7q+2Pi6XBsiLXdCU/TLRkCGFat2O/xOSZaGPQYyimfazSim59ByXmNH7YU0Dpgyq7XWynM0aDNe
Fo1OxwXRavDann+jpd7McdZe3dSr3jO3VsUVVgzfkazfp8l305gBB4SvJukDljDJ91e8Tb63rkEf
YHXSX7yiRo3kfSM0DttCFJ41MAl3CO06hLPqbGXuE14rCtyZ+yLq/tz5xW1B+f//1IP/knpgWR4x
AP9Kx/mP0IPVZxr9Luo8+vxr8sHXs/4ZfKDr5j90dIYYEBnQLct0/gQfSPMf5KsIWnK2bkrL+RN8
YMp/CN2VHqZn6QDaEySU/DP4wJD/sAx8SY4rXNcg+UD/fwk+WGIN/qT5WIK3pSNLdm3HEKQemOQy
/DX2oEVuwBnaqSuNJJzjhdiypDXPvSjVLijD/qUwVY7YKkIXG1HZo4BBoHoblbvI7yj3k5WRifRH
kBXnXnkhjn3gZNBDq3AdE792y4SnHX1z/Ig0FxZEnfYH5Zl7HNAvg+uqWx6P6ua1rv3fwnLmjJa/
fTBTeHLOKxKkFdlz3sOPPzFFZj6WiRd2/TWQUMI5Y1ayNX9M+FSp5gQ5FWMnXOtZF+9ygqkh/zbu
uR6UPmPCfrXhxBmrgD7apYKOQ7Ak1VUGF9nblxrphhjq7t6ZJ/E0v5O9rlgb11xOL77r/wReHO2F
yh8Lp9Pp9BX1SpcNlN247E9U79DLC4hJRTic6llDMZLAq+UVmVM9PjAga/EpaRn6Fc1SSskJXWKl
++gjhntfA+zY+HjLO8XMgQQb1L8bi+vOIR9d7cmeSmOfm5Rvg6CO/ssxtfmt/scxtR2bNaxnEdch
xd+OaeSEru2N9ASmEWZWF9JW7oGtBK0TPEOtWFnlNB6XGFYj0iIug/EHC7Gfrhk0u8ir5IlL/ZY+
sbj1tMb3LZr3TQ6vhIvarqay+gQXIHmk6n/HgZYvnueCnPetd+b6/bFPKeb3ZZ+fAgU6FfgJ/WnG
9DwSAwxQWnyhHT8pCG32XZoEIMbCktn4HI1kKj2kh0J2Nicdur7CTW895H3R9W28rnSa5aMc9GfD
4Vh60/2suHwdA2vdU1dbt1YZXhKS1ccZvlJSpo+QWu5DaT3ij8MhH7bZq4RVbnXV2TDSp4gV9fHP
Brql4qIYR6u/DDb/TDH5axSX/u+BUPPJS6yOcPiV25zDhvxbTpEzasGglSkteut7As/5BFvH4NDF
GtI4KOSxL6NTb1r2RfUmrTTc9TZJzDTST22F3kjm1rVrTXGOWniKobbz2rVXVeL1f3+fpLT828/G
0R1Hdx2DJY+YN/PP6i+noiXIVCubIL/inW2O8OUuuY2N1QqBrnSj7f2Xl5sDY/7j9TwhSXBybR0q
yt9O/ZLf/1TVYXFdN5oe3jT9V9Um6HA1aW30WjevY0slNDIm76nihLoTZrMmrLPAO9veBehgHp1H
YySEoTVEdhADeeyV8z2u4By1kfZahHhmfXSZu8IXlOJRtl+KCbJqKQFfNMK3L//l+P0tm0Zw9KSQ
lmQuQNWbq8m/H0AHRyppVFl0tUzjw0nD8OSES8OP5XxJnNIqsBNBtduiXNaX2pl8pPRUz8pHZq+P
USSDNaYOpoc8yRgZDZtSv182ien90vG8HfC8xjuAL8l6EADD1YTNosF9IbuakV3n0zn5NGyHjhIF
YtZj5VJ0jaBVUeg39KOIWFSAu0sh+/pIkKbYefOyIlxB68SuE171uGPNwxoGLS4Gjrna0vdlswVR
49759CMuGlpevfXEJtelOtJDMVZa0/1uGxFetXpGfOjSXHdRhBTRpQxSIkLbB3bazNhMuNYmKsT/
/bhb//lDcp358mjYnjS5kPw9E8jurNyyfO0yuqvWV5LQEGt4cK36fQg1Bt4+psBd49KV4QiWwI1/
GZhgZVwMn1Xi6Ks6Me1bqMXikAzQLFvp+I/xiEY3mh/bU0o0tPFn1yVXMzEOStrxR1y4hNe7Y3gD
iDQSNA0QpYa5vu5z2/w0ddB/XvnITN0CWtJ4m7EH9iyrEU50NpynZOqoxHraIcj1p0ESBTvKytyH
k0u7GpzTntjnapubytxHFBI1jQ6KQvrJCooojIDFbe/X33ocwbfUKOtX03lgPane3MZqL0Lf/O8H
WHrOf/y0DdNgRLDJkNBNripzFNtfxga7pnlFN9q4tKRWrCo91U+e24FsbZRAah/pu3Sy3f3yj2Wj
XN/XVtQl9VOtaWO1/fMc3dd+lFNZ/+WuvzzEchDkQenkiX/21jdZvIJBVq6/9rv8209jXuIvj5xs
HDd0yDET2Aifl6drQ50dNEmtZnlDfx799ZLLGwwz4SNVNV+/7jOWd/DnxUcv4cvwnU4cmpD6zf/t
M/159D/3q//MAnc8fr2Hf32YPy+//OPrPS1/fr1oV2a3WF/rwGB2VuuKUzEf6eUBvlm7kFXm28t/
ls24HP7lT5NTNqmuIdf4nd4DMPQbMGqGf4p06e1x+xRNd+l1hr7eU8Ym1kp/2/YEqAzMY197a/o9
sSSFevQyasPvvqCG0yXGOTan3zgo7XU/Rs9tEn6mCtZ1mKjvZSasddyxWhwcN1kpdeo8Ub74nXOl
j5jg3rdp2NX5m4yYrhbWdMk7vMO1Huy6PDtxwUf5qackzuTaxpC+cRfiFL4r2zpH98w0gZjnq5QD
DAn1MACjXQUUKCIA1u1Ax2TwwanjjtJIucd05aJtkn4N3UEQX5MzjHYAWe8IbYFHGv9idjZzmyZj
k0VHM3dWzSDtt8aVVzv6SYTLFfFlfIkw5fC1tdvEru/1Xt66wCNXPUZlKFrYJpmNscbptF3GabDO
PRctkFE8hkbHBckGseL2H2b64WYwLCjpE73SuysLrMhs7yGqHZg2aCmIby6Nr8wmHUujFZwkJTLh
yt4g6fZQRenvk5oQZxlHetPXIGjCk9bisEqLceNaXrev7XrTkORxtmh3c3fyDobiLmxIc9VT9ZNG
9pM0625d2PIxDuoLNRl3PXnZ4xSYHOCm3FVeEwKROmq5/+x7KG4CBVNTDJu86384Sq3xjCW7Vk/b
DWVu42aYH0lbrshwMagOUQ8NkVe7rJTx8eQ7N7D1E5FsSuqUk8eIRv5eq+g/hjYFAq87JR3uki4k
ozh267WVoHvqHb69WP2IqvQxc3LtIl1GycI09qWjtoGuicMIeWUNdjFe5W49YKM8k+9FubK3DnAj
iS7BQl0H7V6PLS7vYXWurHFnU1GlkRvTAMEeDgliQqWvwOXJBu3q1MXMbqhyyMR5QTU+k6lB/iE/
y6jkrDTZdBsH+jYHXyDv6uWhdjR5lw3aSHNa/XaG5JiqV9OKf9pFty2gJmxoTj5S3KvPruUcC5GM
q2Ko3G01dJtY9t8NIhZTDSmQFj22XOdn78s5r5KnXiBQK5t1ZAIc0oeREmgK70g/tan1quKwug0l
MoKwgxPf9Pd1BXCzZaU3ieIpNEpJ/cW2N1hkr5olISnCAUZ8gaHNAb7eV2Zw9HxkbXH+TED7Trig
/pti7nMJswCQnaIzVjklPhRwyODTn5OJNFqWLaD9FnOqgEaROxazbnx/MHtQUYozMWIA9bR0J0b7
aklRo3Tx4BGEhFkkiHAGfdzmsfO914IbAxZa3iZ5HcH5sLIrxz1d3+Poj/nGSsQxCyQt3ln/RL/g
wSx8xalFrIH/mdmEkBpMNrYoe7as1tujIHvXtYPx2j87cXozYHAKBkTaiPSTpwksJ2WcYWOpGCqt
ic6lg8gZW81z1bMe1Cf9rDm0RJXDqUwm1X5ifnlneyQ869M2hv062EG8pRJ31iF+HVpZfeM3VCF6
csndSTK8u1lJ7WaYMDlW1jfgbNTbrD7ZlKh1twA/ZtRfSuhPcga0DZ0kRfBDgelJMkO947Kd71EY
RkgQK20de+6vAQzdineYr7XIObEcgseSrYr5SNP7nDamq71qEXFLox289Y65YykGGW5qSdOZdlYU
X1TlDnQdUXuMM1a2CFkogeU+WTnjZMqqaIrNGEIwPQ05NvfNkj1hHrqaLoeVUAS0YY2t4fkmsBqJ
egGRgCyFhjXuqo+k74c7DmRDvRZ38FtIbhkcLhdhDtyTWtHy97r2SuI0kXzyoPwGIGZpY4mflA6g
5qGdJC3EkUVjm3mnesQT5XnUNEVK1koqED3o3Z2DYvzU34belScc147XWk+RSJEaJxUdY0xaJiZg
8oyyp9xHAoWVuluxLtr7qZ/vdOuj8/qz7OiUIo1+tqR7dny+4akND24fuqvR95J1E01PsnKQcLQw
zmWhq21vfHKC9bu0i14SBk6s4g1eeknWC7PqKYnyFQgCfa2SYJfRyFAe7jLCckqI5tysnfK1SsTj
XVlM33ICU6zZ5ZF7sb4iuPC9rtQ1ZOjEEbDrfNltHafcVgXN+S7DdBmFabIdEkKvzUjbqZiODVF0
pJXMiiECCw+DoTODNpDiwjGngFMwAkgthFPaPncYR5nZaHBctMrZeq13av2SUIu8uqf2+wSDeU/g
wEX0/q8uT37pHSp7vQcWNk0ZBEn1LnLcWjhROO/MAb1WibYkVt2lavHFmAMYaHiq6OjzNxtx3mri
R04OAQjEmlVTaFWHMDs3xHUxwESlYf4YIm8/jr7+Li0iJDxhDieohdqVLACEdPMjls1yM8GGdhN2
qE6+NfWo73na/HydA/PDDXjtfpq0R1y8al/2qbMLkiB+jlrxe9lHM4wXrei7N4BS4dbMhDwOnqPd
Ri3NYR2xj9x96DPo8/TjImSFenhFaNWccdL5awOz3rc+qzfLvpwJ6YrDNfxBaqo4sBTLdl2GqicO
YZpOdLwcDayRzPSTTRLru4bJbeNKHNSUXYYLTFSiJ0WXfWhQFJaHcujxyScB5ZGwH1m9DckhnKb6
ASDU3OCb99ZfYlKBf0hHG3BECnET8E+PbggTCWYjTq7Se8cSU/8UXXLpoSy9j51oNkoE4XlAX30J
Ei4ZpemNH6iDNgMNuZ/Kwa4zdlX3xJTnpFg1k7rce/u+1/UH0dFjXR4mzDfDLMHYAfVGoJHXtzFQ
+tHCKrAdRB29OtJFNM8Orcm8xlDj3rrAVZvIUeYp05rgGtJZN3MMx732kWfFuqis+qcbUPUXthE/
eXWtoY0e5d5pbe3BrCQhzPNnMfH41iJvvqvCwwtN6sOtcwrvaCNx2PaiblnBu8/LAdLT6p7LVfWW
Wo2x4TwYTlVS1VfLGeJ1gUj1s0Aztzy0tKOZtITeuEz8dG8XZr/Pu4jOgYGbd3mIx2zXDV3/U7Ow
g7g6AgPPsJOTpqVU+93CevW98Gl5aNAFj0M8lw0qIISIJ4pTxu/uWhuIzTK7Mz9bZB1fB9LVENdM
ef+o+1Ozd3Fp7fWhFY9+AXtg2Rs8PaRpLtj9gH1YDVK6Th/LcyMq84o1flyFIit+DOabNqXys/cx
f1d9Lc5FWrQQJVlULw/I0WnRTEHp0XZrTav9c69p4XXkPZJIYeQ/vIL15aB/z2yabya5npfRHMAN
FERlLXvIVqrnBydsHEspudQX33aaCyLpbE2HyvlOK/HrrdQd1VWavRe3rVGxloThZIXLNbkx0rPf
75dHMeWjccxrYaPXjPPyAOHF7ueoPS7vx/ZRz+ZjJK5JarZnr4F6NUxT89n31P3mz5yFIBSKwvOv
Y6nHyMMdiIet5X44fFnLI6hD1Jh0surG4GmdwlHGJMCP7UcDDm15FcsbMILM/IKU5fSp9ZwSxGJP
s51f5bKPpoZxywEK7yGWk6A1D03z4v6bTeTP8oip5euRnt/cEz3rHqeUVvVopuG3fOyAG3FswQVa
d7Kw91GskWNtVBMi49zb8GMa32NF12f+PC2taGywdvJgjXV1DLjm0uPU4nc0WodlPwSLqrswJsSu
AaVxHBHkbK2Y04vpwXF5BJ6tDi9k4T1MVWkeZAaWgwjuFUbW4rXQicJQk/qMXMymlhijU4Uq8tGq
xA/UGOqTkwfCwqxhcwGTXERIScOZnyBkeqYuab2k0vD3wmZh44dy+NARFM5PlFZMDhR1jSPX83Rj
iBAuMu7K5Z9lQUpSNJb2dbDc9qpKGGXLXomUeBwG0T3HdUPGUQW2tUii8dOmf89YCIKhxuUNGOVA
ZmX1IinwLW9f2C20XfjFlzzw1U1P0dQtO0SB9dFaTvLUNYZxjAo33iz355gF06YdvpVjwewkj9v9
oCxYlo65X95iYYwBVNVRP8dtZNxbhIR/7dFOkHQjrXcfotiWp35krF52adOwk2kXvruqxYWs0dHE
w5W8i8hcL7sEJQ1DfYr0kyZqzEAjNBdMXjU03sa7L3MdwltT6fdlExnnqR0QgsyfXZXhgTLP9Frk
FuszXTnbWHnTt5KesY6l+p42R4eUwE82io7rMYrR5Xeu9u3rXUl+aH4EhVxElonngL7A8o8mnK5J
4OQv/WSXh9ZLWOOqLvlsxd3ybrvZ4l41kXXALYBUT/rUiGXx+HV0mg69V1A2jOW+c7XCJvzaa62D
zacw+uToQ3pURjp8fYGpRviO1X+4QdVtDQh9NEcK+8WtI5anfEhY8Zjn5p9YFwz+bfnZjS5LQxmT
KRH+UD2X7gCJ09EDrrExuLYDL3EgF8PJb7u0PNSx/UFYWkmSiVWhnQyYmuRGv7MJSbmg3LLoM48T
I2HPVbV7RLZdHGLHaO8GjCpH3dR3g0AXW3sdwD6vd29xOz2ObW1eADZvEKN5u5wVLJeY7zaZu/cy
MlGYDLa16psBFY5CK0n75cNxS9ozeqSzsnOLl8L1DlE8KDxFlXFU6CvrnDVg5LTOxTFYVQcmSGwi
IDf6hN9VS80Pyhj7NHat104SZiBl3+87G0Z2OGeoNFZJGjLeyOPUktfmY2H72gSZxHBCPWn+0vIj
BAB4UcufygKY1/XyVKsq3LmRnx3/3P/3xy0PXjaGDp7y62Znhrsgn07L05YdLPdPfc1rLH/+uZNh
3FsVjmXedSBMWDuZCcKvHsyPWTor8OiUC9xmvLCvAqeAlm76JH/NHfgoUcQKKNTaaVe47WsUvmd0
uJgQZyl0HbK+mjn1q5o3SSeY6yKDXcGrQi/mE9swtBEHV2hry8W773KItqn96bRiPGg4TI9FjWVq
MgtwVl3acRFQBA30N8fs7K8HLEFWS+jVn/ir5CQoTu0NJZ8SzKJWEzbHVvwqIH5iEIxKAm3mDV6P
u2n2vtONAUUyQOXtshGXDyxieAYnJ2IBgNKmwba7Ma3qljnG2QmwZCyHh7OsAc01wJNNavIlNRYM
cdW/LB+O6mh5RLaRiZKRYygmIn++Jy171VipbHPgGHpfsu+mfYbETYBDwhPaoeZY6UKAuW71c6QX
6I7m+5b/5g1TdKz5a6CRyRqlxCp0apTsuYO19xyUrbFa3lhoxN66KFnFFQh8wJ0jaOJL2zEdeyZv
c5Y4a/dh5vcwuvurGUdrnImvmuMZmyXJC9Z4c1zivEBx16siF2Sk2Z1/9JMQvbDRWF+/j6+9W3Vb
HJfXzSLdW8UKeQNWooPux3vsMcl+go6zCRiqaLHAVproWq9ti5JDHKXQnycH6xJo3VXf1g+Iqbud
gJx8ijvMD7JxzpjKwZpHCUJtutA0REoPq0w9vEZAtJyicvdky3nwZ1FjWNERbHCNFFHUx7pXFCFR
AK8sV6Fsmnt7ZYkngayEcaOHhn3UlP9jaJqfseODMeqQzrSVcYWMVIK2sm9EygRrqYZX0A75F72y
mel/C7+tpnNGiV8D5NGGJvAIcI94lIzXKfLsC1ZaRJ7OvQbl7IRRhflhXGIo4KmXZuh7oheRlNSV
xjo9tsxN7MyyU/INdr5T75vOHqA7SBAwfTLuLL0nTaLXO/LApvgQTP3rHApwamMjPeWNWT4imMLC
Owb2BWuEsY0NrB9jF1ormpDO1odre+w70Ma+au8wFDO3QKl4drg0wHfSALMYRX5zO2uLH9o/BaDR
BHnJd2J8DszBv08KshQQ9BCOKNLpUcupMvI6pPl11GyTMI6O+kiHI7YqUlYGXd+XWSqPoeldxrZ0
UPD5DCfky7Mcqop01xjJCUdlcVw2mTLuvYY87rGQZzh54BVjhrs/m0TTc3yehK0JR/sRJBGOddIP
mID5R63oXu2QJPFE0WyYjXSiao6gypuj039YLsnGxJTch4asjk5jsQR3431osNDZVMz8Oa+BYpNH
wgGSer0bjOKctSP8+39tCnvWz6NBvdOygjidzMM8gjQ6tN2v9z8gWuYiQQpzV/bhuozi7rhsKDl1
xwjvctGrAwKt9ohx/hblKaBWqWA2znfl//oLMTU6DMd6nTROwFSpETSabjTHaN7I0dA24ELfCWsO
IQHX95mOf6ghjXOddn5MObgJUxBb8++c3MmaHEDkzf0RxP2qDSZxIDxuPFkojxKi/PDe+kyOHC6j
Vep1X5vlpkDDgrFq/o+gfG4XQ3EY5k+ybDJDs8Dfo81TVugfp3lTBn26yXII67oIScSdimvRi2ev
ZpQn+6X/2rgQpL/+8v/1Fzsz8PfQy0/iFiaTjY54+ctUpIH+ubn8JUpnncWkQQQV3NJlY3jAUZMq
ewlMGW9D3auPy4Y8kuboM2P7urnch8WOznoYmCutahAwGz0XgxhXdeg6hI4b9ksX4DL2SSDDe8xT
E8lQEhpoWq2sUivNdNRh6llJ6mWJ6M8lqlxlAUEdiaI06jK2SzFQhqYFKolVLF7NfqJQY4oHv0Uj
n/llcRrgQsHeYLwI5h4sqlnkDvXcKOVYLRub2fpdIaLs65B0WQK3IPWoUs6/iuWTJHD3dj7LddAy
ueF2WJCTT9HNYWY9OsaRIPFuHqeWYYtIEQof1AxphPj3lNcIkpjwCQXhoI6WaaojQhefbsBA9NPk
iSMq2+CQNAjhtJ5BO3M41WQOfe7rttfF6Ke79CCHeNb79+HKzAg/rrzy2NX5JjWIp6BWwI+9k2A9
yajPt6HfPaeB5Jo7nyvLcLD89bf7ApsfIsxUOq78Lrq28DYlaoNLPBFvm4ZkxyRFkp/pFZLEprvF
nRbC9JlEoHZOJlq6uyzGZGECZUuqrVCxe1MQVDqWuZ/0YCD/zPJJINAT3wapd0OlnSt60pdORR0l
4ID7jWBvk/RzNlDxHP2q2UYqrD68TF4iWqzwumoF8tlI18lTaHnqMW8m75qjMSgMrT/GHg1BI6S3
ZNISv7MDvdnBXxhvQ0XIITZdmFTAKikQena1aeRAmwbLNbVYaZ11C0Uw6WT3GaGULrN3kibCLKCk
HM/LFce6ongZHiQVXpIPYeWBwhgeHMtiGaULfx/a41bCiiYOA+q4bRPM7FY5CRO0bjCvQ0HRynfd
M9u7rJpH61hJHIV9ctbRiRGnA0vClmlydspgojvjkqSQBd5z2sc/a+GXl+UWtXimgPj9VmmMKbzx
LPNNQbQb0UZ/dKZmbwxTR30hs+hNmdVmud8pe7oIMkQGbiT1a53VOyJSrEdvKL7VZFSsvcSgplRh
5pIjAhg5Wc+lsOo3kz7/oYz0dN1h4Xkr9AnPUZDTFJr/6xIvhtULd1jpwdPKCBe4S/VQO4iCa7PT
j/WbY8Ntdz3ve2XqfB/GtEmyAnOjaENKOdsoG0jYwbwfN7dlYzTkB0mmsIe4Ai3PPBE3rVYjHsis
Z1LVOxYGTDwaKx3vSXyh/uu9oid2X3EZR/t8SMierroN6VHyHtgTzD+SyjdhpIo98FFOHatNmM4R
bBOmNe5+y4ZjPY3FGu0X8Kkekr1K4xFQFYAmWBX+0SH9FUfhWB9EaMk9mJNfWd0JcF1l+er1Cb0N
nH5PHuS0tTQQnbkupFjmDRBMuVZ+J1OA0BBgz4Z4VW50bFQSrmI7qJ4dqaCbqh5kifVEPVlcm0az
eBMwi2LdVmjkmgnZn2ov5PWqjZ2kxGLHCZdCr20e6irrTgpo/i8jwc7UNEiJNnrTEZ1bla81DY4u
KNKbOcWIvpRxtb38kc6UfI5Co322I4aGGHvl2MaHWnXNLedT2M6Y7VujzeGdcaZHtmucItI2Rlpd
I8/hW+NSl2ONSbuLIevLckt3EO1poqJz41SQFINwZfhTeNtrKjXfHJXu6qnIvg8edTa/j4Nrn6pv
lQIVQluU2rcFN9BxLflgzZupn87A8Txi1s2EFYvD+FfxI/Nwbd2jfcL/Q9yvXsNyjMBhPRigQA59
SLfNN6DsF4hF8pGGtvSZe/p9brxLipV32G9WTqmH392GqYRf39HX7r6hu4Ky0TTW0QeT+Qyf7d6y
K/cDcxj2vtAtzzSICNPLPHtLEIyg9TGOPwiT3rhTOH3zvB5FVAoDM3DB5ZVwZrdgytonMoUZQUnQ
/KGCaO0S5fML54TCGdYPAaEYqXssynbDQBZ+QwAZbDM3zI5DJ7yHboxZF6k33QuMl8oSEQ1ELgSS
zJIXy6/+eXP5Lx1OmqQWU8Wi8asnWzE4q9F8BxoF+wBgJ/Hi3Kxq9Y7DBsWdHH43lpiuPU7koPfS
24gY4OTGHhNckwqwReLYjaoleYJ1QK80GqmbUN4V9g8vo32PxCN8Nn0aAXRJRlK3Xedx0vFn1jEc
ENOYhud8h4nS/C3a/ntBM/ktz8d+jXgnu6UBs6RoRqpmdUQfB44uzYZ6izYxfjEj9Q1WFNkpJKp+
ysZ9qFxZ/RrsgtaMT+btVOwp/mBuaBIYQyVMA8RtlEgtODHJGDRkeNr2M4kvAaAPFew0Z5JrqHT6
xlD9cItS/VsaBdOBXKH2Yk4OIMe4fC0Z2bPYfOlte3jKOOdzw2zhnwd4QUZXP/AjMvk23GJTC3KM
u6Zrj6NpW6eyb5+KKn3WK5KbYmP6SCWJdZBhWNc0bfTYaI2+rrte2wdT2b/xnPekNskYqjgxSG+3
VwRg+6txQUB4JUs003TfCMx07xDBJ41hvxt0+LP8oCqh34yq2aVBKLYYZTsKpuHeoJS0p8wUrSx7
MPeQkcR8fS02GoiYL7+y4afNja4wC8bZlGQmRMAVuXSe6tEEyEe2/DFNDHp61pyJm3TBgerRtDNS
6xInIvwWBrioplT7HuoaPbpYsXYNRm09MiL/aBQ+sIEeLDafi6GZxSonoe7axN2r0gAGuEVmneOu
+ahrvX5Kg7LEqEB903Zr69P9pooy2DWtpT8P0HdPXpvpjzkXzztG05SZb268TJNDgoe+1kLMR7Zt
y83ky+Cgg75ZNXEc75qJwpxbVO2htwwXhp7H6qx1CZTQiOqVIhjPSGWoK0SFs6P7VVzMbk6iMbVL
jEh7Q7+4fCxrA1hyW0hyOJdvsJXpmgjsZzsDTOx6SfPZRPEWNbK2s4YwPbiEizHpMZ6qJDIOIknL
U0le5kHXm7XRkxgXTkoj27DfLbcsGw8d1xR4byDiC4gj0Bf8dG05kfETHtzP2tLNbca3vwmaSLGM
cD4HJLHTXcJUbOXkYXVtWxoZkPdecGMOKyj/5jevfyGxezzbgwuYy280uLlmdhrHZpYSiVOTTf9n
Uxc7B5wenYz7IfYRFmoGU4toUrhpoTWFevwSaSPeWuRzc6SGdxuTzrtxVo6Iv/UCSnWd/VJWCsZg
jrinTTUHfh/qunGP9Whj+RTaU2ME/AobXKCgUqcr8JtLbrEUaxThHhOeMCKe8P7KEK/Gsphusq49
+ak84HX3nlIdR3EfRfddhuwBRGhznXPLCveaDiyryvkTon8CauEzwSJzKh5eMjF2F4oX7rWBTMO6
orde6zDcZd443SlfLw80jcv1BDx1E+U8t7WA37C7l0QMbxGLqlepyIz2h3yj/Kr8NncePyNcRmsz
HuzN2IzM0DIaCHya9AIFvwdMHHlHbSBnyCrzH1R4b20ayQf4pWSkUh5bl00sdh2xn9jpCTtq7eaY
k1f6agtq6RiRVtl8moBLIzgsqtRDMlrfRZnZ8xJ+eEBin51MpvaYnXR4wUWza3sKvInhvwQzzoP8
q/AHCU27WlN7GwHspojMVeE+GAZe07rv+++46zd2BxGcelGKPEiP7olEo3/va2shp+5F8+MNKRcR
lzqfihIgh5XB+LeFhx2f/4e9M1tuG0uz7qt09D0yMA8d3f8FZ5EiRVESJesGIcsWgIN5OJie/l9H
lRXhVGWXX6A7olVpZ9qiSODgG/Ze22mtB9tjy+Im2nxnasTJDIiwd1EA/Q3g0pIVfksmK0sg2eQf
zGjYqhkeKe4+1ZLpJpfar5JVBrpp5/j9QAYpBzaU0+xg5yXEUCvybjQ9K3etj+EzHCRyMSgqxCuZ
pP3Ysb2qvDJ7JoyFEQvz+kKxZRnmBt91HhZ6HOUPFfbKxmt1KNpucJeYVretvLg/TGUSHXIjwiBX
sk81Jbsst/8G6z5ieZtn2LyNbRt0PMMSRejwBl5wiOpbWwEma4+JsNYZUAJ/UZPRdzaFI5e8BPZP
Bq0QPzYvynqKuhmsXxHdk28DzwAB7poBlnHJa6FfuIEbcsw7NqO2TeNnN7efUvG8iJu1lrQQjufe
4FyJcQRXoAN5fiCLkmZz+MwSqBKe8mUz3UQI8LdUHID5AjNb60XWLFP+zaHx4a3QK580F01W2A1P
Y5Md61RaN9QmxaqwTcZ8IrYOlFk83dpvcVeL8yid+qCnGtR2Mz35sLB4wtnxkclXDupEj2/TLNva
edcejCS8MfRcO4cRnsSx51bOmIY9NxBgRSGvHTT/LMlPnW9lJ62ejZvOIeFY/VaeGshpCZ4zq2w6
VWb6GCW699jrUMFrI3juk8bF8/gMzXlkdHIReNAWmlub234s23VFtqhfMifxjF1H+F4SVfOqtxpg
dxqlTu5sTdYVrxa4g4UonVfHlfVFqGB2IMjud702llYZRQ8pTI+l1WGjiZJXgU9+UztusSNDaXzu
0CWJYgyWeU66gKbZ7QOgvxWEk2jnB1FLRpQTKfqzpaK9iwfeDYZSTRcfUMIsouk7kUi0u9Yr1mJ4
LmMY7oY5GPdJkt5OPXUOVmRSjXFWvHXIints/kjsPBPU2Dhj/OCdEJMcnzGezAuBnoIFkzc+U7Mg
pAybi4SMZVZRek8PUayGooHtUbrNzmGAoWYH0fHzS0LA6cop4NkHUbds7M57/PySMtqdTNDUST4+
DwTIbmoRiW1ChE4UuQEWHE3fh7HMjsAwxrVdoIAxxi7dZV2s79NwMFeE6VavTKrOnRW+aI4Gz7ft
Ka04CoSkffUhHJ+KV3PiuBOSsFnb9ctNyzoHQUqmIdvqs+0EfYBPdkofO0LVgaLbzz2uVJ5SxgnD
O1wWzaZXT/JHLUgJAGVaK3AXnjsamiDVpn0iWziOVVMdTBWTkUQ6GvIBPEmHaK/oDOM4tbSZZUZG
KtYNsUVk63BN0reNQ3YvAYAchcprcEcCxyWwljln4awhavE8tNm4Z8lEYvAdKIRD2lt7O02orn12
VAwxMay2ECKz6LW1vOAqQWXtM8oRNKJleJ1HeCNXmvwCd0tW3CEwWfeeOdzGW4P07rsortMnJ1Yo
IH041qbaBuatcddENox0v3ghide4Q8dyKLqkvrGkWzx5hbEvxhrahV5HxE2PFcMKkXwfp30ntoNv
ho/1MA2P5oy3vUl/sMfqjpoTtfd0wDn7PbJnRyI0Fnlelph9RH30BhavejtYaLMkKwidSNii9ZJd
Wk4wlEN45BjHgRuoL25LQGRnjTD89fzWSRuxowYyDiPkzEVeOqyHB915jLvuLirs/C0wfQI9Ibt6
TfRQWfCIepmW34oqYoHjOT8t1uxuAVl5YTlU8U6wrQtf7HMAxEfGVPqRrBL9iByPPNVGu+0K0JaM
pb55PcJa0gaTQxmFzx0z4R0bPMZ9tO/MnM8JGUZRbeXQV015b2nQ3POCLT11aK43+pvUfPR2Gjtj
aeiI29ia3jg+GRZMKq2r7hNNm0wa4//UMa+mi1xgnLzsYcgJUSr99kcyZ09ehUynl8lM+9pWG5ba
mL8HNslmeNvCrH3IveoYpzkYy9nZjyVDsqkhqdvhpIPRDYglJc12YzLVuRt7PaInaJ/dtrTvPn8r
jlt/XZR9tXOqkpkhT80s0cM1j9V02VUqfhiZ5S3I43ebkdaylNpzXgMXDmU9nBM7Gs+GU0Ub8h59
NjcSERHbZOH46P5HPbvS8Z2wKtWrJpHpjn2Mt+gQXu7YvltMPiL3Vpj1nYcEooOIdxywa1065hk4
GrUnIIabuQW4hDVNbCzN8o6uTA4InKuL63AzKfu4qdkOo62MpcjEcLJgqLrzjRieU1iaKy0rn8Ba
cfPN+bnGmbK2bUhNmW88uUlS7zDIUzAYJVqGiVzoVCJGbKDclCGAC8L3/vxCTkmwTwtwSpxT1VuO
qf/w+UVrAfAm+AIZuQQZLmLC7IyyfkDsb9x7skx3eoLlGbM1EQANfSgCCJBf8+jb95Ngd9B090J9
qaFCazYKJK92Vx1b1ZVhHPBrp9+MAmnjBLZx7YJrIHnMNxh1WwIVpybQ3Ej47bkoduyijXXm11jC
x8q8SxrwBLj9yNHUGBtOgzZs22n01g2TVAw8hb+H7+dvjKR+kK7nw3Wa/EMQxWLVCngGmgsIhETL
8pbIvfmhFY+2OncjI/G3fT40j0hDaOTbzoRA0v7IXWQm9hTPqwpk9x7ukqDDavMdKvV9UCkVTPHW
hnl0nPpPMegk7wYCzheh/mT1sjuGKdIr0n21G82ILtOseaexlO7j1HG/JxjF/tFX92ReLdlIM6NG
A9c1r0Hdz9+A63MFY0rffP4SgcitW85oxBkRLIi3jffmaNh3FYhK5KUzmCmnerHazjoPw49hMCR8
owgrQ4kaSDKCPdJLblIDDAs1Z0Z3GtQrYCo7xyaJVNgj2X+Drt+YiTxzo7HJN4mCDiV6UbcJvS0p
yt4xJqWXnc68H/q6XYe9WmAnoX0YP7+MJ6Y+9b5jtUrWAHKeHXrbPURJ/ZQPSbdqhuKam0O9RGhs
fXPrGUq85d7XLsYBcqHK0nJ/2ERML0YpxgtYwFuqg2AHNxa5bZmKJ9aBwSlRcnLfavZOQ23t24F9
KUA6Vw0zvdSK9znjqAZWkBcKtJBWJcFRjez4zeJHUke0PEl7ysRgwyuI+xuDgcrekz15AWZwQTct
oKvF9u7zl4i9+pWHNfc8+8btWBVo1vrGWqY+94ql6UfUzOWaSakL6y/Tj6Xe68dsMDnRBY9Ew4ra
h1F+yzUzuZhe2z6UlMhaZH4rXF1/Slzeikgr/vynz9/Ter+BcGaRvKEhn8R09WBlwZExSv9tnhhx
VVOPsMloVChCQMQTyTobAw0SZlTJCjGaXhmMPlhDMz4kNSlAfZZiAHARLMshb+6c1oRtn83Wcm57
58n2EWtOhKq98COxGEuEwi/6T00EPINbfRs7ZJTOencGC9wxd8ACRSgFcB4nHv3vyiVrCg+Fdhxl
N5mO5kkvEO8wjQsf7RbttBm7ewit48nSMZvFSaucA2V2g8m22Zu6Ee7TTWbZw63I+mLldzJ86xyi
CWXlvvTC8TZlR3a9x+TXkBnKFxMBVp3p2oURcrXU5yL9hnDxOWI5eShm/oqBbvzG7ZAnlIEW3XN+
IrdPPyM5EkiHFauCDJzOw+cXACLYb+bA25tDDvvcC2BfVV5y+/klkSw46th6+5zgxugsDbIBV5WU
P0FOxzd1dO44vXapNsqdYP7KPr334auxZrY0bV2yaUNebeCCTGqBmt3ItyixargrwNXavuvZZ5F+
Jg3QoX7nQSQSGvMnW3O2YO/8ncPYd5k2rPHqOKAFYjO587/jQQvuOwZcyzbzcyhGXrvmSLOWpcNA
2bAOjhoP1/ZgLj6dcf9HXPgNcQEns4uL+X9HLlzi8sfP/7hps7fix6/QhT//4J/UBc/4wzB15Yl2
AxeDj44lefjZdv/zn2yP/vCx3OmBAXbB9+AdFKQ1xf/zn4q5YBoGnmHfcMkpMflXLWBB9a/462xH
NwLHMvjt//ff7+N/RT/L8z94A+2XX/9q2XY95ZH/hUsAQxNsg25bvAZel+WZfzU84j9j2hAE5U7z
WgKMovh12seu/jj5JNvqIWzeFur4ZDX9si86so/oRhjbsNsICMckNvwEICXKz37dP/rlfEhM5wWf
FLVpcuu3Il1SBpJm/Eac0tHDHzdoNnagIwLWm7Y8WU5yXxfeaRAB0RzDSK/RYJ+AglaXvg/7db4k
I4IEo7rvBqZ5M0qduRwQu4TRLsqzU6b3HcgxBpksZfNlnc4wgaV+lfPRazBIJqNkl6bZWMyyaamJ
tl7oFpE8hvPR1fqh0F7LNGa2EOtXTbingOCzRc0YoujA5QBgXJS9SuAxxQdgCKjRrXeqMowCPH/P
9PXkNns/+gmlUpArVxK4Z7e1d4GVH026xxSHsEWhUjfysbP53oIoXi//yeDnotXNeo6jn5OzQvkH
qtHBewOS00u0Bw9gEzqZ/piGNBwqctsbtVVR9PcIBI9Jlx3LwoaEyG7AQQ5d6zdMzqjfibtPdNrp
+VAG5CCEOulozs4qpnPIJhc1GAhezJ9k/qY461pA8W52BEr+YdACB1ryHLYTaD35aMbOCwr/db5v
w3atpoWeNW7zMQVJJN7IzTtMzMaDtDgS/HaJ9fCGATIL6I2dyA2I+aPSghLGfRDugEArxb6Q7Buh
YXvAfehDZjCSIz0fAOSN18tNR8vKMHmHogg/aLo38uA0mDraPfelntqNp00A99xjNz2j1IFPZMcf
Futk3IjlAcUGOSgG0kP0skW0JlYC0pVNw2D5xk7yndniIODBr5MQ2W101kvaZ2+Rk91GwzrwUbnG
zq5SdC0g/oYZMSZPj+oTBnt1lcowMwPGSbMPlLcfdTde1NtYafO19rmo7ZllxbZJ9fdJh1NmqAio
cTtBfWh8Y4W/8IYZErS94RKQC0vVPBxQuYJbg9bXWsF+NIbzOLs7OSX73FqkBsAeGm4z5h2sxoNB
RRJF0wE3zYcfdWw/R5KVQIyxxTuyo7uqa3KunR0uCzYOCduA8d2vzKPvr8d0fHTj6YLB7iW20v08
MMep0mNTi7fP7wGfjSbNOrdETEcD6ipZRx+k7ECsKACujJhD9PHg2u0aJtA+9opV2pNHxfXXTece
9m2iJy+OFB9N2nJIdJvcE3jYsiO1P3F3gsifZBdSdjJ5u44zuLXeX41iPidzekwB8NaCa1VrHuAD
sgfZNnV/sTP52Ggkg6jjgGdePF+DWV4Ga1FG48XkI2nc7K3tv0H+QFo4X716vqpPUOrTgeyBox3n
b+qNUdcj8QMXLxlWWjlf24mpEQE2PY9H9SOFbBZHp1lYqhI2+WgYuYEh0M/QwLZltDHH/CayGv4+
PGD8PGngrQUt8DA4L0j01yRT7xLb/w5+k9wezGU2zhTsS+raTtPxoF5bFnGWDazAE2PEfWhuhSiO
IuEokPF8cB25YoQfLmQuN3mbfYy2TaDLy9C3ayMZH02DCEIupgC9Rp2Y15CMGTO/drxTVu+9jBXL
0FSfr7p902rBAxroTeOIvSaaTQmduyzmM73oOXZGqDgOMEJ0YuMZZPbVE8PWL5AkhGXy5kfaM4FJ
97ft6JzsRn+PG1JBQ0SJJu4CS3dPlje+B074VDjArBzx0RXTwZTGkpC5gxYl627al0xOjTUMwXM4
lLdWiZFqQKRmdrt6xkzquyc0aY+Y/s8VMESSWtU161jzwVImpnsVIdc18PzM7Jijyy6RVZChxSXB
O+2yImmYFzV3En1gUHWP7EM2c4bYIxwP4F6P6v81Is7Keq9ZXF6j622IesJBIN/bcDyPXJuNLR9r
xo8LYVfbECZf4zk7dVgxLqKZQc+56KIM1EP/qA5sewRPW4o7WjB4p/PVEPkbucdPZniV+fiI7DvG
WTa+m/HPFjNbNLondUuqMwHG0ikWfHbcRK3JPWaQHYiF0X+REn6ZAXUsCNgfS2fHM5FQJL27uIC6
TA4qQIfnuBNvHd8jKzjdAnmMR4/0C1aXjszfRDBwf8S3yKvU98pN7/R5xxnjyTDJegw1+7XT2JQV
Yb5GMXjHbBgivxjQhU1s/0xCJaLKFPtR66CzTNYuG6MQ5nf37Iv6bQo6IP7CeBeRG93ASV14GO9u
odSRPDq4e8ERewsMImOSNulrF5VK6rl7HndPWTJPO9FjqCG/Bm1H+pKP4zlQc+epzA+d0b6ijLMX
Vuh3a8J/eegVA1wzXD/wDBz01bZpzDQTj+MQo4MXAzpDlR3++U+fvzfNCY4zePjSY94dCxRpwrX2
wBrs/ec/fX7R7ObPX9qWetkLvUA4B5Sg3Y8TYrrAw2pqTyPToO7Wk2j94LdqzLZYfHtMF61l0DCb
+PwyTLVBY2nTes3OswEBaEbKsw/9YjOyTokhcAIcQtbnB1VEsFC6lFlfbyY9uRqeEd9M8FQh7Skb
qb5DCbQxfG2NqWrVz+m6gMY2kHvAM2BRai9+++ESrpKO2XoqnKVQfHc8N/WKOdp6AummQW9lxUTi
aS219oBhhOQv9UXSmh94cfNu9tqTFzfjhqKINVmBvnhKNpkWn4uSLTb11xVQU+a8oRHfxTwF1nXs
vzVEaKxr2ft78mVek9FfFpqIGS+zhBIoxqWLzKPM7CuJFN2qqkhzYmiUctzo4LccsAAFF/YszPdM
S/c9IB/frjoSkXS6GLTM1fQiCWlCbSD2ouHwUOC9SV7yYL5EDZFg8AWnkELHdvxvpNZ2dwQiBhw2
rEnXPsffaNbhYkq9Fw+Qu0NiDYKRR2byp8wN6ar87ewkb4m90wag+W66/6Wo/7Nu/rVONv61TIZq
FPiu7Zuu53iGYgr9wgXBXmNLMaTlTnrpR53eIHh8LLzhMfSZfLCH1aZDTR2FRfE3TBLjC5GEAh2f
Jd2D5QAOM3z3C+QqwKlauJNX7MLIOE9WRfJR5t5kKzfnfKHQSdCYjwiYtMA9qVLpNz/4F26Z+vaW
xRSXV6DDS9G/fPvB80ZLsCHZmR1FPGdNEXcbra6YeV/YSV1cK3lry5tuvE/wnzU2pxqFLRv07W9e
yBf4zT9eiE9fRdEWqP/96ycQWUUQ+21Y7NSH74z9BY7TASuP7+l3U0VhkHUXjwxWNTGURkOak0Sv
xOjb4OmTUbCCeUsKe115z//+lake7UsLxVsUuI4OVsoxPFu98l+ujSqNhllMJD8EkhZKLyCjWfda
S+jPOCiEuuMS7s0oWV3eVUt9nk3vVGKPUXsuHfGmB+O7FXMAfJaHvjOfSV5xtecqm69Qfs4WcgF3
ogyhtnNzIKugVFUJ4gbDNhXg47gBVJWuk6rpZ+Mlj8Xez/XzbDm7hs9iiHyWcKyp4/4iZLM27JeM
cJWah1/oMyGT07bx20s9EV7QOcTwsRnNSLzt8XO4LIYJ16otkmzz6KpF03s668/uiMF0spYecm3f
kJewyj9IweSvF29NSWAiVaJpe5hEuWoWmR5SE9P/5SVKFzn0jzFM7X9MKP7S2f56h/7d5YHU0XQM
19BR2325Ts0sge9EGjcYtBZMgX6WQbbPs++flfV4Nbrm5t9/7Ib1d5+7DYyJrt23uUe+fO7BYPj0
ptyZkTsd2kw8iHzjCusqyuHS8uDb+Hb6NgHsZA0fLnQiXWh397Wd7y3q+gy8hzE/xISqk7cz5/0l
IIdyhFFo4VdbYPUoFlk/nS38841v3hFZkXRsNt0CWrTk0TEU8JW8F0kppv7eAUQ5lnmnd3c2Bajq
CjKuhAD5m2GOh2AAn+DN156uCrHvGlH+cspf3RYrvxy29PdbW2THIuk3SfvdjwfKlJQsINeDRWSk
K9OrdslkAnsffOdGGA6RUhVRwwvwFhWKhUxyFYWKNygRIafvBk5PnUrKrKt1LqO7gkCHwQsfk0Qu
e1owKnAEhIp33pTrzLG+NbSjZZa8qaKVTc1WONkpn9rnRk7vvUk5ViS07PGlbm7IYXYQVfW8x5Ej
jqmeH2PffjHJMx36fW5Pt6MmPjSz2pnQIbDbb6YqezMyRKfmiiH5CJQwnpzdxKndd/6L2xtn1e5R
sRwmNgW4J3AaqD4JuYYpZ47deF8X96PJQ4ufQxuo38i/ZYMGZ5xQA6M/DL7+Hvr2yWNJ+ptL+wtW
7/Pksz0fWBWyP9Pxv1zaOIlK0jetYqfaN9XSjXzsxtULq2f1IzN13RW/OW3/7tR3dEpOYky9wPlK
8mvMKSFMbOKwTWnIWhrT8veP1L+5ZRXOzFZiZ5OlpnoRv5yb6IHSDjYAiTl+DzrRaRniZLNaxGwR
vxCh0SzuIVJdQAusJx84gIHyKk4/VJXdBPNBEOyUQAkl/UJNWnaBZp7gfG96037xOAi9ItuLmD8D
8BJd23ff5dvUfXok+HqvyL3qIE7J1pCRee0FR3UDiQOR9rqa8mPrBlhr5cXi8we88WYG06HrukNJ
bKzqyzxrvsaBfUorezdalORtcXRQbQ4gKGh01Isk0nBfu+5pstxHDFpcMuver54qJgx+wPZkPKeW
OAaDfDQ8oJI5CnxXHDFbHWMTbHQ7HVTbxML2qKOrTJ3mlsvjMEd3UJQxMzIvMBu6JKZ7iEnKZ0Oi
Eg7jYi1HSi8gLB8OjwttoidJgCyM6d40A4VR2vuZtVNzBfXt9IaDhnn7S+HKx7xtWFp5sDP0pWpK
ghGeD68FV8GjOsFRoh5+c4zqf1PgcIkFtk9XpNsklP71MihA8YzllBdkAvL4hFu9JA29gWhE3wSE
xV1oKXywDLK8EfMZaWOigIE3uM0fSEYlYXzuTw1tXk9rKG33JG1/33ZXh9yhmg5dtW59f25zBIRE
74HCwhshvqnUgaroGMnpJzINnic/fUPGy5LZ5C0dQNaTv7UpGfzhdF5IkzOvZgTQc+dTjaqiQjbj
RYbOSZ2q9dy/IxYkprs9JOHw7nHy5xxmnoU2Ej5WNfl7FrsUHyOM8a2a3oFCuQQ+bAV8g9IhiqB8
VU2ql4o9EjRS17tNxXCkteQ2d6h2mL+41XitY/1MgzcO9hJD81ZVY2Haw7VCnxA5p6KDKSX3dtNe
8n54Rw/DCqxeO60aWVgvKoPJBWnlstWT5XB1HX5iGXFLWOF9xYiu87+njnahdu9W//6D/ptTjMJN
/Z9hQcM0vnzMQ1R7WTf0xW7wi1UbECqCtAzlw7BVF7nVjWfbJX4h+s31hYPmX8szn/KZJ7RhYDD/
enzWtjVZpi1RKcWE8zToDXnOkTbRZ3I96HwYWX4Mh26l5mepYO9p2aQwNBwCDF6YcJpqJYg5VKJ7
LljhqyI7ZazZKCI7tZjhfsdFCqGjWah6yWdQ6o1nNd0oUv8FFcxmqGGbcmQMyVFq2rbt3S0kLg+Q
5yILqMLy6T0K3VNsWiub4R6Kh0VdZUcn16/q3BVcdMjDlhFYyQZQqcRhQ3LuFMgV9qoLySY76omy
nsGt8DBCVeYLGwEr4UEdYlGLflzMlzGbDjlcL6Umh72evqmf2Zr1Kzrzq5j1Yy35XNLvmpfB1qDt
488Sy7aOSSplibhGDLdXhY436pB4nFNL5zqD76mzUwfH1glfmAdyx/b+i5pQRGC/ujjmcWufqjn/
UOMQwrbvCirzH2WNniEfj0ZXrozho8kEfuD86NpUHdM8v+c6qhtOohQPLYLxZDzNHXelKutm9u4z
uTkgchADhS6nHw6vuDYQVAeblnYXcvl+0kli8fVjhdt2Et5JjiRvTd5JTa0N5nVq2jQRk4dSb62G
cPRe7+qHDiwqltQ411qy1z2maUJe1BM+4d4YeucUhdNZ/boyJ5RVaKcyvKLJsWCc3I8u4Tsppst5
xNfbLsswnpZdZu/U6asmayX9ot31d8aw/mxiJ/noT8O7UYqHmeGMIfUHba9OXcmQXA/F0WR1YMzi
zQaCZRSSZjNG/Mir0hxOaKaveY/LJhTOJo0OjuO8qElbXvAfcPcWuvPCI/wgMh4fVJdV/CBq91YV
TISvXu3MfhFRjDLEXBvp/N7HPOqoJggC3mu9IMqSOSL0IxJKiaLdJ360UbM2ElEZL9brqNxR3e6r
ajp8XvAsPVQZmfAYHgfeT04vm6mAXRRr1Y1nlXcKMmi+DkEU+XCjHj6F3dFBOkh2CYSP3nWNub66
4NT0Fekh1zS9Q1szrRlzVhCMF1qvv5JaCcll5klac/jP/bavmTpzHKs54VyFP//9qWV80oD/uiBT
3SYQdd1xOUT0L1V+NlmihlOe71pvei9a3sh5uEE1zJyLgQc0goVqRn1JroTAvs49mnIjqdmzurDa
mE29D0mGYAtGxOWQXbLU+Ty2P/8Cz/wOnua9bwC7B9O78EkDdUbYfQnupmAFyyTCeZw2t8yDhnV7
n2oECOuYE8ZEM/d2zzMHXri91pFjBKOcdlZdEbIo5Tn3aNIjU1/oTkXJ7IOlLJMXQ02R0MojnXeB
6Bpm/VY1QbyKREU6B0ONpmQW2oHVYU9WDYtTwXu1dGO5GM1yOxBLEjDlFt10hTIQ9/2H3pDKAG74
Q50v8WzdlCAJh0pfqlPdtbvD2uRwUmfOQ6TpJ71uiAWM33SfKqQfruAHL6Owd12VLmJj30OUU8/w
DMlIaLUb5AkrWHQHdQQCwzgGXJHq/mu94MGwHnr2GpnQz+pvU2VSZKrWONmnd1rjrUt2AuqqSD37
pP6SgHl/w3hZTQY01gkYvvaq07ARYRqpu3PK6X0CmyWZ2+efQBRjs2sqqqBSXgCO1J6+MqZh26cz
x1KFVq79yDr5aLnjWd3QnffP0v//9u6/27vDyAfL/b/v3Y9vzfQvO/d//KF/7tydP3Qgybrrkiar
U3L8snMP/rC5na3AYWbjqxX6P5fuVvCHZ5KH5PloLF0QwBSrfy7dLe8PmiHL8FzHsz3dIwPhy6L9
3y3eDX6avwyNAp17V9cpevUAL5z9pfkpdCmaPEZyVpHDuJI9pxopHYjCKEImDUDiaKYrjInOkqwN
uC7jEGIqQkFP8wId3v1BY39rFzTSEHXXv7yVfzft/FqS8+I8shyYo/Bj+qiM/1qSQwCLO212px3E
673p2Yzse1gFTjfccX5AT8mb62R7qNr7rZFTxlWu1f6m61Wfwtd3iJ7XtGgJXJtEsi9tb+e0el+j
NdpNXZ1sQZ/oVEU8J6eKN4VJArlvDB+sU9i4P78LkojWTm8hjX7WU15iFoJ1DAxkVwSAis5eAgaF
VaZnr1n3agMFXgYtrxmndfYbDL7Jk/VfXrrhMi3F1eWbXGnBl1pXyslPUAV07LcITw8kXMusWpsW
q5YwIsKMUNqlnydg04W+ivTGWenwUt35W6LzU3Zadh7GAVijeq/nlEoK+sfCdDuVs2zvcCv4K2vI
n9BAP7Ima/agOeYlWDDeJGsn8u7gFXwbTsR7njoDhEFWPmOdbiPyNxe5JC7KrP1kB4cRMOzO8Bp7
kY/SXOvMGtGECWtRZem88auLaROaSTiTiquyV2EshvXk0YoFEWYunYUu4kOfinNMmnWoE07AHgVu
ej9taLRg0wLoW0VOcWPL6iGKtLM2RtV6LvlvMlLCF2ZBzGLq+EuYHbu04YfPQqzvY1a9ekgSutGp
V16fbwWhHliEHFw1wbB3ZVyvLEe9k+q/btCiuuJcBTlq3FkmW6FFGEkqEG6tHU6I+qJDpTy8mh6s
4tYF15m9RLBqdqQ6k5IMwHXBpvMDo6q4GfI+X2AzirdmKF+jwX4p/ZlACHWBh6bPhZWATdQoFJek
AL4OScl7lx48t3rP6PlXlvCJeNQw78TOHX98WsTsPZFz1wOekWkJ3bxYulY1bxJxtWVUrxJP24UB
UAy7hMMjIEq3c3Wu3ThYaC1YBV+4W0IgsgUAY7FsoZrhxPfvbBs+Zs3QrONpuwjI53IqI8MhE+XE
KZo/XQ8BdweWZ2H7BlUilvzPu1Tr9Q9N8E18vgm3Q+Q7j4yXAEp7w3ML8t0p4lNVEK0SpK8NjByr
trxlmAeP0iJMt4a+Unl2u2hsYIyRvoPRxz3ZEEvXu4wOaTBZGDwTtfv6+W9wDeXLfhg2o2M/TDWf
eSDzpZyzCjbQbK5TXy76uG9Qcmg0UEP7ZKOrX03CZtoMP8oNs01f9LvUJlPMJ9mxq3nvvIrbGsfn
B57+21FkT6btY3xwYAfJMlsQGZJRZiQ4x4L1bGJr9rq7bNAmBgocHk2ikSeH/y8EPLosIP4P4CBX
nU0gWVboNxY2lsVQGhzL8LM+f4IoIZOjLKYHexgJMwm4UoXafel9ck7V5z739sfgEqHaDLeWGB4H
wvuWBGUtBgKFQSm5qC4huVYcSwhw0gv6zxgS8KjF3k0xUDKH9I6FJYElW9W5rUeTAAVfFcxHLIW8
wz5ESjut17JUF0bvRegP8L16EQMTRc5YOcP8TfQTdDrdLJZj3N9hqfMX7ch/H60R5BBC6jnVJqyh
HQYa0X1zdhWO4aCAtL7TsCeLmnSXDdk5T03jLjk5fiIOq9ZVplk3YhiuxeS02DQYt8VQrSwdfJUI
garAp2OYRvrxqkjypy5HcknYPXPfYsICRrIyrg8+Ur9GvKyO8VJ32kWbmykaFlYDHXoBtHEtFHEu
JT5mLyYz6/PwI1q8X2qheRdpV1v336VjcwfaROMQYBs3NOBdtgEVfpUGJ5sPOGjx+dlUkuujDLLX
adbDleZvS0ts69ZkEgOKHQ+PYBAWcbrGLk5bozIIE7C/NzmPiDSbzLXPvSMn0ijFyO0s7nqPtFXR
8fi1U27tz09EdhzMA4BmbKk/ke9fmpEzQu1tfaAHCncAZwHtfiWXWcRPV4QzQjIG3mPG3x4P6TYH
rh5DZgWJIT7K6vMydbmOO96UqszthUfOYvk0D/EPm6H/PKSvBvX9+vMbUaVwR8M6kZa5rrnYtxkr
Z4LN7wi/ZgWmLhOeDf+fsPNabhzJtugXIQLevBL0pCSqZKrEF0Q5wSaQ8Obr70pUz+25PRF3Hrpa
hiJBEMg8Zp+1zV08xl8Ws0XFtnBrDFQyjOB7NiZnpve+rZfIMrKaFXr82VZ+KNDCYQ6NSa8xAHFL
vySYm288Wd6DooHna+Sfps4GJNWkJWLtCcUURInBKJ4cp6yw03R2LTCfzaR2L8sVHO82r4InylRD
aJtTBT1sG6i9QhPztjPMn7GlQ6JNE2BVXPtWJFgI7AI+c8UJhXPPLxku24z217YwJnaF6LRemNHM
5p3G+aemuKIalc/ZQiddLe2PLo3kJjAbGHv9y3oVWQHLih0v360kf2oan9lCdgnd5OOs1QXe5rDL
7UUwHGIM6KCSHEYQyJx+4YJtuLabjJWMMYI7vrdFOMU0vwf3Q0kDA5NFhU62WnMWprxcY6PP5bms
GQFbfycFOJ+4/lkmXhDWiqxspG10HuudL1iKlyIN9YBzqlFYQSKFI1uZvrvqleeKxKjPn4RV3iXb
KvzLeZMNEZN/fCqO0PAolxaIBpgWZHrshlJtHAEKhI5UGVdt9p2szrYGQ6cGwx5Md2S/7IjHDLJ+
w1YB+0ics70eF6na4dvOjK8VW58LaLXBByTUJ1CnaeBt1x3bsFnsGIL9nQHRbOnF0ltMM6Z5rb0d
OW8D7347+OK+xgHaxHU/6WyTfCZo203W+/Jxjqs+jBih2lpMi9VsKllOMWNu889c9h/S9m5wTEOn
6q5zhRmqweqyZPlnOb2aFY3MqY7u2sTFNXtShc7XoZoQNtisLIF7EPGEnkqykJmLOJU6CFqilq06
Z5Yef0cMc1zfCF6JeQ3uvtDYhZC5W5u68X/CgElpw/11W3BOU9M8eKw2dG45uX9CEANd6FALjBFY
x3ASItTymy0I0WDHAK20ooNrWvsk4TaPx/pl6NCiueeJGzqP7UdLmf1IOtU2yNLQmzA9HIL6aONS
1rYYGDQNF1IfISJnMjVy6HVYj3Ot/SIpGbg7uVX6qMupmpoX+Mjcg/b0NS4a7ki1rBoJW2wuOTtN
Je9BzGpXW/whBhAtPQgrwVJHnYu212Gii4jFB6RdqHkj7n3EV5bDIWTTGckReDx1y5o0IGMQaGGX
cy9rMU9me/Ov2KcA5tospB2pSEggBjHX0X6jlGPuFa51vtT+Flwr62GIhw+kDUwbwDGAHh6LT0+h
KZ2A66dKNUGw8Um+sXcktYiGLXguTaZhjt68CNqI8TOsQ/CUejMfFhXHT1TBRFe84qm47K2ZN1lW
8THp51Nrsiprjoc7sl7t1fRUIDifCJb4zEAWqclQbNSYazKxvtyUrfjZ9v0Xkwp+WKfc5kikLzJz
cIrdwkNaHs3+g8o512hmYJZWeSEl2vnQj+8MBru0kz6jgltnsWvmlqb+wi1YhInZ4cKZom8qkk9f
vT66oAADj42rj+OO4akbHdM7WsCb1H4UUwquPQqeqmzdRyscMhP96PlcIm5+L/rC35YV+5DWgKDK
MOXNIETTVbUvtOlC3Z50iv5cq60lIKdVhIh5dV8vP+zQqm2rQThm3GqpvwsKZ9yUD6g6uYxUPFdN
4raGQan5AeIuQqjKFZYZGEurGGRdxDOM38ELAvyyILL2jDVs9Ly5mzGDZXyUeNW9BWpUAQ2Rr5wE
XqVIb1PZ3jNJVsMIsjc9TsmbBXMiXggzgpjdWeggZ6M2/7nGviiezV1E8cu3tIsYiMGlXVdH1gO5
8dPiU5cclQq4izb/CEhvNsZACOnqEfOs6Wdq5PckalgvXfFcR3Y4ooqpbGb/ESgs9HEQ14Ylzgnb
LGvhm+WdDegtv+OKQSMuzxV7jUKzUNEGUziTZ3xAFie1aABCt849F2yk9uy+FEH+XGac6yEt7l5r
Y1DbhBZIGptGuj76r30avE6M5m/7zr1gMHtfd0c1zE4C16thqHNNCE5CQYkrc242PippS1RTecsv
ApStp6L4QkSvZsxbVu8d4ds1iIfboOKGAHfcMMbWGFzGJ58QaQj7nmMzYjrzhgy1BTD3e6XyQRBQ
X5uWlr0K/uPU+W6Wv/uURWKp3EtZmLf8ILX893rte+6YguBPKfyrRxTp1iZWDoeeKKbs2xdRNw8e
JhEbmWOLU6bfVLzg2GC0fJLuIeWagTtIp4Fz44/LA+XJSVVGf1TdPa/ZMNePeUmecyzW+CTjBe1Y
cosN/6jZxXVMWHvoQNzNlmNtIO2mlgQukgbVXrY/1bT+nBos1lhjkyJtqamwoL2MC6vdeh2rfbi2
7aM+c1iiJ2zPxW0YfaYhn2d9SgkOCZFms/9NqHm3Xbfft4O1F07x2VmQRAYGjedG5bljgldJPCQ0
ytozI31fwCjap7G7Sl0gWpcMNUo+CLvC+8RdtKOm1R9W6rx1uv89CYJHr6huBXI5FtaWYQS3+FU6
3nDIuHL3T7nOEoOgNEUCzqI0oroA+Mptr6ssJa1QZ0RjuGDh5WBJswTpxvRK5tWiEMuqfLsGlaoG
AI8KQoVDt8g24j9JJ4plVyQBYR4BoSHT95yejAeJpLeY5/Q1QgugDG8uGyQYRE2xWdkklwg+nqjS
A30yGq/mfABLdu0lzSU9oriNBQMywdh6KovgE1D/vGGiaotpXr4PfpgwYg7RwF3Tx9F+GnTq0j2y
lCy/QtTP9+0CTy+GAoKSkpsdiOcmhZzEmZm/6w0fkrrOPW841UOG9ZArg40vuhduxursKAZi50n6
9FMBya+qtEzpOEu+Xzwwqz4GG4HCOdJEb87jrSySStk5+8Y+oBrrKhbu3/9IAs+zDl2W6N+EviDj
Cn6UAngCNwT1hxqqSkvMFurhbcUvrgcRmQQrRyCZ1Xn9IaD2hDvVSHfmBL8WsMpTjZH6HmAKhpAE
YmfPoX4eW9So8wXs/6ZXxML1H51p3bTwkz8Qw/VHfx7iizFgoqTw/3qg1ib8IS0AMmDM63LwVv/2
NOsf/v3gv59/mBcYyeqf9Wfrt+tXf/8MN6R/HdL6w78f8/cD//GzfzxrKkBkDlRq/np7Yn2Tg6Po
yn+/znp4redF267LcRX53yOL9AIA6lxRNdSaFmA5R5t3gS3+/aQEv6ognU5WVc9nhv4Vw1Kjn6YD
jNkZjVUuGBbFfCDDGLWX3LdKmLh8H6MI7qWPg5lirQK8x3Cd9l/dlf1ZT+49U3Z7zuXIrHcs8eGO
prBIGIbtPRs1GtB498xxO+f1h+s/dV0kIIsYW3FiSztTBYvJ4vKF0ZkJOA9c7PP6FcspHTJ6Hohw
jaNjtAiYIntfQQAEfinNc0JBBgL+8IxJzrAH3mDu2qb+mbP/yoiE4xQPQdhOPdmXJ3auIeqdUYhq
M+rZgfuWN6iTightxEEF3EYVDMcIgiejgjnmnzaaUC+w3wrNDX718y6brXPTzDVNHb8N42gIDVOK
nYMz9g4sMqYJpPKnwFn0EHYmYhtaSnMUqRhEk3sM5WxwdE4bUUwpNSg+rUmT07e46VMCiJasc3Be
s3x4lgP0cKMtH3EJasFUBY+RXjHx+BYzmD8WiLqtqM9Y0HwBhXyJjpav7WcN81J3vKZtmm8Lz0We
n9+khc7DQEoYdsNCSlNQ7sxhhfXOAggzip8mPX22eoZxNWxBgOMel9586f08v4zQx9jokGNjU/zb
nO2fPgBvoEUahO9R/ApaJnzbuvuJ4fswDdNuguRPhIhdZtrdICk9ttIgCgYgGycz6YrLwls7I8Oe
tn+iTfBQdszSIiLa0HKdtmP/qzDm4UvbKuMOG2c+KTw01ByyywXhF96xioziNDkjgFpIgE1hVU8T
7TiWaiLAOfaOcNown5RGfhRZcABlVG6Q4ObUdpiwMZvky8T8OUFLbl/gQTKmW+AszkA8COoWhNHo
vyAHwYpKzN/MBAuOcqAJVxOBpn4rwyWwaMHFsC8nMT8OQjOOHm4s27GGFdPTnoNpwuvFH3UNgJnu
1yUIuiqsBms+DUWzben76VRv4f4Nd8NuIioww3YMXsyUMvRIfGyOA7P5+XiVneXvOukjAmdAVVo+
aHBaY6GMul8cAfmKEQVQfeXFyeNtObhkIymzWJQ0/I02H2w9YaxG97dx0nQcBvykND8tcdq9ZoFZ
PeaLd2XAr4wkEX5efaceBywLpBdtcucU1N7WGjpgda38SWoIDNK822yNh5xIDAdjfYdyCzs3/ASG
rOGl6nRHOTXZJ4yGJBhaP64MnlTx+Ru95hQCydQZf3CXrTdWmKO3KIR6x7j7Dv5dQEae9BFZbIvY
xmgNAdUDDU2X3CgjvLmI0HuLxcJN6lvlBmA4vNcooiSiQIRk/E8tU3qvWqv/IHGlpOJml15DtpX0
SRh4/U22E7UsA8McWyKCwlPvVAb1j2LMsF2B577MVr+hhProddhH5yNT310zOmh/MIGyflAa+pGg
HBiYA9YKwLhp+cjQTZL1e2a6rUdjTNmM5QER9RWOBOsMVLRy0p5bkX83eklBto25bCOKNsZjqSyk
O5dyVYySZFPqDD8Sl6Mo9r6CXSieECruVXWudJf2VFf1bxGI3aBy3sWcr2CcrpVYpl0UMFqWLczS
LJF7o1ncHOveYi4oee2keECQlOHpo2qPgYE/1vAwq6mPhYXbSnNG3YOFGxV5u5P5J7+NQdVJEw3x
ku56mYTtYIcLtYVT4rQHfJz1awlJ8cEc51M2aempE/lt7HLJ2mlgHecmzeXZGmznhVkh5k6wMoyS
6KZ3AcWmuCiYY3LfHdt5m8rQxx4b/OOw03oZokl4n+fgRiS3DQbXxbrMmTclUwdp+z1akOpkr3Vl
H1jqXtMRtzI8qNIq+urR3GOixPzaDdR7kQR1DKsEQ3UWcAOtQQs2Ch6eV6DJQbC8SIFxLK2gaD52
abUXtAoysGxS0Otj0CQ05fDKwDBAA++GQASeIZuY70zPMLJ/WtCXgSY8zoKeQT9vICcw6c5MLJTZ
3MDMFIDfWBOr2P1P0PzUJmrgfJ0Irn3t/MAMlW4YFUZK63RKtC3uSnTJHpfWfJCVfO1cAy8kkwEs
wve2O0WD+BHQIXTUJW3gKXcdfIaSuspCuBhtRyaKmkFcO1mxW34YUbGbPO2WyuYJLfUD0s/XWWPZ
CKoKmNDWHswfiUkYbNbNsdSN9zE2nz233jNZs3GAI1LWYj7WNgjL2yR9nNr6kmf4Ucn+aA/dWZ1z
zCiP6WJ+MyZ5M4r4aqbjE+oVmMQehfalMs+VmjItxLOnF1cwnGevY4vNQmiMKDkMKLZ5QpnKzpZt
W3hfLHIu7Bv7W7Eg6EmmXdY075puoaKKn0vbflcfjXqq1BuPNSsbghgW74fM/2YD8CVjxxezGT4A
I/+cau+13dpBz5o8eW8FH0c/yY+ZewjXoB34FifCGK91j4Efb6PCoeOVwC4uPLD47llq4hwY/dbI
cQVFJQWdyNjYtrH3KYH3U3fSpvs0D9XWonQKMwVCXYyULP5OPeXL/GWOC3JGPbO3VDztyEZSMsQ4
wAG9EHQoWJa6Q1HUpKoXSJFwEDjxc8HKlnrPrS++l0sM2ePmU9Qp2ubkZPVdywApWon2vWUlw0sP
WZkv7O1iGFhgMf/JnNeheegm84pHC3tgBsvUqPMvkzP/pib2lVBlW0v5s0mhpHIZlmxXIfWD01wZ
0OvFZRLiOBUTddH2six1tHeNfCCz9Z9nChze6CRk2OOxb2xrB16vDgvDu6FY1sOeVJKiqLhGHugF
3XYuLuU1xVCHhqKNNv4Cvsd4yCNxdbyd3XbZOml0r6f6t8R4ye3aIMS81d3iL1wLzcFpTD9msmQ1
KDvVZZLbzp9+tHn9w23Z9Uubi1AHdcaeuvPkVRjTzqDK7eOwk1TedWrHz2SQ4gCuJ2wdEJ5RKUmj
nPhj1LjWxsWgsUp4MAUj41mgzgVDIFu975qw9xIokW590rzszZrJj2phModtk14kpYQIQ0qFpvHd
Hi3v4hpUjjPtCxXuZ1ezrDBjQtJxJ2q0Zs4nP+NOkhlfZoIkVXnJt+gfKCiTDiZeWM39eMzAVoAj
tQ+sfj8NI3p3Yi09dHL46Esr3lNfmjYgMe4VDdQESjQIxAprQH1C9tSV7OkwSq72KA4guWk82get
qr4OJtfImImvjGIj8bKwvynTMd24lNvYXB8YQeSaH/uPOUn2vQ6SGP8LZqoQPuByrL3Fhc05Keo3
bZgf3DR5g4m+9UxvQiuIY1E39pfMdA6jCzJ6Np/wiEXKpMeSFl6KCIgcGonwJ7rUYrN16HVtcHx6
rZ3gNgr/zaYmZzHdvSiba+vB9ahKzYJcOBfpczbVhzGyGRKVH0P/ZHQhJKgf9ULnlf9mdBHE62HP
1H/ejOi9hhed7vvGl+OeobgNPV4F8GCoXDjMvFr2Rh/xrOPPfPZu86/fpeDKbcJ7VJAhuxzNZxG2
XCA6L+Hy9OrZFM2vlsZhSL43Azzsv/7UTCSrEWIR9ZCA3tUEdomXqxjtU0/Rw0QF8svgB8Buno5I
Xn1rQrizUjiwN/W8cT3j/pWsD454jT7xvU1k5KyEHBU0vPeF+fU0B++wbYAoSWpnoNchLZm4trpb
ydeWlu3Wr9Xv+E8GYBy4ckDwbNafE6QaUMPRU4a2/gPgVwWyzkrW/0vau2QVyHEUfJO/i0FANNSv
tY00PFhczUbdjgGvlZXBQzO0R5Dudnsx7SfWIbit9O87/VMdGLysnBYlZd50hCMJrNAa9h1/YWSX
gG8HEVDCwYt0OkiY+eoR6vVkIs9JVW7VsTptXewWEd0tDBvVi8um30n1BmhcW/l0opc8gTJVT6eO
S72spt5OKf68d56jdg4x2Zb6a2So0OnynSGomPDQZoxCdXrU21On8F9vFVbx1pyI5qib1QvJhEUE
R2Otmuwd6zeT8lxt/KylAzZ7MP/5Wj2mot+vg2gkbcEk8IyB1L7N/zwctN9BT6Mw4unyAISPiYae
OhYVijrx9upHMb+uWv+oHiK7dLv0ZCh6w06Llx5PpYMGEgxiuBTd56b5MVblTT2lekzA8OXypB6h
jqmsfieP/zqomB+qA44r56Reipd4GIeMlXrZZa2xvpx6OnfsjzyN1YC1z+YvwXIcE0H0AmyrVHDI
b3pFE8svy9tkUlgECnfuwKNvyyzblD0ctsGk0xFb6adHsG1xV2WjhhRYc+UhgZ7Ldj9jKEKHRnbZ
J9vtqzZxuQqn3i+JeI0zM7joQj/2dMxNsACJm2Ex11GL1ksuRT8BdRhFSkNsf8qgPU4T3ewFG4t9
CR7bHZ366DQG8pDsWsffMwp6bDYmVP3ihwBZScPde1plEHbNhTqIRzZJimWqKWLXr3YFMt0UXrtl
+KkikVezYAsTbCI5WXH5Ug0ldEgftU6H9R4xDuWG4txWw7P6TwS1uZNKJqakYC2iITNjKh6DTa+l
g8UmEo5J8qlHQ7VPvZ9aAPW4ceavXQTLpXMoUYNuw8eIiM3BU2pnNd6btWQfVun5oVs3YUHCMCbs
EPI+O91LHhMPLQ5Fdtek22TN7BnKShkHazj1zmlWG1aToRyNa4rGDCuwdsX661ruhtXFI6vU22rb
RoirpvqVhurAULArwGzSj0ktJrLs9Bg0VRJSY+Xypig8i/nGKEgBuqp6iDEM2LiqZQZwqg7bMv9p
N2m7q2KyR3Pk+MvflV/RrLWKD/QTzL93REw0908jTma6oIFkpnoewgSsO/m1lEZ5He0820Yy3TSW
vV8MGi2d31eh3esvsqCmTTPtHlXYwCxwFrGwrbnnovRYK0Li2pwkdj6WHrWDMqHQbaLr23SRdYDs
QCe2YBsGf4+D83yw3KoEKzFcdFnYJ9nolwZ+J79i4nxUzUzHxJhZlfCLk8Bi+4/yqkIqttHliP6P
4byppVIaUcvGPaUIRwPdW1G9xBFB6nqh+x4mgIwM7xr4QTsMZyBLkMnM3pAesNpCoiwkOA/Vd+7V
JS812ALL6GR7p766s2OdZkhkG0bBwzEnbtQwhi6deXyAxLWlreI86d45qLT3JcLV3F+MXRqA8Vb3
WI3H3sbNtRRPDODUg40zpE587ZR1iJwBEclkVY+/SAVVXumhY+RmReam5GAlWIwFUEcb+xeRcl2M
uvteTH4TypHCaY+50BAQtyzpU1RVkGsgCIZe5oQOjj8bFGGveERgXMoanaX7bsLCTykZDqVTv+Lh
428T8GAbc47O4N1ALw+nouezTb86sCk3NdUNd2oWBnuS8jBOP4k4K0Ays3lA03DpWgx0JvObbtCc
SMbiSh7o4Ea95Pt+LG9WUv2k351sUN4EQLzkuY/qG4bEV1j4n76SLRMa1UWj7ESoOqt7IQKwjwBi
ekPr0ofSZQ1Ag7wxB5IIQ8dR1DgZMXXCKUG9JfAvd5Wk7087VTUUV5WUqDgegrywXdK7O1oPBvG+
VyAR6UbCI+b/MyRkJ0HZJgkSXeGIdXqKDO/TglKTAefez0DnVde1adAU9OUIP+45AVMYKVWD+g4f
9ZuzOHCY8wPNHho33MC9NB+73np3MhK4UjvA5b3nQ3UdlP8LztN65tLzGfsc6yc6ApWCa1T7PLpN
Oq7LDXC9BcdlINZEZepFRjrRZWR8LWR1bwvnJU/QASmVF1sH0SPNsgV8iUi5gYWr/Hf8Yh8J/bfq
n63CHOjPGNW5xQWmiL6hVvwQzxF9WnI0O8m3fnol96CKpPJcvCMMJK3+pc7yu2mImwXRkXZ+8qGN
SblpaWqbYA/2xehxP+Nx2PX61onY8GHu9ld8CB6hn35NYhjQqgzkDCh50gSWjK80MohQXo2FGlHJ
O4ReOZGTWDmQ95gtO0ZYGcTpLwRiFk1VPKpjSmRa7HIj9Ggi3GY8jj1odhsDq6vQ/L10zKvNHCb2
7ymlQy4Qd+BNpOpDAqRMGIFovaoVKKGyXmQb1HgSzvCU+mnjgg7dYElTnALXfmLA45655k9Mb3/o
GT1kayEGKHVMxwY+goAJmDpmpNX702asRYKzldkgqhvGLZqeLoxz3CoGX+m0VJupb8ge7N7fe/Sk
BM25Jm7f8ylgepcz13j0tL3us8z81z/iqbH9XspPbXxOqxMc0AsILXSxquVXpO7DYhqY0HGZt0rp
mSfetksN6iZyQFDTNohG4vKuOnauarJPNG9w1k4/VVPQ9eV7a44vOV59nco3hpmrl0JwiteN+8x1
84U5iY0Ol2i/9s56VCKyCr414/JtnFiAqozeZx0kLMKGBH1TZP9lptZShIJ/nyQJdMM1XBITi50H
isE/VMGNyY2GBrY7RhINxcyAOk1ROr++j+MUO+jLgjj0KFrKiLby9FqCcNUu4Bkod6VG113Jo/SO
hW9iY1dapTrlaqia6oZnaRF6MWFRFICBV9850aQu9+LOOanPCfB2M+ncBxx/1W5yzoqe/G2gHRmo
Bl4NvZME9MsSc97+fzm5859y8j9v2/Ic5mu84B/oBmRclZBZ3eGT4hwLFo5pMR5gsOhHUOtEa81D
Lj8rReo0DeiotW9YG55JkT8zbggyOVQBhCsV+rtZyXwYTmKJy7NPgpDvdasCsCX44dfApQZ/3zuc
vXUXpcAW4m1wGRgwP5mJeBmaiBsBCXKkpZ8qbErUdZorKfIE8PYvrb0SOJQlpaConm9EWR9jw4qt
VjjhmqREsEN9vQb2nFzk7zpdnhqsUv/LSbP+OS+prhbeqGm5vhPQ3P3HSfM9P/cGzWqPWmohgJPR
60KP0lMh0drLnZqXzlRjZkr1s8oj6LqcKptynNpaSFiuXsXwUelob0OpPca1uV/FMctI6LUsLB6e
O1ekccUlh8K7HfA/xY07eaZM+vFHzWZbb4NJH3chRVLihnhMj0vePHcDQKkSK+BqHycUpdUd+P9f
M95/XjOWw6LBFIaPkvE/RhDivs7NII1bsGatCRZ/q0V+HHoJ24TAXBphRopym7VCNzNqgj5QayXS
0yw+ylQoEbhSk0dz9OTI5YqHw05Nty0uS50YTq1EYrkGDFM9P08oDSq1qcS2uEOPZ1sKgtcSugpD
6JRb0ECw/miXSIz0iHA6WaVDWFsjmSOtKCQGpmJsd6OHYWLso6TKJhQexXT0mG7PlnnVIcGdrc8O
k8uuX6MtVHubnRjBwUntU6WEWH48SDzxaANZlI9SUnDQeag/87seoT2K57ccaQJ8H4Ye1e5Ku0oS
kONAsQbKJvao6LgpgNmnGiXWf5nfNfUVsfJ/FzDPMhlaYQgusEBJ/mMsxOk1C/eBsTlmlWCFJFg9
dD4wZtNGs1OOj+7iWpuu89hKa+C/uA9smyH5ZE+WPcJms4vfGMCk56l0VmVdXpJAPODo4YYaxmZb
LS2/NibJf0n/6s+i1Bon2+037VBnO80wv+vj8stL4zvas/3Ypq9mABQvZ+EQ2guFDzbUxqSHgqos
b1w9bLFbzuz+vggpd3Md8Xm4H2D7BfsmtSENd6udIlkJT3uLugSbPNmPT4GHW/jSXbS60/f5YG79
pnQupTE6Fwe5a55b4tjQJkl46itjrFhcDQ0/KY2TovynGLq31OqO1lTkBF6tERHE6KjJ0c5u5Ui5
EcDRjqWN4Y3qrjT4Xu1S7GTBU8qwVc7GPDREBOuXWvGbghhJBWluU3wWQbwHA9JuHJsocFVSrb83
CeSsRnvWh/izFMVGy6xNaba/1oAyFvKGvx1FhxK89jpnoYRbjee8LhGzheTFsUy/eVlzCqoIK3Nx
V6kpWbQVzqo2lBS4EAbOt0iXcAh6JL3gyDdL0BwoQ17rhYgrwIGL1HgAqlt9KGEQEX9oawlhmpN/
2sMEExzzMD1xSRLR0Kd4DeLv8Gsu4/e4KWAcolTtku9V3P9gyJHnSsghAhunHkYiHCEm0k0Ng2au
FLiZzCf2eDLlZKJpXV4b13vNNRS8StWlIs62aE0lBgGeT4neL5KTH2M+rv/Rt/Uq7ygHbjpd9OSR
TX3Eyo46vPfqJZQ6lIDOTmg75TrVQ7zkQhPjnz29J7T3tnztDfT8NXxsX6XCRLK7FmHkvu2tZz+q
vkVqFfIWXlzv6ve0Nr+tNzhYPeiA5fScZAMKABkzAFObN2wQMfNryPFbCg8xHb3Ub7768XhzLI3F
hrxn44zZwSEn97WGUE6w5DPGjMzH079MdfVFptVtVnMTHa1kCOMMN7H5w93By82OXjWK59vIMMLG
qoM/aXenUTiBtjowwVPdDCV/rDT+MJtOSTpe+/g7lX5NWy/bJLkYRsPuQc+osPyLdFH4Z52VXhpO
sr1IRBJl+W0Uy672GWTLRxrXdMbfsC3ALAB5moO54jjm6S0zx9M8++OxMgMKPZ6Aa7dAGmIgjZJF
n3+pyoH9RA+cg70kN4fc8qTlbrGVkU4D0B+v47z8cPLZfMnxArDy4aolzIItDLF03puf1CxHjcCS
rqPilKL31DGRazyAGLIrKch2qb0vk9YMQXUPOzJ0fwucntZ6cXA7zaH934tthScPVVLm2hebxl0n
EfYg0iyPXusw9ok6CbSZPYPT5pPA7gqAHKqys5XLeg/W7rwsqbttJt3C3XR5MKmaH5JBQ8hSlieh
HHiXYHlISkxZGIG5ab0heTq5hGLJD4u96Ai6vsm5xo7DYUgdMsrnZPJTR6PGUJmGdV6dfT2v/esr
2oZGjrewZurPi4E1KPK1o9Sxo0pc69UN8OkOuvexTl3qS0hRYNo5ggieLzuaQT1urVWiiJXojC+m
12CeAcakjhbtknqZd26Wz/UbMKraZf2KiTqaoI2NzLacsx37uIMA0H9YEK8fIb4El4gpdhCT1te0
DvLrFE8ggRexDQzh0Jqadbi21UNP/nOsxuUx9rzsWGSFweQIxF7MJgVwr1ILqyGVIWVE55IM5g0R
nXNYj3I9CstreRtW+8kUOxp4vIkQP6S0VPzZCCPS0LAaLecg/OFgxnNycouC/k6dX4soC0IH7zpI
ADgw6Hp3lIWCv9I83FkGOt4WheDFF+91j7zOdLCO9RoXQzKCkMgAbulP7XRg2OzZjrvuODr+wTMo
qTDQjjRwnt6DTN/DKtxOpvnLGrN8l/VYEdl111ymxPhZI07fCxwBLonEtxqFTMyw8wxQfjBOnl3S
zKFKeBlN2wuzmLYha/FLFPvveTqkDNnpyFlwtx2EG/YlOaRlZZdxfna6+bFsuV2Aht9MjdSCign6
Qa3NjtNLXAI1xCpz4QD6Bf9akUXGAZHTcGgN6A497lu6cMmS8URrzw5IaCoZFtBemihgKYzb6uqM
wD47ZVWE9pjJBWqERt6dSQtzhkzOPis1G0/mbdfniJHyHkfGMkLTg3lRpMljikJ8a6oZFZKxFJtk
mnGtcV4VwPjzsQ5VHcosrQybNqas7iXHdYSLwXQqwPnwGWPPpQRx13XVgqk7bpFX/yoS980Wy9sa
XUBGqLb0yQ6jSTsv7tpvQ4za0afdh5K7uANegOo7Qf1Q8wxORaEdxCNVnt0qjcalOj0kDFTNymGl
yX/McXxZ5dmlWbihRyBNu45RdpOhtdHVHtFH7dejXAXTqkS0ROI2JUzwy7ORGI+GXSMyIV5f+oD2
V/u6xknNzPYxxuKAK3hCPIsXOEbGazRvUPAOnXJ5VtvnqiFn+AVVf8Paz7vA0DH7gm8fkts2v49K
GqwjOydMbyCrirvSwyr1uWuhQGewiVbitG0ZCUgZgoyqpVqr5vivbNn1CaVdnkmOSHOq4tpGRJcd
Q4hWTh9OAqKvISlRV9z0eMBsOqTPeY3oTOtrUit+sg7JLLHUN/dV249deJd6+NgX1AhEDsWiH1+X
Lh1OpcjzTWolD00xVnu93a8zW6tAeGoYI2h0ctEBnf3OgxejhJSflozRlLTUOYVFfltPC+alLlSz
jsnXrFIzqIF5nLT6sdGD19hZ6FWasLzUbIg7vkK4uYLiwVCt4F6lBdVrr/lExcF1mR1o5vvgo1Dp
9HpnzvWthgVczi6DJsBpVQLtKbVx33pPqCWeRtFa+0EZZXZecyrWapqaBwy0UxM1N72gfiPimZEI
l+pqdW4DXPIK66VQBU2ppmuAagYbKP7/w96ZLDeuZGn6VdpqjzQA7pgWtWjOFClqjFBIG5gUkjDP
M56+P4dulqKysjqt9mV2jZciKQpBAu7nnH86DWFH0SLOlglvik6/b1C+8P9oYFaJ3SOGcaDfsV4l
u8pnioZXgSCHFUAGSUbgf/ThQF2szog5FMwiKSNXsVliAA6ougxbRp/+xOnTJ8dr93FU/0KadgzA
V9AVJ8NGjweURBx0c8w66CqSIEJgeOoiG8EArlczEt3spdG0XZNqT8sfCCwfQg/rg8jHdhVbzaMS
7UjWB1bb6knVnsv8wJdUIpWFWTH1ORYeDwnQNSIZat+MoU0c09aHGlEstVau3cG5x2XjUmntdeTA
gvZrmM5N7T0SMgapFvzW9vjoPJ00zyi+WKbNfJxDIxr8cbBS8rfGJ92AD21iYAEczNcTWJEJD4EX
Gkyf1/rkvDPcgs8/KBFYRk58a9sfbu9hO21H3rlVUtRISZF8XXBoEpxuaRE13sJzwmu3D9614LpA
c860+ocu/E8MwBN4k8m+QL6zGZ2CmnzAQDrnWP0pJpg8JGJX9sVNCt7K6oPUBWPXSAvejJzPUFWp
bNjE4Dgv81C9HIrJe9az7NMwEQuo67Y1wjvbzQ59W34kfnI01AAkY/KLrlc/JlP93jM5FeoY8Tt+
LJ2O3DAP9/pC82AO5XQf2VyQZl+Xx0yY0MUIGqDROAwal47nS2ujacMmxAV3HXeV3FshbF0xxp/L
RMSF6RBofoPLURZu8FPfLA9r4bTye+PBJU/WHb0LM6itqpfCvtvqvesrrhWfgJIOFcFLbkkUkh2G
kM18SlTD/rWWBXzRQxG/eDjzuEH4kYd2xTS6REmNfYrv+NjrYh8d0slDEodf2KCbmEBDBUEjrdiX
RUeDozR3jQalsa+cnRKtqH5ctSTWRHtNTcYfIRa6gj8zFROtgtLXx+I1SiYEg0rhsfRHZciuHYQl
4pmWS773Hhfh1KLAMNRJVU3aj9yEmqTyd9QAbplbm6pqdsh0w9gK9Q2GCvBKAyS/FH6ZmjNjTZSs
BRcqFiTRoRsNZPZJ+AUALPocHZ3jyof9hek0VFrVdUjTXUd4RunHmmzHjarse0OTaJ/vbO/Sze0e
n0tSmeCeHKPGgIxlu6A4UXoVTWHO1vKjkzZfhnWKZXA0pGmtReOku9i26ccg/iPS1S79bN+3Ze6v
LaUq01qc8Rrxe1KrbEIPOrQ1jrI1xHP6NfRkdslFhFHfuCtDKK16ZDtbFafX8i0uilg9mtiJctIc
A+j6RrMm5gnaw0C3txwCuZ9AOn71LEMdfToXtzbKGzJM2V1ZkWIyA9eVRLXvMKDVG4qDZCDuRdkt
TQYEDFQX3ezlR1ESuVVMCIkQa1wtAtEhOEirozVqN0g9tfxmATiXJtck3rUUzrnTEnB2pu91VjyL
VtsFxXxpBi7URXXrO+CVVjV2O/HWeeOjp6moG4lALRoJQIv1Ad2i/U6Qodi1mXPGNw6U3GGQX046
jjf+m1QJt7iTovT1D4tNx9Rp07UpMYC3MNwceoQlauJDhDOav8bNz8ymrxwP7cHIElpPw2dBmMzO
chIuOpKI0vQ2jmAJuVRNhZIYLprlRXkSztWRFe3RkxVp34ytpom9zm2n59kzzrE+3/XZHK+gwjMY
8whSN4J8U3nx8zK2WkbOQdi9Ea5xM8LbHgrnsa1GHKHyrZPYj4PfY3xp7V3Vv3aMKmCNodlSvg5+
oBXbTKm8FNxsV4hlOfgFxtV0/BoGLSCBqUgY+UQFhPNqheKAfCa188Vlfdt0oMegmTulQFyurkRM
O1JcT25uQl1KfpBdyTIZV0evg0Pnt6R+Ut5VLcvzcsllCpFZQA0FFHX9G96SBRNwvdpjapVKeveW
k0vEt5Glv+cd16WmhbueRDAwDdwO1OTYdeC66h60D3VgbhK8aXEBVZlP+QuSNmo8ppy1rTRR3ayd
fc16WJDe5TuEagFWHzN0rgHza9yVOgdsonEeAZrYWVSNVOisTJ2LXA7+9XEcSaZSYLymax+97H/h
F37HOAzAgZzKTXggD4oCgQHGcjZodVRul+timSFoACxAPrwh88n9pDv3qmaGtEmal0IuFgCrtV5x
VX9YtEQe0mZcE3GSmgkcGd1gYpCIW+WoQWnwyZmjHmb2yLFKhoarNLXWQI28fcIIqkpxtNBDH/UA
Hw6DRGwM1DhjnM+BOiHLjt5Z1dKdwE+BHvSo1fktHlpcIyy8Rsri21AzRYEG4wG2N4XQeCCDBKAD
yidS7vRW1WOiGDekRWyVXhBvCDX7UpWWQem5fMpEIj8N1J3uyMBnkXgZP5yZ5N8g0cElG41djPwP
qh3D706TDD4V1heF8FPm6lL28X55L0uhunMJkhrX1SON/2euMWgaNefK5Zsn0BVhcabWcVZ9xnb7
tIn2ywxohHWyzJvJI4VwCiahUBf4Z/Zap9oDwS13MdrDamjnnYIwoZqBebl8LVl9i7z5V0NzO1fe
D6QPABfMMmDUm9dJGv5arqHKMIadM9YIVogSCwhndFsUJsqjRkni7JFUm9QNbhchrasE+ErN62jv
KUMKVEzeHm0JZYa6Mt0+fWFwpM/0wctK0QFoG9O4TSiUxthUH8bPBeKYM0wJSvthCn90HxYBYKtR
svf4zgVdzktOS01kIN88wa/nKk8/hZO/RBnhiB4+YHpgLPi3dHaVgHu86CfJt2a4W7Jz4kx/npSZ
QOYk+a4c9xI9QCHpG9TJOkXU9q2aTqmyBYws2hBLuVtUhaqei5QVgsiQvyoF4kIbsQTxZjJmZFwB
akOfQq2pHYRTYEkm7C259YyNY85adWEB+1xZo7wzA/AyXZuGnUTsTPbJQQTF50IYgGIPZkpe+CCC
dvNS18TYq0YtmjsKlMB+QQtzUB8ZK90v3Zt2qp2JlLZWNtltiNHvWoHfatWLy24L2z+nOQrEahjT
dzWDHDpqyEXBzf7xM8BLBycHzms3QRqso/VRdXrJ6LdDJzr71nGw3Wi9/BPCfmTsnZM/VIQ2vPCH
BcFYzs3R9R8XX4sEmTV7JOzfNjgUeAIkpd4RX2y+eBPtUsp1FRHEAe8Gw0cN4KzCvYjn8RagDSlN
9KpBo9mQgdG0SNTmtBAkvxjVPabyFR0vzV/H1+KR0TF21qrXEBJzWizFCkqo2zwnGcAlfIdPVP21
UNR0ZErR0Zj610w6k/hkMltaWVZyzpkgY9mY7pYxv05jamzyOnvvcCVUldOcUKJR2+7SOEJVnHPu
AKv81A3GMKQkwysZBhx5n6oOAa7DoIMcC/6OKQ38O+bTsmY0SpcexxCaEvSTJDaJk0/+AWPxLYdL
oweY/iWLp7IZO4fW2WWWa+CwVNu0eMU4T2uqjQRJBd1ukG2U8wVjIuAdpXAgo/hDB/DQsDFZmz0L
SfYJdZThru8cO8NjnkIHJpXg1iLYDS4ZcRtYe8HG6H/bMQG6nO7LmpjEEX+ui3cLHmLrqP5TB0iJ
EmwpM/XQhcpv/XYLJBA4CsYyDNeum/tXYJrrodLsjZqBL5YFbmTt6KMui1WBoUTx4cSUl4xlxEbU
kMv1EwoHAYcK1crSTGzrGQNctkfpgIeWwXwZh8RfN1ENi8/5MVVNCY37xzJMWOYYWBAHMIHMh8Uc
o04n2LZJA9sTPVCfsIwSt00PLZyrMC3uBLG808xmQwRasGseZ8nWnSQoszK3Q67xOUkMkBIN6Wll
WQ8hCPgq1+bD2HIO5Dkbu+71xo6Q0U7ZvGROca11Eg8Se3p1h49Fpe5XCfQSj8+8Y1bj0qRaZXQO
Ueq62AmujBldlzeYFQmj2IXTETGGL9dpzwJf+IwhQ9YhQRjW2o9aQIWr0MBXNSTcG/Rdd5g+9mqr
G8qfLUuymqxkBfMYozxUdEaOB+kP8vDn0kC3c/MgRPezH0a5Nvl+kiSN9ovHkg9cooHaDp3YjMOI
0zoJzc1Ag+HYyUdSFscp1SkB7XklHUX1VYN62GXPU5S9miFLBOhcvx5mnbUOypbpQM7QEOlE1VaW
ELmG1MZnWJ+g1Mm7TDE+0qG/VLU5g9dEF+nCwapneHCZIk+VAcW7xVXJcHbbs7UEky1X5GhFJGc0
xkYn4HihXLS2S+dpBWebImVdeazH/vzhUNjCzUH1kjskj3yhrnP2K6tQY5DECRrk8H5jbOGEjjs2
ReR2IQ+FNly6KaA9bXwWJSy3f42WWFgMZP2+xm2z7iIO2alfhAkga0HJXaudXGFii/NOZAOAVBZv
qkntU5P6dhmg8FVXVCVPi7lKlFTXWtE/qH2zgoPO4L474VCFjFy18DHoEKbs9IlB+rvonpYldFnP
8vglsmkKRAmXUj6lXrT3I+YDdj9Wq7Gurx2w1x1t/osWWlsjK+/C6qN3u9eyAld3Y76z1KRki2DV
rUcHAaZIzo1U5CQWmsUqhGK8XOHmx/z1RXV3eeAd3GhY9RB1RE5wgx7sq/ls9qGyB2iY18Bf3hF1
etI0f4+t6dtiypFprHCZGk2jIVjVivQR+O6j11KBYZN51FyWczX9cjAFWDgdwxxekVH9C8Yhw70R
l1x+pwTqWaMn3Hu9Ex0WY6iF6YXrrgjYBxbigAL/EhsSrRskH1CeqIx8ZW9cJR+LsZBls6N4hdiw
Az91sfyIm/SHMjBS2ya+uog0ivrdLZprSJTvC1wH228/NeXT7FIH4bpD1B9TiaiDjKY4Q+QsF+sG
ZDdUF1/dFo9INI8LAGw4IHYMaFbS827xArzxofttEWWw1AZw3lv/QbVP40h5T3Yi/FQlN+sd5WBF
dZgpil8ncRZOPHM959rHMhw2bSUnHgk5xuoFhAQiq8X3bjQw4fMax1WaAxhEBLDr4HOIivCUh/y2
Xk5SgNF+bfX2mgjvQgHx910Ie1Z9+pzc8HoAILO2PDMmPCuuEuqFw1L7Lb1boV2izN/OLphmakcW
mhEH/VcN8RFitsCgCYputB9lsm9j+8kwWZJhm76FilIbGuQ2NCYQKXWIqN17l572KurLp5bonw3w
ztqz2wtcM4jwykpMdWmjskRC7ydXMnpWTOk+S7EO0Bh+qvF60Tw2BKZ9EVlb5TS2wKhdZ75buPdu
Ous9tUYUhcpOQnU2ajoasQPmDX4MYnSQJdKypTztKPmsooJIqCFx795MnU5s8AxVQNCfSau6wq2T
ZTR3XtUFEWdQ00x0NaqKXghwSUOl5czRc3UT1zQUmfqHhqoCaLsb7WDXWb71RyKYXKO5W/y7kpnt
OnJ38OZdOkAT7z7g1q0NNZxc1JBr2dd2+YRw2gSyWpcdwk3TflTT8blw3nOtflWOVqpnBPj4gabl
UKXVrfIUKSLrPDP0YIhMzThK0FPvAdvSX6gI0WGykrPcsa7cZrP+uHgfpurwPe086pq+rRI0xI1y
o8NJJNv7Appuc2KI+bpMWYyRlSNsSHLV6x8Fc36EpxE0wEhs1Ec4zQlxy7EyFmbHKgpfAKBAgqHV
Emn+M9UXVH2hUKrGc7lyZ+Wup3qwZfbEjOJKUL2kMvst1PxUfcpuOV9npXvllMB1s/07GypkMlB0
9exzUm5xjnw3o5H0mviF3JpkFwJv0hYDBtich3wbGkMmMJvKoT7kO5UV7rgFGzownnrapEQbUWms
KlVZqY95qYjVOH3pr0cShgCRQT3Uqyfc4WCLUzIvHSARwER1uclpUguF2sHRHCUtznvdGEOSKGNM
2UgNQ8HLUqhtrYx+mK7hBV3ys9Ww8Gq1TcGNTw2fxKxKbVeN7/G6vLFH9GqK5TkTJryqK/d+2Ul6
WD7YHemU8uD7cUklwin6bGNYmM3ZlfSDJfyz766TvHtWa82y95OzexEQj7bwROW0U1ZsHXQc8lOj
Tx8fjJWlRyejxNswystfbfEwCetxcZBSRa8t5pc097BLpmHMBxGt5iB4ai96Ez6Xmngv7+SOaCtr
U5d8oaqqWDYbzUUNOk07KJEEQFCqqumFeWkwS1jJvj/G+XBEJnUDRf9nQ07rCnX9Yz7chxlIMpKI
x8o0BUBizNKVvCz1rUYA2TrzV1Fj/SjqaviaxuGjn1K9o2w0A/HFgvxfR+N/4WhsQJv6gwK3eW1f
/89H3kYAsq/Zx7//2/9NX99es9c/M4S/fuUvO2NXkhPsSt1mkiJNg8yh/4gQdt2/SXhowjEIJ6NP
UEFEf4UIC0yQ6TtILiMAwbYdDxviv/sZ638zTXJ/Pcu2bUsXnvE/8jP+L3w9y8bulsPQTWHq4h/D
kGKD5rIRUju0WevtTJdeVsyUMdFQHMpgR/WUH5oq4OJnsMCI2InW8D6Sf0FSM/7ZYTiegGPqwlIz
zX+gqM1GU08U+9qhQrSMb4LpElbArLPR38n23aBMMTnZS23bJa6zbnWN6Zs5isMfX90/M1D+LwbA
Fmo1QyAlEB61r8VX/2e0jSuNuPF64R/0WpboeSXxfYZmHjV/TXDncRiKX4nt31LZ/KKpghkC5F0a
mQlYD5ceELy/DFH+L7PkpPwvHGTLIarMsFC8QC51ljCWPzJ3xqSxKvx+YcL1BC9mcKiIfapujCJ0
z3jgeMiT5bgpqI8hfdBMOxOpucyPJKOEhkCWvrfVYFfae1xUAOcK78weSDCNs09G3z03JgImCHi3
A2Fc2Pf9/YYAgHoTWgNF6OROhFcVlBMeBd1cRRMuS9OTX2XlaaRxJzlaQ+kzUb/Zhf6hVa59Je+s
4B5AsVt747CfbPKStXnQjoGRf3q+O66lwKSw8uNt0zYHp0qvseAgN1QXyFDqpCUBoXnvR+T281Cu
+Wfn13o8P7hF7ZMB8ZuaFJAkLnZju3WCK79HEO3i47RJpv4UALy5W+wYGF7Z2BxWIM1O/O5NCQnH
Q3hKk9QjoRXygKjwwM/N4dEP+njndp29bdCXUf/Hppmf8Qcm/dGLOxTpRO/AZSqihCBt2k+7byi8
8Hjdmc6m8NOjGxrQYVSENBtzpWdHrWSaLkLvo1VfSB6OsJueMsue9mMLY2kOenauOMCWp0IV1EjS
LgVq99bd49Xh76sp+sghzmJtZm9Rjn06xGwVXnBbKZmwZN8d++oufsjT6m1wMgKTesg0ceEh+eza
m6SZoCDTuIy9h0THmtaWKFsat/4cZHLfaCFqrW6mH5VyJ2rzFlrhgSSSAJqa9UCGGuRzIz72XRjv
g57peok4GvPIHy6BnxiBIA3VRsI0yrF6sw2KG+fWmJ2XwJk15A/CxKfbf/JGaMAl0mpaP/2uHduL
k6QfhkQV1EINANyZUcIITPj1AQZC7jwb5UNkZEhK8ym6ifU3CLYIe2lTyVGDF0aDgA/eXiTDx1iQ
VK5GmE2DDDVnfglgkaY7x+3YH/ORQGsDskLQiVuZIZFP65CzYgr39IkUsJn9ewoMmtcYjUQBmMNg
Sq4TY/JhV1E0G7ZNi91hQYMzQbsTUeBsYlla1zn0SysZUI9UDcbKBhgjirErwE0L7hbRp5rFjaT6
prhRd4Ht/7zJCLXZVHFU0onwhGZVb1OUzlv8JVo+zfDGDhoL/48S50D1UB+QgICOkp+Xm7bLfxie
mf7xkuVxshH++o3v310e+/5xuVdb44zfNuHLTYTjqYkz7pp5yFPgh/Z2eQzjYRyp1LPSnEENp/TJ
DHNj3rbKGWuIEEGevl9oDDETMuYJm+Xp5abwjHBeL3c5ZbDK4iPFGUTDkX75xa8Hv26XV0XYBCBp
E/Lrl2r1h77fbrYh6yA8V4f0x5FMuh4e/MnYtg10blkZ8dcRfh8bMcmuYqKqQ1genZaDX97eWR5d
7mJkwuGyhCjzDtijhBfjXuJ9dIKhVqNxemqB8TYkE+G7kosngLS1roPq1IaBi0+Nf9v4OjEWSBSn
oIZGWA+4cWIZJ5v3rLvBADb+advmOc/sK0IA+zuVfy1F99nibVVi7LL2LOS3fhm223TqsoOYka9x
XZASz8IOIyJwL2ldH3w9uJeabW4tgnRpmuP7WCA7sQVWvbqHsXfLKN0lqYdE2DTF2xQV08puagm7
LMWxKCjtvUHkXZhP/jnPXwzdvR5LJZ8ESVixfg/KsvyjxfxeJSMdchENqMrqcR1ZsZIaGA9eTtNT
9NBWYKswR02PEk+wR1MUe19rfhO5sp0jSXedD+M6g6bF8lzd5TOD69EHpC1DSYkt8EXIPMZPujNp
q2hCvjPNKRYBELLbCNe4QW+2AJE6lqoZYDwuD3U0YdYQZSbL73yDncZHxfX7XHU3ZJ0Um4gQ6V37
njiBfbYjGydcO483Zjgyx2zVpqUMY2xJhDSTThcD0V3FGFkniYY5/MorIf4lxfhjshFGC4gDu16D
iccGx9DFunXm4DAgRYQ4b1m7qHuvh+xDzvNbTy9o0ePd4+9dHUyc98iRQSA2RCX+ewDnImgw/Ozi
4iQ/qfcAlFrc9NqKBDd47Osq6V+bUbXYdUdz7gDC2ninrfTaPIVJx2KsX40NV1htJeu+DQqofQY7
aQYxwY4r3EwVjZJ4lfTW1TFFMwGmVmUZAir0V1llnKy6ejeUIcEUuNuyuqnG8FfkkVtlOnF4dGD9
Z1gNOOhZn+zuNe8jk1BiqKbwOccDIvkHoxP1vqdtE0bEPNGw38ys+rBHPBDKqKpwKZCIE1VUUFGe
DHu8Tl05Y48wX2ZNxQcDDFkmLeCA/d5aj31YQZwBZiV2jSOORmwxazHPeHjvKTEO+qzLDSf2jW2G
E0mm1JsS9c/BRPZimifyjjGkndCZNW2i3RZUM4RKfsxwh8EkQB9if8aBZniJgHPxjsZwMAjv0ij7
zSV+7C0SqBP82mimz3OdbRInR0XA8D8s6kebvCe6dzLf3LG9z/BBozk1X+seXUCYZ3jruMSHu+Ev
Ab/VpullRItdklfexJgf8U0UJ8GMKINYk3iVu+7ha8OXCm71EOtga77vbXE/Zf2vwRfEJ7jjeAr9
eId9iIPNI740xhGHEeiGY4GCiPGiHYz3tSGJKK2wbtFm8elhp78KzNNYCBKYnMzb9iX2UJn+Mlbw
akOv/C3zhPh6p2oZpTEXA80lIix6GDwl0+h7sSE/1rm2RXkzxg00UwvKQTd6WyPotNV4JMf5yszc
W9epbhvbwPxGwx9iSp5xJL3WpfOzTliaCG4FaLqq3B45yzDdjkhdVsHk3vl1s7WM/rGAfcXpEUqW
SUhxrobI1Udm44ehWIdw+kZ87eGy4XFmFeahdPqnWO+xSIWNEAssQhivYoSBJXZOaEElorMNf9AJ
Noguo0M4Tme7HYOVpSn7KCb2c9+d6vnenEOc4M0hQKFZvpQCQL2Txs9YJSwMUjw688mNkLtHfnit
6+njFEMpG3UiXwE5/B9aaF8lsr5YlLRhjETbw5zHj6czRLT3fMieipKJhY7e/TR1MIptglQg0nsp
DqIpA4V8GrNLWtliG0GxXi/PLI99PW2kNrWUogzjzoT9kH5Ie/PX8iq/RBBa4gu0ntj+LxpFzB5A
AWWA6TJvAUjZxUmWX+bcm87mCEU4xCjOLC2yt7RsmzIBg/KD9hChNsb+dcnVaDLGcyp07DqQAZwf
rKld/dM59Lg0nkUAISGM8vta+kfk5c61aE3nelA8imJGDex0BDqWqbm2Z7Y0VCRkv2mPkePwL1RH
Arls3tqNj5mK7fDx9Xqy9QRhavXcY8RnWXxOn0E75zcoyLkZSbRn5PE6hAgYzMQj/aCYkKa4o3/d
OZO4BpnAXFNcFzgUtmaL0RiRGKY3YCyAV5JWMmVDNk6L5J/jdnSPmV7cNlFE0kYur3NGbhC0O9wa
kmirCxSrmn2TOGK8mtvgBuWAYNNrsVTDEcHx0/T6TY/BUsy5OOqFfTSLvrsaLCKbB6O5BKN+Z6Um
LglZk53LKduErtbwuyDt+E/G+zLL4l2QhqABmNitp8aACVD12IRY/XEiyCrIooLcS/vUyco7tlXZ
XZJmyPFUJqjSTy5NHGJwNFVvYL9XWBLihRAPCblp873fDdNFji5WyE51FWTJZ2hzjF6yFw2Ot27G
mZXMVnEZrOQaf3lVgltPVc66T/7OwTCrTdE6z2j0cMtEykzvN/UXs9aPfaIf2Jemq9DNb9LE8I85
tfBaWjm8dNIP2fu1bWVMEwTlojp50O+xTxouqbrBq+FjcBu5yxgHAoP9TL0JGfUhHqAqYaiHl4mT
TACsfntxRfTmBeNwiHw3OTs1vO5UL4++OYMyjLeW92ZHG06L4Wq56dU99GQoAJa7TWfMxOaqR0XQ
uWxSdHRhdVXKkg9E3YtDmynt98/Lg7KsS8WI4flweZ5G/q/X/9MHG+ltEgGtOidXk+gdPm27mSpi
ybgXmTjU/rc/Li+p1euWe9+/u/za94/Lve+3ImWCtSqtCmoy/tDyBqzflta6R1/TsbvS8bxa7n3f
/LePucixKRr/ye9VLPyRXSAgQunz9YrlZY4ZV1C01G8sN1mVNV/3vt7r+09Fpvf3V8rwlPk9AkWE
groTf73+j+cxufQM1Lm8aUJe719HtPy8vF/XdS+1C5uHUqnV14X6mwkpUSAa6m7aN0dwgR/pjDm9
6cc3yAhSCk+RPtlWtm+ZUd8MWgNJK5matUmLd4yDpl3nsFVBN10fD+q03SYBZI84uItGZs/1zFnd
pXhv2hkOSLIgerNzsMhps2ZXuT5hosTm7rSwgbSifuyh6eB/DagCbjjuhnKQZ6MhF1y35H4WtNKp
ReqiTAer3CAzIZa+NtA2ueLs4Cc26/WDM0EXk/Gh6+v0HIdRei7DOlzrgj0MKsN6Hho0yLV+E0Pu
bimLJlR8HN4q0M1wN3kHp52L89Rf/aARn8/of2cECdxzsdbeaYXHTqt+NNRNLvCxpXg4NmiZv14W
zAaiWVLnd4mBTUcu9lXJkczWc4S/53UcYfg2T/QEDQHNUCx96Ic4gehtgMTMNq96QOJzq24MZhdN
HKj4XDI6wwHFUHqRmnZt0qlcBXklTmZwm7Kx8RnxhrTzbC9zMZ5ZTcczbgCMrS2HdZlX1IE2nBMN
QGhKAhR0qc0cyCkz2vSUCcMY/XTMuryesQegdsPq2JP575B86x1kLbiQTXVwQ3kCsLFOWo8Qv6Iz
nPF4WRVenO3tMXr1q5HYgDj6VXt2tA/cQj/rqavjZ8295UYMk372LH1em6mKG7WwG6GgEnwF/ZyY
BUgULy0nL98xmSHX0/WsU5XlNs4UxgF80dlMhvPbo50/O1ZdX0HH22rqJyQL3DDY2ATSBmr5j8dC
h9HKCMW4H+7LnKo3njN5Xk6s5R54OPGc6HFXnWESB2+2527oSDTMZnH2BujSSRw/zR4+ZhsIp4ll
nB311PK8PZTi7LaHOoQnE5r8U3Aa2gY4Lx2tko5yKpDC6mO9chAEUWq5/tnUM1AudY9kG9QYIsLi
OyuvIzTnbdQcIugqKqFLy7f4Cj7h1XtVqzxasxqQMiZ9crbNNDlDTnmuxd6TML2XRwNtqjc2FDAE
wW58dv7jlcvLlxvHPcV294jlDgzECeGRwNJrIyd2YlQj+jnMZAsVmM+wVSf9cgNvolhjTViyt5Y0
glZ8msPhrxsNr3ekrOrnr7uaFk+qa8/RGM0/lyewFIyR/3Tdf3rh8tTybsvzy4+OHqFzS4Tx9We+
n/j+q8tj3z96bUXsb0fJ+/3Y9x8tRQN1vXsiVgyzyjqMkj8OvQxsWgDp7f44vu+/+H14eE9x5GnP
5AwWh7Venhk44TwZ6/vv133/2e9D+YejXV7yD4exvHh5Xd9Gv9Ouuq5jP9sHMtXZd2GiWmXykHTO
2UX0AjeScFqJteltwcD5IErxq0ildgHwzdcBk58tVXq0TtzQuvZCAoecZr74hXcS+vhbV4KROfG4
Gmqrg7WTGldFappnho+3SH/sA1V9OLXzTRA/NY6+T5lZbM06+W1S525dfBZYpOh0ce/H55arUwbM
Y5FKYrFgNeGLm++jInVWKKzd7TCM85WMTH0PoM8ZbBp7qLjPfj7p13aX/sIor9oz3aAdFWO05kec
vIm+XTkN5aDlxe5OM26DeQqusdl/yfTJfcLBr2zDXVmPxo0T4d2IdFyr+7u8Z51t26hbTzRP69nt
a7JykudQU8ZTwzyc8YNZGEW/O9n8TkAxj2rSse1j2NntGF9a2T83vnubWbq90yS0pqQ5xcYTfZp1
SlG5z3xHW9ZzNDwFNBLNHYpT5Q4ozkLvQREr8ECZWIkyFwBgrDb+hObNnDGJs0tyAhpaJ0++YSna
rit9wJvYSu7NIrGYoEPhb4MavwId1LIcmptFzJUX7cA0eEQCAKl2hoyBjBr3v6p5aXXL2MmJxmKW
YheVv+bYCh7AJfcuaZk7TpLrYWD7L2R821cmUrJ6vNF6/0KGC+lJRimv0sMMTYIWTFt1rV3f6V67
rROY012v5QefAMiThXncEN1oOGzvY6JCCk/a59GdZhB1Eyl21pWX9iX2bWIi+gmTWy+6ahlfHose
87ouR/vC8MvahZoRr42ysG9kR7uEsp1oFuW11pfWvYEPbV63NqQe+3rQBuPa1/19XGbiKs3zcZP6
IUZD0fBh5nDjuBFb6uwJ2tvQbZmdYX3nzfPez9BrNn5HtAimm0cKkmLrhxoK4WHa6lhermNHM3Yh
gmTMbWbtrpxCZIdDd7RznFf7jgATlPkmMiIYGKGb3ODbRJ4CZxSTNjzeIpLWp6AjHKEfdmGqWdsu
Hd7o+lbkUc4E8VnmscrcY2IQurvgYf8L+v4L0NcEaMPl5/8TYxs1jfqvLKM/kd+/fu/v0K/7N0OX
hrHgq2C4NlYxw0fT/vu/aZ7xN5t8VGH8mWGrMF8dnx2IWPiNmf8Z8zXAgOFHmpLLyLHc/wnmawI7
/6OlEbnYAJ24tAjhSd36B0sjNJ4Qu8smOaZ9wSBjaF8QH108IGBY1rgaYIJE1GA/Y1mbuIc4yo/B
iEGn1ZJvBMFHrGSJpNOZbpNaKP/3+cbz2+KIx+5rqiCZwOg+xsyHJ4SrxFVCpgt5isNnD23o3Ezl
Teog3HCUpVaTx/oK35CJa2xi/LkNtf6CjF7H4iYxqcrmEY8bvXYwwQ4ZxLfiEyRkJpYyOGFYi23Y
LXvwvNXL5iWrApCuDknZFMPgxNEg7H5jdBOuW1c+2MoOYuHgCZbYjT+niLX8+ZDBchu7Ui2CNSEh
rEsHtCneDUkJEOW1PN/FLJMeiZwXKFbJ7Whh04iHV7OPRvCbOdWJu8iC31oNpVhmrUAiLKJDW/nP
oYiji1f04QVlR7RpDT3aOKM/nWMoinhxQDjJouwoMyEjxNQlA/NY0wAfS4F6EZ8lRt5kX0cOB1c1
/4+9M1tyU1m77ROxA0hIklsJ1FWpOpfLzQ3hFkj6vnn6fyD/Z9trnRV7x7k/F3ZUo5JUKgSZ85tz
zATeY3JSpErRyvP+Sn3fdfExY7IGuy4gjU9VVh+LKJ2e8oQhqfQA5+kse6fMr/NYncekHH+0hO7W
Lvo0gUncuu9myi6jAVBmYwUYg5s0XQ9TBaswnWl/yKT9VkbKCWxrebXqkkBK13JHFZqzsYEkozGi
DWm8U1xzn9ZbtEoky7Gas+q8NowbVyOHiYfK3nLH9EigilUtXX4s7LZbL1tlRYXhYE4RW/M7FQHb
uTnuTO5QFw1qoEmsdMLhib1dV5iBkNeXNoPeYrdw7fglTWFd8MEnd56KwS6wmBm3hR8jNn1nbgvE
23/wx7M/Pr1993a723f/6dPbN6JtrYXN6f72mbGtw0CEUg5wW5z97TFu91ffvnP7kOW+f2hY7t1+
+Pbf7Wk4t2XhOnxotnXi72dxu8XtPt1tZRlta8zfX/t9u98Pe/va7VM6/6xQbevY20/8/sbt01hv
y+Xbh388v1+3ZLnsbuvmOM4QcH/f8I8Pbze8PczKUpxuE5pYbNb7yW3tvv3XWXYf5Kvq93LbaE0x
2G9nW+OP22rf3db9Ip5fy+Je3rYH//7PWBzkoW1fIY2m2uO7bAOIkZi+J0jplPJ5zfTp9jO3rw6K
PZVQ9hqOsXNxp+5Da+ZViEcKhVLopjuBsk6M5goYpgwTf5vibtueqJ+MbVdr3IukUKRHIOH2TEvv
cm++TP60nlsgJ2HfIGxl4JJN6yRv27Btfw9Mkw0Z4eR7h6y1LWqGwvkHMpjsgrZv2b3NErYbYZcb
WAkMl5da2vFh3HaGcSyd+9tH/bbx7BaAubhtCS2hynBgrbZ27+PSAN1o8hr+/pqXEFUZkFTm7RZL
G31rAVIGeSZObPWgWmyb02RC77KSDLLy9rqvcyIoWapVi7ueoK0+RJpMaN25K9QHNsS3W93+M2Vu
/fpUKOb79ZR9tCWE5kXnX4h8MuspmJiSG2ev7Q0ne9sPdzb/FrM5FQnhe4tgZcRWHTg1FYVYXQ90
ANRXpvBvZd3LI8604tA1fkkfZgGbd6CNAq1tvvdQi+8XnWBpLqpX+mbne0p6ZyqBCabWVuujV3IL
u32axhVyP2f6C+j4h+Qp3ZQII+ohC45AimeAhMlSJvd6+48kjrh0BIfN2aXoRBiB6gQ0Fo87pEAS
Y0qaVVfiN1IAF1qjozkB1W87tz1M267TWJBPgLSu950u6DOpo0uyKSq3r68TEWGq7NFhtpvp7aC/
ffS1cS7CV+g2+XkyVHJIYQ7wcvAnKP0J5yq1jo+lY47nuof7YaoWeNuIwWUTiSKfZxKvhj6NmPXB
9Y60WmebTACm1DovxXRyqp5JputnEPNrNuLCiN1jLdy324HVCuKnctMAqCvJr82mc60drpLOQQa6
feoYXXdYHLJvo7kU1x5QbwDzbGCyBTcfj/8uRTTLEc/aTUUjrU5t16asZZvGJja1bdh0t3lT4IZN
i/MQ5apNnUs3nU4g2NkS54u9dWHNt1IpAhtA1TYPgbN9cYn0xC5xGg8YeTDZ9hjXkWC4zdT11eX2
0a8v/v789oParBiC3b7/t5vfPrX581B9NDzeHtqzCfjWjAP2f/uBP+7614egtt53lIIdqt/P5PZ4
t4dfi4KnB/EbhI2k5PGPJ/HH7VvwJ3s7LmNsuBYWFHJGiLfbf+omx/7702yTkf/2tdvthtFJ8OIm
ea6ONpy0fRuxByxj70EMTWgs9G5WkeYNJ782Zfy1j6gdNwusNnhsrLkd4fBo0v10Gh71+tElZsG+
PT+TM+QNRJ/nHrnFxgbmHLEm0gETZV5Qz7B/RhuppsfdBrmyhhORL4x/rA+G354ZueK0Y2wKUZki
Yismal4ztSxP7Hleemuad5hY+Z2N5NGoQ4uyI9BiIg3qyhqAs6Ke0jwTyriw9o6q2ONaq8bf6t7T
1tCfqIXrvKgKLOvia8z766Sacw5d13RGyTyXu68k1Fxcw6Eb2x+nUldUBAN1pa2paAvz6tn0CzR9
92rRy1pGH+AXbMgz2Z8khdYBtD7Sk6t60BUqKGTvfVIYn4u6GLeGRJgyszpREmwHnWtBjILAG6gx
He6HgkstJ8Kdaco4sCpszhrnRYsXuBw7/wzgqqPuZ023EMQ56xPALZObhgiPkLdEvLeZ1gY2xeeM
/HArVkrQbkPzr2OaFEs0HZ59PF471fWMiX326WRWPuQWKzB6Q5idCe/Z4O/QpjB/YEygMWQx7m+3
Y5yWQNWlivJLjU6eLe4R0zIOY/E9dauEWQyR0VkjPtbXBYvVkZqBjwwQo0BGW7cMO9VsIXoV5UUL
vDrLsUkA2DTG7LWmjQEgq66RQuXneB1j6pVaKAYcnqzF5NPiEmcDSPG5fPOGnAabvD5ORtVtXryP
nWQw788ezjOzpVmPQV4P4LqWmCd8BsRqIkhmb/Xt8RwfCUQRAMBGbZs6Cfyrp6an2qtRNSCqnq2F
oMeUncaJ4qdcuw5i4Id1jX4kA6p41TWBh5feTAd59ldx2rIN17aMScjcWeuYX3sOxz71zWCafDYN
OXPhCp9E7tYXp8KeQesx1EKkmuqn57RoNtFg3i0JNy+/VGWUBp1JYaBLbGEpoDhreW/WQ3ItzZwM
Nq+gkPO+L1Gc/ZQMnWjRtcDiOBTVULUoPhNFXJ4lgdY2ydprOnEsKYlb0ydr4vYcoKqmTsAY3xXD
BaK3tcPey/IZLPvOjYhxSWc7J/vvfXSjsHFmgG7IxSoS+TGldloIbmi6ilI9XUCC4KQTZPF8n02e
wPnjHxPyWdpXB4tCK6vx3hzgQBRBxqexNcVpmGxKdmV68Sr6mZn8x0vZ0OV9ae0+DyurevQWnqNL
n0Pp4v1TuAELBLbTIKYTvS6DiFhl5w70ePOE02l5893+vRTpl1liWYKXSNGHtAWy3QN1GXJn9JxW
3DRjBaKotAHZYwTL4nrEe/338zZTybo+GGsGB3ELnppOTQmFy18386I9Ae/G3hgV7AG7OHbudPYo
N8p2kxATSzFc7GsQY+Sfmeuk1Cn58ccI4sF56uaPE51WoZqI06Seut/aelRfPrqmMsM+75PAmnr7
JGdieXPS5nA3erJy2g6Kheet607s3aZI8VrSTKQT8+DG2Zube0ZoJ0Sy7Dox9rbP6zMsFI8KbRyp
V0/h4FG7nSqGG4hP122Jk8fTXrp5jtEih+zSd/KSygS0Sgzs0ETKGmrjusIMjDjtZwb4/76ivYnS
9wgv+V01jGGdEyZMwMTsx8U1AzzkjClj9WSwki9nj/AaCBaSfdJQ/snlHGJoO2UhReeYZbKUh81w
qaHyQL39aYNmOaU4RAn2xahgoKEO5aAfrbHP2YTz0qKSll1eHCg5o2eDv4Z2oVxgc/keuwzbv6ot
5eTMG3A7nT+zY6XvZURfK1fOVSqpIHMDrTmtgH82TCdHsBivracZ1xV0/zmSe+1MWOcDsV5fjufe
XxFGM4IOq/epHFsSeQ5TCdB8GRMTmiH7Rn+0kOjCPIInwPppjUlzUTmUhAZTPE7sG4lZoZExnMGq
5XyPhwvdoNG7jhd9Fz8x84rukEMJpcTOTwwj1HUi1Z4EpQ4gTi6cqaZk53/Ca3Ju84RtuuF8to1W
X/ATskEGj5Q3nzYTG1PD/medovAWvNA7zqsw+rbtaGJP18RIwKLn6WuLA4kKElig46R3qVl8gzkH
gwOV2mrLgURkoU9Y//aVwsWm3ecYAhVTh4CZYntcxiGofNw2w9KWZD2I0Fql+cBRcC9U8Wim6qWc
smtsvsTTcDW3GTJjtASbCx18JTT5ynQ+xXb+Nrn8GSSNTv6cBjqP39x1xCFBHgpP4EvNQKJxcTiW
bl3BqaFqMlNAeCzalz2c2EspPzvFgB929E8a6DY1Q99sXVUk8qZ+7zfpHQ1NcGUIsARjhXmNEoRB
PnUdDRmb2avVZOOcxaoPT7WipUI18h157ues5O1nJJC6s7L7npeY6dLcOfaz+02uiYmn8QdVdThS
Yx84Jr1MK7shSiOOorFOeCo+tpqFhVqeJpu55FzEX0pC4XuAGeOuSGKWyOu+6olf1c6Bl51yTIiS
AfbnH1PjfJKUUUDq4TSu6ygLV83No+gur9C1GD3zRzQ8WrxAUHNh3JzdnHZrt/rSF9jUKzmkqOzJ
J482ZkDczCBmhC1blK+0OLc6fl8X5CDXGjKkswyHQaqPq6ytU5UYJxwPj1XF35X2wv02ZMRHOX/u
QartCrXoU9fv+mR+SRtaXuLym8Sm3IJgbGru1TgtZknmB4y22xucE8fqQmrqYVQ6PXfJCJgrowqp
cZb1YaRd4ka7LtFoSjN7WabyM0McfUr7OljGpT32S+uixMXvlSbSfVty2ZmCWd9ygbY0u9N82/uu
rt8ciJVdvCY+OpY6lJN7Ff7IXKYxqoPv0lMjKRuDh38gW835w2zJlmK6abv1Q7VBBMgb8BqZ3T7v
a/+R7ADEAlfcjV52SkVGqHiCYN+0/nqcxwhvehs9+fn8iAXbhd95mAsIDTQAOge1whAuiuTDMMQO
5dbOu3Iw35aEAaRK2MLr4WrllbiLxcUVjDc+ZxmjD1+2vMwtuWRH3dnzVN7NNn7GxWk++h4X1cL1
fhh99SO2OW1GEjxsnZCLTLpKh0mBzzCPHpg6TI9LgdRhbD3OlcPuM1Hp2VFnGEPqRNCWZYTS61a1
2N+3z9S4mEGaaivIVbU+Davz0DcTychGLfgiV3nX1Mn7kzCrz7UMYwhzZ2OCeOPEjOALH6dsu23Z
PfdYbZUZBfz4PdfJiPV1dLI9BwuTEEFGyWRXtPJdOjg/7cIcdxjvXE5sy0wMJYVqp83unnVdlVlf
ExZNQzRnITkOuAONB4KNTemBFoJ5vQ4QMBre/Rc8yugO/OqLno/T4JG29lld2wVYhLVjPS0AxMBH
Ua57qdZ2DsuCkhlsWFfTiN+XFbYQGl/hFPs073qy+GS4y7t+7FKutI0Zuj45P2HJs+zgzx6czP7G
7MoIXHtNz72w3wCb4txb/MBqcUW65mO+VZwtVslVd8AVNXBRBOPWx/XDiP9p7xktC2u3ckJRN/e2
wseuARvHqx8sMxWaE61oDKw1x2HzNNrJi+k7RaC0zeVq7gHU3UurHC/MgoZ9N2+2e5ijDHIIw/pU
RsSFz+YFPHVkEMdDKv3QRV1o9fj9M5cdDo3YD+C8Keqp8agWoK1WgExZ7D65jn/nFv3VSng6LKqu
vE4OXrNHO3Hsg+wVJZydG8xV91ZD7c9q560RFFXmvY+X08hecgvHQ1IvbpiHVjpBq/6cTwnYZS8f
A/ryAJ77EdLGcZmnl1RH6lQb2BhV492tg5YBfqhCX+giWDL7YAqaiQbPZppnsY+RLa1OMDIehqF8
yLt5Djc2fl0v7OaAFJ46VP7kMGFH9Alc0QJSJGEtwP6X1MeNSSZYSuMf9g37ey0ND/x8Qi0h4j8e
k6OPG21f1Od25u68pL4zQEiciogAauz6byPa9QeZMI+dhVrhB4CQKMvvIn83NNmCf5IccK+yl9Su
0xDznKIzJHeCOv6xsb1paRqmXTnsB13P2MUL7Lm1YvPV5mk4WWXJX7EsDlWZnuaCi6JkjouaiITV
n4hsFwwYwX9mrImdwqGpQDJzHHDYRt3NYSsuUTPirE5IzTvRY+w510yr8cCR7J6jeXol0fvUqk7t
o8WA8eUbr54fd4E0KzbT3Xnr8vIhWzhUOlKYd1qT5U5VSb8bnajg0mrfY1bxoLk6jIm71mIHbbss
85FIY7V6R7aVZ6ePf0bmmOMq8gLO5CkG9AFivMdyw1n9C+5fvEuSczDDyzGEs0V618fBMlSU7nZU
xHUJm55C29ZdMbZnZg2MKbagXOzRBt1jdV/0qyVFySW8f5nBsYfxiCWnGyRaHEG/Hc919FQZdBGX
98G7jENXHjwYmAe3xEyWc0BZoj55Nl3ise8uGPGdIlwm+I4tPRFE6KP96K82gXNqS8FsYtR0f3g0
ot/VU/wp1SdASXi4cEgdksH93NMMZRr5yBYDEg2u0i9LXMNEygfWwd5WErk8+OjN+7jTVPDA5DGd
3N/zirG1EZIawek0zvK1jUojsAZAJHVvwpHn1F+bxac4nlmqlOotjtqB17hErfGNZi8GNs9mSafe
UDfHuEuea2s9s35jeGSaYEmbzwLJ2ure2pwErjMAPF6JuvEn+pgtpIXj1vgK5I9F9izQvbG/syPx
SEuqovFejJweS9T3S1/ONTLgEiFDOD/8NX4Dm0QBXDJDtTOozrXF9KWqu+KQmPoN+FWMRflKrKx6
SnNczytr87Bs30rsxlxPEHI8Iz/0TnNwc5Prx1xau6wAydmsDK7HqXgVcYSpmlpPOCTlh06gAa8w
DtZs/c5WcHWhVpYMjeolf074i6Fxa67zT2JiCd2baBAz1tTBl89OAxcC0N9YjK+tMXmhJxl5WH29
0szmgDuKx1B8oYq9OBqNJEOWsiFdhcRxt6SvOTuzs+X4L8NqX0pvPqbKvrYU3x6Z/9Ws5Nmrpm+I
RsWB4eQbqmi1c5z+pd/epOiRlHvmxr7MncvUx+ndBGnh6zq226HmUK46LYzpROTTLgEmZDBg5CbO
EWL3SQHLhLHpLVtjX0GNn2cdTY90tHbeJhmT84IXAYJq/UnKqAt7w+GNTzN1Q5JwPIpkeocji0T4
/N1dB9jfC2lK1XyMZrzqZQUKNaFshGG//7MYvPlQN+7nVeTWicsmHMa8W2A+j48cFn1YLOCblYCS
kBYxhcfb1RGO2pPJYHbn0w7dxfetqum+o5QuJROzG2oLKTp7Nk3ndcpnDq+uK9DsvQ+NDZVLOyVV
l1bomTF74PWr5VQWheftXdL6dLG4bBXj1rEBoWLecqS+h8FJV9fMTmeqHmsOEd7Xvkc7XJygHucf
WyHqMKktQQUr/APLJnCCxmLABPD9ExYLuE5FdIm95Sxaj6W1GejY+Y6Z7LXNh8fcsN1dlc1fShBn
O2uhvVYKmr367oo8GRhxl58Mmlu6r7qhXo+8IniNMiTbBjUzHXBbmZ15lvN31pj6nSeZNrrDeLeq
6ox7EhWw9tmUT1RT6zBzXTZtKdmYGBVs12MX3aaiP9Zx3W0x3gfbY0XedB3KS/lk+wyeE8egxrWd
eGqcsWs1qgdfVNbJ1fz6uSm+Z/FQHqw2/95njMCTZogCz6XOaxkiBlcsL+kiNTTJB2roc05ogbFh
5iU+ZwA9xQGAxdXEaHmuCLQY1qSOtYrJ0s47awv0+Rtg24DrqVIIoqAAODSa5f3SdwDqbSs/AJA+
92mjL86oA79wmEFVCpIXMLxdRWvXbiyt9N4xrp0emaq0xaOju/ulRDxsvaw6ekjHeOhQXzrxoYom
N6SJiPmDbB9Slq/Unt85A26i3piejNSi3F6wIin77NkfNNfMqW3DYerJDBUGHZXWtCNz3h8ry3/q
c/MTyXPYVkmFVYaosJDvczhyu7zbtkda0RppDgHnp2Nhll/YWV1X82yvhnqcGv9hXuoIWdD43Ndo
YSNKwXFRhdiLvLsaMsHI6GsSQy4t3hUWl51bUuf+HVMU3qvpbHdcNzvhA/aDWDj6zrd0Q/sn1TuR
P03DYiKSG6xnyf6GdOB5ISyECDDVQv4IlcEwXpQ4EaRlH4oxlUVgESACoZubTwq19FjC2OWAwj5F
YPOaOvLV89qjq/rhSAFyG9QjadQmJZcxJGgD872MkDvHwaWlubaeS7XckYKj2Hr2xnOaz1dbUSpa
O0iPLnZFk4wEO0iW6HMa4q98xlr6hdmUvfPIFywzFimyLFaWokJPhENT82ub+PEL5+afUAsRUUBv
QkWzx0PORinEYZwSaX5Ki+p+c39lfQyAigx3FxnF2aLV50QhwhOTf/pzNFWmWsOWNSOJkJMjVI8N
pL2Y+lW4OR+Shhdt7TNe4GxQ4djPEiU9eWMlQhSMg9o2TerO8/S8dkiqi0ElR3eIOmf86C3yaJgj
PMHOyfeOBMa6mNWyn8Ht7KPWG44AttYLJFFkhDEejlzFkT+7+YvHkcBA4tSbycjx0eF3cPJ4TxLS
FZNFYKh6P2xzolvS85bPdG+hzN+f3z66ZTR/f+32I7+Snb+TnreP/nablCk2KLvU/BUq/RV1hbOa
Hwxlv/vjbn496j/epYIEvTOXzt6yz8xEb4/D1ZAh9O8H//WTni7v+orWDwa+7Cmj6DRmUP32twf6
/fx+3U/ZW/emb/qHP+62bYc79kzp8e/3fPv81w1vv2Kn3C8J0NfwdtcJ0hNP7N+h3d8PdXvhbp8m
dD9RyxItv/K3v19RTH34JwVlRS2FOiMxGtdHq0w1iGS7NYLElFWAuaZFvCOhM+YGO5eRK+Zsg2Vw
SCj2tmVB82dTzJr5+UEKaVK1YPtnLfRRmg7g3x4lbFmH9zlnON3bgWPF39jyx8TuMHZyiZ1CTTG9
SHF3Tj7je6j4Bvm7YF46VvNl+d4fmtMi8LO4+iUfv445reHuWtDuPGQPprmNTKD7kmD1SihY99C6
7ygg+raNMNoF2KYe6mst1i9ZVwJ5bdx7ahqOPl4SonK4pA/0VjyIYuZ8vxIPEzoGBDT2QKq5nkxF
9GQKTqjawyEg3JSjnoSZWmuy6wkLQJ/INqdIalD2a4VxXPuXtkmKMBUYmwkoDczid2WeXOcUqB1B
NgbdhX039cXXteXlrRhxiZrQEKXcKIbd+578KUEWxjU06Yw7kc9nLmwnAohHhDQ8+eD1BFreMhlA
KWxjH9vzPdacvUCzvXX90ZTRHmsiRyGBu4PbLZ+w5bBz6A+R6mIMXvrgzF0UpjBrWVrXb0UOLRlP
bDA2y3dwAj0bRCq1haAeaGuzYJHdF+G4fkxi+7XKWd7WnMkC7JSwjj4MJirovCY7aYW2bab71kjd
05QNUVha8GoVYWkWfnD9Cl8dG7Pm/rK7KEqtAOR7t3dECbiYUGwwgk/dDZ5lnfvphg4dPjbTRrVw
MjDHrCtkrfcMez6tuU1/eeExjmq/LkE85F8XLmohIQ5FanBrapYT2SPanRz3XYPE2cxtDKyBqXyx
lg+cxkIY6KTDe8PY0wrDk2/8i7lGz3VHoR4WuCqcO/k2iWo/q1ISX8/JciwHvsuYCTzvzh+qx371
37q1vrhZ/6WY06d1YWrpJAMN68AkXAt0UdR73uHmeZIbUPoP9+E/gEvszbD3l4ovV9ou3BLlCJZK
+Pr4/h98kCQin58OiFPLwtCloEDv4mVMFlIrf8pN3B1bnZBbNyI0ihIPcZ9EUBFQhYuhsuAynLvW
Bg1CscoQx8OdVRj+szNj10684jHjQKi87h2ngvi/PHHL/IcnLk0OB6FcIdH9//rEVzI0ckGjPTMI
zs6GdLFrIOftZo/J2aB7pEFNPX2aJ48Ut6WXRfjVf3sO//DioX9IYW1WSMUq76/PIW1SLeekoBFl
6JdH4o54aYlFs/Kz9v7qGaeKgohDxO7AaFgyDOZFPtJyVX/6z39E8Q/0GVA8ju9A41GgJf4Gwcmq
ZXFasuvnoY6WQ6Ja5zz0jOcJjgdTpz+Oa1wdq1y+Wipuriqz5lOK2DLWdBJHnXEdySTcs6CnLkxN
VwqpNqs0Zv7ESqbQibcguRLYnL34jg6BC/DB7lobdCrVHvNwOtyboMzpeahS64tU43iaq+aY+ZV3
f/sv3T7q8/Xjf/61/+HY9WxfONSTWspUnrf9ef44dgezV0k/JvFZWja89K6macLPFsLI3qF27X3i
rER0mom95QikxqYUYS6Z7+dUbjczPIV4PBXm5JwstxjPkZOkMAATfwdGcjzmhIFPAw2jQ1SJw+2Z
/3979H+1R3OE/vFH/r+gWNe0LH90Vf8XLJaNZMtP/R9ztP8vyqWE56KIovwCyPptjvb+ZQvlm1LB
+XEtzmz/5mI5/r8EpzjXc1xb+OTHeIv8LxfLEf8CJilc3wIg5YKScv9fPNI8zF9PTKZv0ftge2Q/
eH6mfTtx/XFUCjDrRe+UJi1T4DcgzxJPb8Vd5YyOCJdO9dGdrHvxI5oTZkk1a3TFGy8aEu8VWFUR
02wvJvc7PQyV8d6JZKPeprrtu5/x4uTVl9Vj8/Z91ApXll7xDK1iw33M9ZhmxBGV3DyzCD6awYHM
u3et6y12YLpd95ba5UgvVVcnw2lu4MGdkri1GMuofIy+uckwx1svEISAOhnzx8xQ+BUjukOYkVZG
z7THHObkfvD9hiBJmeJGMBWdlI/x0FB/LnMSBUd7AFiy4zfBt2wOefnZVMow6M+JMyrScldWMCtd
hgQYk5yUwZDRWz/sZYbQ2XUGUfo5ob1wxxu0lyygENHggQ6dxCRHqUjyOJSOPRvh1Od+1/FoeqHQ
JqH0BfK4zl3OQF7SZvGZ0jac5maXI7I3UwZ3iSYchqVR4rw4EzlCLVbcduTFIfiIxa6NQwsx+Cvl
xAPQPIeBBGODEZv1LveAmJwgqubFsVgTtuqgEv3oU1ng9D+YERfwXYcoRXdiai0Xf5qFDmBAulv3
trf4DHQSb3ovcCyJd9zQr7/LZE7ex/6UfzNZ+XTHLmu6LNBtWxMudAkAoDiJ/jNUaRZBwp+ih8Lv
KxSASLyWlssS23LLOGzwg6NilWal9jwsyqRjO8+lzLGIWiaGBghDFZUkXRN57wc8M9OhHOt+Zi9v
c8lOaFKBcmIvpnVpW35VFk8iywbIqADAQmfFP/iEjx63UioXSkhaiNEyWFDLml0EP4uLzZCsBFxT
YyyZwzWG+ul6SGQ7w8eUU+9mdFuwY5UPlMlLWw+9e0zjlPrQWOK5KmwI83unrldVB6UcvR5IWMei
emRqpY5aTeTKwTKRXYnMrogf4npYbHIFXcFQxJYdU+6aahrQSrY+TuzOm2veY/24QpeavbfSNaiK
Whq8tpeIMwqEoCEmOpaFKS4dsm27gVXug5yGeWuD0qEEaHRBojE+Mg5Z3o2eEC8WtWQ4l1N332XO
9ARzJr7nHYA41Lvuo4VinPB75un33LGzV6yR03Eq7eTo2lP6tRlljMSI+7UwVX2qOicKfVWUR7ve
2GN0S8KGlaDrII+2YZL34g6XESbkmAQ1cDjxaGSrEfipMb/mJNKOE6nHu8JrPNjWJvZ+hi2gNT2J
IOkU5xZK7jvZxFHQ9kC7Cm3pEwwr+4ylx30zqUSl29NP3YduFT+cYlq+DPj/yeeOznM1TNEztll7
X1pW+VyXY8zr0SU4HsbuWW09nWNu1efBTMW7JDPZXBHyoyqJvVgoAVccu3myPhaAYk94erOzXHir
EMjDwO2n1SljdkxFDHTzU5fG2QnT4BK2hozvY7rlFBh8i+0ZZ8jHdtXl53J2dNgMfvwkZesdBzKG
oed6/SEtU8wSy9yeWHt2J2eoy2ef0XCQen17BSaHW8EgrEUZgPvEIMX4YqcUIzRDVb9RLtg/qUEP
h7Y0lgNxkvFx1VgfpcawBcOKPSH9vKitPXZGN3GKh0wZZZBobf4sTF2+a4cClsOsWCdIi6vTbjCB
CjEQND6Y9dpde/KBdKwsixxxzWf1UyJy79kfmZEsy0xDlii8IGYmHhZUXYUaYh4J3BFVWZhjv1Fr
IQ1Z/fyyymY4yEhY+OIjChf6pV5OUQzp3c4n/5gV+FdU525t8A0wtHTwvP3kruU3IsGaI8TkdGsO
ybuxauVDS/jkoWoSImb8fU52WjOfKrL5bNcIMk6mwa4lQlyalLVhRlA9UODDrviCcq5WS3lUPVJ2
VPheUEau962dwNKDnkvvTaEXtCkIi54t8PgpJlsi9UGWekiKqmXDPi1Mr6MuX67JAAuQNb0+NOs8
H3vN6NivCM65it24LniPgRq0A3goNFgkjnfNi0W9AVzSx1lpl2jG3Fx7cCFHe53m54jt2wOvgccp
uQS8n01VRRyHtIyuLXmiOtQOwQXax6VtNvbwWh/MQqc0EjjJASpXeW7Q1gJLgp3wlprRLwCtS5JB
SE1ydzqQxSEBHXu48qrRwhszghsBAnJYhGfvuSCo48w7+uDEeMKbuiZv65gZAlhrf8fHBQtGgyms
PZcZpKqKozKTdF9n2gmMYu321JvOtJ3Sp6WZwTKjFE0oPNRquSzjOTEm91QWqM1CCOveMD2T5jbt
f4CiIt9ThGs/GpE3BFwwvePkI0wVfc9ggvlpwNubk2i/MPHtuVrULjikxhHqZ+KY8Z2VmiCiV6N9
URQk4g8crFAjfdKDYDUMsVfMAivFl8UCA76AtHWhHa4N9EhZsjIo2zCGYnxAJW2Pa0TVJdzZCPDQ
GB81NHRaOrwyLEwo2i4GXPyUImXDEcPKZtqjL2NXs31A6A4KSwxBkkL5m/1IBKJaORwQ8WEN5NN6
F1cSwwUOn7DxfMpjJAlJ15LredBTFMqV0bvX5zrwfN2Gs8U7g5zmctBF20FM9DmG07Yl26/LvcQA
ta+1OVB5UWwXEKKwsPfx68aUy8xw+IKpgKaYz/geMg1VfDe5vQ71yFyvJihyny7D8EJUHB8kAsBp
tSp57pe0PxguE66oWSPGKJxmUKCNTb90MS9EMygfORzXTI4+zqas+4Lq3wTAipxjSbUZUP55mLy9
gb/jeZR5fc6VgguDzNJ+qIeK5NO01g9OrqccQrADLBJxaaLYPfsf9s6ryW0ka9O/CB3wJmJjI5ae
rCqpVPK6QbQcvPf49fvkoVqsqenZmbnYu+8mIzMBgiAIIDPPeU3XhUSE7B41/yTKh0NsuKAZZmOe
EH3gIgEWbFa3fzcj4hEfmF+2sLDbenpgUM+J9RgxkziX1T/JocYcsGiyoVtBJWjBDIY1koEYWun3
g+fbX8H3ouVX/v8hiR5/VEoxt/tfann1raqXNoni/n//Y7O7tqMflVpT/ENjL6K7b4Yf7fL0A3YN
H+VAv/b8Tzf+ku79N+sbUpM+grv/mv55rqZ/WNr8+sCvpU2g/2E4LGYlGHOT+w1cOJ+mi40vRE7P
dFWY4ZfcL2sXyN2IA/PoBi6fs2/LGv0PLNsDx2c55NtwQ93/ZlljeAGHeh4p0gOwwjZaHhYZCZN5
zwuJW9DNmMZ5iX9prOzjDI+mb6GXd+BpB6WOR5b2g28uyT1aR/ddsnYY3YKKZvHxJ243eK83CwNs
jdBruo73tf8lbpbpbO1S9MXeJys67nX+c1mG5LQswffZ+9Lj1XNng04cFuR9vSwx31n6ukdw0Lqr
9fY+GRf91TC9D1s9OxdAzQ/DlL8jEWG9AYl6j6XbBaH68sJ0M+H516YjoM7gkk3+W1BY67btea1n
BUbBrX+PDgE2lOOMAkYWHaxBw80mtPtD1BL4qryCebSXnMvM6xib3I8gOPXXlYl+b877rk5xVnE8
Y5e6ISJltW29aUr3h+eCOQBq9yNxAEuvrXOfBP0MCqx738xrdGCeAO8hZPZoV5Z2Z9vLicTaZ7T0
8AwY2t04mfHWmcJjWBrz+0xlIy0bi7mh+Irk713FNCuq1uXNHJb6mQDr2bfyZusV2YrfK9PhcPEv
Rj/qmEOD/2UdeAYamKM2H4IqrV8jz1HiagYWBLDnCH/BwrXgrq29dedPhOd5Ete7FsqYnZ+XPtrN
jdHBZzwFscdcJYn3QUYglvXfV6Dc5j3mLvrew14G9B76XuNgHGesvea2/GK33XtcSpBSDJGOzWNE
UUPne8PQtkXRBQ2hGnVI9BERUhw9DM+mzD1X2WPP9O4yuNa0N9anoTCaS0eAh3XIBs/l9Jgn3p0V
M5sYdSUSDC62HzHTsu2fllXeWeEEtlVr79NZC+5DwnDuB6QVo+MaoDGIGxgJ8virPTXjrjV1kqmZ
ssZ2XoENg4zmqAGr+qFxeiwYGCwzcIVHPR0+l96Exfq6EM3GgsNgMnQmLXs3NXp57rwo36M/V7KG
RdAQfQmUDgB7jSPGA5WT7j3bRKs2Cr8bbjKdLNwPwH7hipUliyL5JmhCa94bh4n3dpzQ4HMiRBNQ
RfpS6vF8yu3+IYMWTeTb2SBv1Z8LrTo7XhTcraa7XxbAHlX4sSISGXXRGzc9WYj3GnELkZob7EgU
e+fU/icHrcs75UOMxCDqbWb9pm1H62GspvE+NX4C6cwBtbLudMqYpKkG6abDKruG/nDnGiAieeJm
1qo69Lp6ONdBW+4Qsvg4uHW8tTNcJ4n9QoOovmlz1+I9AqJm6acNmj0rXu1WfFG2SqAVX+lmeI/A
B0ijpEFRaFo+g1fG1gGy0FZztNdTYXs82v3Gx/MQTP258PUd3CdUi+3yoYA8vfHx7DuVgYvbIlgE
krkZwM3eOxhRuA1Yym77pXNOTt8cZi//yhLThmtAFjGZ8ugYpNmnXoXYvRHVNgeM1ZeEfDWwVCgF
sf/UTry4UDRzlbfAxvSTO4fsKR463DWsUDAfSk5TCpckhgNUmGa+1yt8Ksz1px2SxsqKuyghzRYA
CEwc/YfvEqqswAqaIYnucGlOc1p847wxR8i8c10lpIEgf+1xUd84XlXdrQqZPC0IdA9dfOyTz7Nr
oVTZQfUmZ7YbV38/6/H7gpf2xl1Atjt5NW1AziYgQupl+9RWNlYAML93jjtnr7SnqFEGbGXCxD9/
bXfw6gbHhfaMgm2OsMWeeFN5QFbCQXFpMM9dX6HEm7MWctPHtnPBj+XYZNlTRC7JbXaF428naASn
1H7tBi1z+MyAoFhFOujRDEw4XoyBmhv1xad6bTOQcU7DsjQhLUq+zG5gTJqQffJqXeGtfXciaAIz
lj0bE0Z2YWPhurjtFxftDEBy/MqmV16Oq/ex+DETPjlmZQsBF3RUphM0SqrlPkgsjKCT8ls1B3Ay
vexVxkwGNlmv7fSR9W84nJOYU64QUQLAXAWYVJsEiUynPgzaD8yl3UMyQ1NF4BVm8PQj86Zgu8wB
1Ej4WlBYSBGpXE0Ljh1zWCbGC8z8lGRJXhZfbVd7r+nhnTF1zC6dFegH6MBeGz82qMkiarZtjTS8
5K2BD3qATiuInrdBMT41Y+kc1tlq95btZPtxQOR0jke0aWbv7UL84+BXhPW8TjdfAz0fPyyWj1EY
3s/bDjoWyyyXOFRtLEcS78Ur3UOQ2DIRebQ7FiGRV3b7yl4fwwxiBBlRtMCQvJkdQFVrqhQZjKLi
Zm95NlJ0lFABx7rHCy4+HpubrCX3P6PMrRyeWwyCNXCuQWMeY7M/McM8Vclw1ha8WXDSWXdNN7ab
MsakNehSRKj7FVy8g4WGy+x3dAsT0t+AoRWCKIM/10iU5O/9BYc1bWze6zp2rz7wur03zg20Z4x7
Bt3kDjdBkfQr161dDVJvY4WyWLXw8g37w+RCnxrq+8KF9wMvoyWt2d27HY8JE/T09ZT3RzeyXkEz
mS6m1u2ET1+yBtibyWkM4X24hCL3c0COl5G9uQD+Ptr1jIZnXWkH38BEMp1cRuQVqnoVv0lQ2Nx1
drnLtKa58/riBMUBKGAypHu/9QJM0JOjBkURkz8oh01a92cHqh96suQEsafettCNIIL4D0Ntm6f2
rZaA22cZjpFBEr0LAcNiDbs2RzcEuj3F4E7bYWTIRRHbcY17B7glvK7UebDr0eavPzS1NisTIh3x
JwfubeXs3akd1VkWr7uEaUCAGroGeDHKtbd+Qu6EJAoAU6IwG+Ji+f3QIafRRNGOlTD4trmBHTIZ
+Kah8HTx8zwd3vbo43lRbZ6i1TMQvs4RXI2ixdkB2QUNHgMtFe3EofW/Ay7XdiMqSUpXUXqlZisB
Qw+Dao+k9T7vxrcz7rQXfwCK3lQe5L9Ag2VjuubWidNsW3CbXdza+pJigr1Jy5H1PlIXLS+xk97r
J0cflosUa85altTBn1kxdfvIGb9pK4uzLXOD6qJDz92buZ5gjVRXlwKw3il0NLgiRk3WFYKVlwQz
U9GsvEtNvz72nY96Oj7FICkzkCybzBlxb8z6rY502d7o+689c3Cy7fDj5CTnckJL3ySOREzLvswD
q+8Z6cwNifm2cA9h1OmXSGvfh1mfHdIhby6+49cXI+juiadGR2lFtY8c3ohsq8WNuCQDopWqRiL1
V02aUhQ2U646CU6DMbUXKbrftcW0tDOA3XYMk7vYnyskkZ6sUE/vGqj355H3STn4Bty+DIR76kb7
ykF2mlw6zgV2/SinC1fQP8ZZdHLXsLrAeflVWFOPtPSt7UYxMITQ/Xijb491lKPNpB77OWnHTcta
hrG1xbymLVt8BNDjs0eAaQilU+1sLm+mo/kr95tufFQRCfgCRXkZRwM/cKnmiunVrI2/k781Ay7J
VRygXl9L6QDn+Li6OoY75vw5Ih3APJNCareCyCRKXyYXxsb42EWDcLMiwIT50lgDk7NJzatCmtA5
fyAX0+xvXRm0WLzKBuZZJQhVuRaOXBa5Vqge3DtmEh7Md9DR1kvstARoVgiDPiFORikzvpOiU7XO
/9kMSk4aFgLjGRYcmQo9VWUzXmY0ZUjuuIi4e+PlVgRtNl303EP0JljfFyigXOoYM498UvdcwvPZ
aFgjaUN3kcIfvXavu92PXF8nIsxTsx7jzjsJrfym7Smkc2letT3xmbX3s9Z/Fk1SKTys/9ANgc3D
xJF33wDVFkHtdZNijXEhZ/MqbFti3/YKby/s2qfAmwjOqI2jetgttMS3fYMQONEzAHdDPvcbvYI5
Iu+Jm8ap1MCJIlchmqfomH9IfAQQ5U+R/0L+qDEDF+yW3tvOSoEChYjkXho3AIhuuEf5Z17cv92E
E1bdpTMqxX/d2F7AKmsMzmQ4wGbLjTwLqd/GLfPUMiF4KXYqVykg/4aDZTrEZ5YT10sgv1J+L5Jy
6+X2y3ltg+/EUKJYEDseWyxpwJVWuT9u4rm0T15vvDFYEZMCAdtqtsy9iRdv9NX+TGpj65sjmnl9
Sjy5eq+VQOZTH0S3ua4YX/hYl/Kv+B0WW/m0fGqzjBesj/N0WeYE7NvAAjTTZw+3Yg5aY+sZyV3n
LAho5gOhNbBqLXLqHk5fZuI8jbEf74bgQVmhmFH42Lqs3bSYgR6HiiiFoqaZLkFw+6nC+6qxD4yY
qOzZK+jFjMm7UWQH3Nwf5vEhLctvhmd8wFkYvJSWsfJTxib6hzSGeZr79adoLD+By0WLweIRMIr0
FdD2/ISt8BvYYk7VpIdpLu6TCBvDAnciphYYE3asPFtm7+i0dYcBVUquF9IxhMZOhM+Z+njju7Q2
6ztIjw89ubgTCszv0SuGNMFEVbczY6tniQf/gfE10vvz4Hvl0bCwU1/mx6Dw36VWoW8JRNz5X5XE
4X4pitOCItuTg1/3tPjjpbPth7z9Nptv/PWJvFVyQNENjmyR3cfO/JUFSbGFQ/9KGyIYpRBucPhm
te77DZGIotm4QCyIOeD46rdvEVHFBOBx8bPv4ZKsG/TfeIHm0Z8djAU8VMDd60N27zuzvwVTenLS
+slvz4Fa6plhuQW5gvtj1T+iWc88YbYwHy3yPQmjh6FqBmZ9I+DOD6GHZWwfuQ8Lk4y+bXkkjCXZ
dNj3MGfeeXX93s8Z6yzQTjoZyq2fAbrpq2IHsd3O/uyc8V3n+l9GLsIaw3sYJlg/5Hjftnl28Qv9
qcn7huiCta/b9VtmsqYeU7KCRJzf2KEHDd0Fc5sHJj5xyYdhRuR4NN8voeJlBTCMC+dH21rtbrCa
82DG3mbphseiHvegjFd7vuuD9MgD/7NLsE4I+iDeAWnFu8S5b9J838EuqkglbI0m8fap43Eh9e6p
qDV4ICczXTF865Ovq5k9pcFiIZbqPuQLHgOI5d974ayczC99sdxl9nBAeyiCmzN/KwfjVVy079fW
e5sZwefAHcBn8xytUPPPupVho9D4j3ldHFECeAVZecIluj227vCpqoonznJjjMD+IiMFlhez8MIt
9TBbcDgXHQt1Et+kTVm5e8kKgnznRdPjnNtMHLM9Mt0jaDlrdL0DELyNhYfGlqSxt0V45zGZu0/r
El48B7xm2HWf2oiI8oRmW0/CdFv4ONysbYRM+pyNdyYgpmO5apCVs2AH65ih4Ax7/wfSCR5wPyQZ
4mb8UzcHXn5IDDgmxLZ+5XXgDtj4QVF/HDoffhNgz6zNoaoyV9by5M4tjXedX45bv5ly8me47pmt
v7XaseXrPYCbhOXaYpwwg+kW5IQjnBxwE+jsft62k94cfVBUQ1r+zKH0bke3/uQjZ7utxwDhAeNH
vwQd4O7xFWrx+ESQhccNG3u9oYarEI0Neh4x5sPJ05JBqiJfkeCLfLQycKN1EQcnPQMD4HnaJZ0a
7V43o/tYL2OsN/T0sUa1ZhtAFO0c7ymA7Q+l2Rx3nmVs7Hz2Duni/mRmESGyNDbwTR49MzIucwFP
J3nDuhidZRs+fVAws3aHn9ZAOixoCEi01p8zLKPj2uqfyySt9utq38GzMwD545/gxx13+Xc7RwN+
TXGH8EGSZuhazOhPJpb/4NRYqYUFD/LqmgeMvDZByrFrHcSiF5bvk2R57EqisUVmjUe9t40LE9gP
jBodtxSBwAUZPUjgZ83DjGrQn4J0/QqYpnwwHQfOiKe5r/rcea0jWcXLuUkgoTibth8BI4/RuYgJ
C/SFtQlD/2eaojLDMoS0uJYMu9RLcjjuxj526k8dEet7Xmu7ZObfdKL2J2GP5dDO9c6ys/qEzvtb
0AnDpcSZKs7RT7dChs+i/RETRQGv8dPHUmanlfe+jrAQyrJvknjE75scCYY8+n3fDq/RR/3OEHPf
8SI7FEzv3aT/NIz+D4Z07FLnJcYYBx38Qj+n6ffMwTphWqEEujBr55Q52QBE1ez8jujVIQWdzi8m
DOLYnbvXspmAV4qpAKxVwpJadCnQNvKDR2MEzgqsIN4xq4Vrp08mr0EfN4BV++oNLXKoi4/giDvw
Pkie2swpXpF9GjduQZJsUNkevsnIvcechTUCg3UN+wDdj9Het8NDFSr1VPtLO5NDc0i4HavCwdfk
R+vzyBdGcCBfihiW0SNwx6lVPUoxJvFz8G/DBSf5z5UOCW/tdwESePE4la/BBy1vQieET1kk696a
Ix2Tndnf2BbypiugtwYyBJzdTaVDMBlN96lLa28DrjI9Nc7JsprpHjGJrwhrw8PASsG1QeiU9rsy
A31SpplHsJQXWjSMj+EIb7itYeiHCDgU8yuEmu0Hi7s6Wafjmk7LvQ28ieHLJGeFwiPMibnL7xLe
ElvNrVYuDbT8tYo+Js6+6DsbOkqxBfcBbdd4irj1c8Tdcu8AzuRbZmXvquGhK314L2QSdqANAjgX
JmsmrH7ngiRi4pLU8vtjEmrJ4zIeZ2PVL4TJsNDRAzxlHCfYJS3WLon5iC3GsMvtjxnx7Y1ISUjh
4f7bIBl0Msr6nc2LbUIGC8sjrzeJeBEcqoeoQsDDSY5opu2XJGPwj37i5VLfhZOtHwEQjYovqV6G
80mz8geGuW0WD8GrBEEXsoDl23T8mvR3odngysGUaANax9mGlvW+7SEC1/g29F72ZwCRf0Muoj0t
+fiZFOhX5k0gHvMvejYhipH7b0IgxNbIvKVN3lg559N50/c5tlG+n+8R+7X3hYftb2j/6ThLDdtQ
ccqd86qzvEr6/Mdge09VU46bHqkVx0q/1qb9dSXisQMr0PMuYqk5cNeB63owkxHbrCpstjP6Xlv+
E17DWVkQIGC9r8FDNfIYn5ioAhKBLhQh0yergSPcNgV2rta+N4Jz6FbTwcyhFK6rCiVNxYfWMKv9
4HU1wUzr7FpYSObOcLfMpXvBJu21R/pyX/gp2khFgPxTUtWv+zw76FlbMjDaSDKPGL3Obdbcx9gm
ZXoBlM1DzAcdhnIcS2g935oainzA/1jUsYn0gjHvaz34U9FSU9LWTbEl6rRuecQLKHgEzAdjufea
V9NK0AIttHdF7rWsrxYUdw0c6XtM3vGViOoem3naOqwZQk0svT7knYsBm8QRiiQdLtK+FQmQvK2J
supWKz3Uz4z6GBuTtakI/O8WdQRN54CJrNl87rc4Sa9+buVcviEnMkPBwcDtatGmTkBqsHTXbej5
6bZSX5rOTt6dRrtVhnIPCMl/9glloBYTDBdgiCwyl2G8lH0Jsrv0V4RYkpFxpcIdgQliNF0Gsg4X
EO2IxMfJ/YroxFH6dfczjpHLGa8ATDcGbMn8gYngujjGbooqdAgbpE/bnsyIND0XvVgNfKIKluGW
oUIbsY4f5KlmOhMBqz6T7oKXVK4T5DrCI44qiNw8L/IenMeKkNtGUwt7W63kSd8/IanGTC3J3zkT
RlwO1kMXKZq6xM8FunaauIhrqIUzKmh4ralCare+Sp8eoRCQNvMMgvJqBR6F2CtgtQmRU9q3zrKN
dxXK5Cex5MvXHta4W5+QaBwu61zHjO6ISO5aJx2QM+37S67CWU3pQ7psAOA5yFaZEIIqzO75HAz5
7lI3a3eRmq2aUlN7NDj6nPAgtXddj+BfHz+iZJpekIoaufGH1L/opsFPdFvMk3TNvCCvZF5qVRvT
JjrjhLgdO9+4hNlk48AyBRpS29lr6YOqwW5qqzHDCNWRmCb1M/wwLAvlBqdhNqHFBibJI2ZTzVdp
SLfdl/054x/r9VK/SNH+rr1oMuHt9lmNTrycnwYMgrsVyCE/GHtS61pI99L34Xmu3gzdigYHywQE
n/L0lWHHNHN1snLGGZOErQdMH5wL54ikiXGBG2BcpCmF2/TprmlhHzESF/k0XKD6yPc/Owl1kQBR
eMh9qPOQLQs3Aj40POGgC/eh/85u2tcB2uFwh+uINdemavSPRcRiZcWGdJPELWpQIEIcDMPJcWAJ
CyXFamv71Yo4BHN6QtraSDS7C/t7ZJ5T6CHpn9mcf2UOtAW4ideFWbgIySU/HKd8X/XcJRkkRYSS
oJhnOnIMC1bva8blmsvqjmk+awmN5OEILHJvEKg4WIt917Oi6eF2HrORw7VavPuJ9A/rTTA76O2b
bXRH0Bf9FhvpOOM9unU/oKgQBR/xxI5SjavgedBYica2o3eJejTMvFF/q6GNjhBCm2wFCfE/oPh/
AxrhxgTQ8a8xI9sqR9j4e/VcL/z6mV+wEUDmf+g2AJBAEWEs08cj+ZdcuKEHf+iurhOgdaD5AI2/
QUeMP3Tlw8onYQr68Gh+Q0cs9w9Evs3ARzDcsTwO8t9ARziNF8gR3/N9L4A075tASAL7BT0FfGyt
h8DN7jBRVTMDXvlTR+Abe99ftWtfPSMUli74hm0mqcte/7RtDkkntcvSsKjlKLfjSVMKCK8Ey1k9
HaIJXnI24NzYTYgXgDA+lEpXNMMAh6Bz1yHfQgqeRRydiWJBSlEvC5uvO7XMcNetdMteiG4+3/XZ
4W773I4ktVlDqaAdps8jhriIcP/1NS++dbJTuPS3zVJ7sc/1zDrNQwJcITdu+5RG91FPWR5reX9G
tmc8dmGJ28w6tReciDN9CzqjVzIE9Erhud0/tMkX/doC6I53ihOd5dOycz6SBmJNrz592/F2sNue
193V1z77gr/b/KIvKisfZJv7EGPIOrh4ft2OJDXGvQdPb9xDrNI3s5WR2JGqFJjiVpdb05xV3sdm
Zn7tHCzAumuAn6Zcstu/+OJPlWYp/z+yfIRjXK/eAIR3gQzZzEIQTCcHYwOYgWaR7FMiHvlGbsKK
eSTJ3RrQhNpR+qR2/Zzc0iboi4PRG6/kPl2kTzYXhoHWASOctPIJ8b4h6V1Saeo7b/uZk/3oDmhT
yIbbzS/N60HVCSKnNhvaq0lN9gg/s2yWqhTJZIznIf+TCMRwwXKWFXeh5qeZKsiWYASsaraHJje6
oBVkAyafXpXH7Umq/YIwYcRswoAZvOv9ct5IykWKoZsHYq9Tu0MfPjl5IH6lP1FZGqnpWYgtBmEQ
ybtIVgbelnIpVXkYaVst+m+4PX028f28SOHKFFA1LTUPNGQyqJr5unxcl9rfS+oMD8htHRBFn0VO
mOg8jxSZzhE5Tu/Eag/Z9A4n4Eh4z8+qVvJmdhYejwU6W0Y0PiO3StKzkKrknaZmHs9O8Qhh1zk0
jv4gPwcKL18h1Wv6KS+KaVsFLIBL0zOL15qHsFGauoAkFkBSt9P3jNRD+ZVFg6vu3Vr9fMloSVMK
SVRKLSug7nWxf3DURBcYBIq45mpnWEqqq1Dgg3RYF4D66jrdEovybToIiNNse9vUaIHFBcl8SdcS
BnW5NPt5whcXtRqm7eBwqDpOj217Vjos5UwPYUSSwDWpaTA4Xb9Cx+FcbWNNiPal3KEVWJ6tnJT8
JzZezUPYmSfpkr/u9l+Fh7Uey0serrzks7z4UHdlhGaaaoLLIdeZkkltw4r5kW5uiiSM8Hzn7gs9
50MwN6j02yvWYtV4lHSWbJMaHLK9SQz1JPkYYBa/XOqumRlJbzWxhhiXNXz3+4lQpWSxLJL3v/JK
0i7X9K3hZ4iQqrQfuHzQAFKVdJLU/K5IuJkilDrJhEreD3GFmQujskjISJJkbOFXu8ra2kFiVMcq
7gIShgnb70Ka/hoolk38U/rRqfvsI0tEXHvglvDUvN/PixD5+xXUOcpC0hVHvXnEn++Ew8bHGl0j
hSn59WNf5qZmPZk30KXwM47/wW6wtGJSbpJZq3sDekhxL4n526+Upvze2sYIEfPNw+y3IaqyhggA
Jlv55fJzPZQP+alSSkfV4HHrIR6bqks0KFe9AUeJ/bP7Ve6OKuuCneUir2l1avC/PsHqBg4G7VjE
lnHNh0u/DailIQZ1+LssOKJ4ydZzcCOXfwVJlOnQ6OOj6HlPwJiucuLSvKpyi2q3Y6DjXq0EMVDP
YMQfVBZaCt0nxgWwQ8lpdABIRyvY1SZ6iCjVuBtXrSqRq68gLYzTtlVLS+nDK+qLV5GcMwdMJKRw
82xFPlhnLYxZ2c5anX4jafpZLY2l5kGpZlmZtfOZhIJBLmnjlb6L3SGLIuxCZ24HvekugSrGmRh2
oM8FlH/WuqQ6UAmXG/zatps+3KLlyuMdGTu3bnm25O+XvKoUq2RTAeCCs2oCZ3tFcpiS81Z57F7T
yaBWCIEivsCIx+WTm1tqt2bfwthnqTzsfVKAnlpySRFFxkeAEiPZEB52XWXvpfAS3qe3PmlWmNKy
sFBbZB/ZfGtKH4oK8dFc3Dtp2YzQMATUoa9V6X12nGsVwM4Wmv5ywsAUbl+H3B+EPWIcPCxmN5Ol
6d5Upgu2aGA1bRsomRDmjbaVE6Aui8jmzqxBW+RqKtnLlAlJWYRsVWcnVdnOS+U1EXmohtCzNnCf
8LhXgwzWhZylVKVTilptlpoGoZlBQ91ut89Ic3xjDU5yPYhskl450IIOIB8CGbKpO6T9r+1EHeR2
JIwdGyLCTokVr3rwZDMMce5uqcYy+1SfSVVNmoBl+BNubdnx1rxuLmTeLHvKh3J5Ym7HlP1vzevm
F9+W3j6DXVp17If6egbyuWdned3xegyvwYgigsaD3jEjf4ULGMP0xKAn7dC0x10U9sDzVJ8Uw++a
NFdfoTzUh6V2+6w0h7WJL7mzkYYdYbd8reqOu65b2RmenhKgV0e99t6Oc/sqRkRwdnke4+b21/fd
vl5qt52fHfF2rBen+OIjt/3A0sxnPzmZ6mE11GMrxfq79qJpLUWwZYBHG0ztYqqxrVGzjVthO3hI
h87yXbr0AVYOvvbE1W67vGjKhn/ZV1XodSUDKBTZz5L5wotjXb/lb7cPI5qAjdvYv8749w+Vc5df
0clLSqrXX6X2kc2tAEBuP/W2jwMiE2mjU1BPiD0lzVauoBRy8Sat5y/3DOxHtMx9W9cAn8cc0B1W
Q0zyinF8gJ7sHSQt4KiJkCe4o1uu4JowkM62NBCUbRqTgUmBk247IbQCEksOKQeRtmy+dkpbX0iw
GSWOdr6nbWJfm7b1pAP9ndrg0ufErXXN6fdNm1QbHynhve201rpvaoiAtoXm2CjDHgCc6a0xdztP
IVhGW0+JY7dotKkJtARNIQarW15m2gCB163fIgi8GDpswSGwL8Gqg1pStbgpnGvNTkbkJ23/FKvR
p1Ozi0BmVWnp1tvAMtvtkkeIJ2l3iDOUZM/UFE/CvYA5VKBMBX0jVUinq3XadjQ7zPY848mMg/aQ
6zhpb5OYkObcL0fwBQ54OorBrupz0oP3UJHuVK1VpFZgcpCmzBlusUeEqddL12JwFFXOV5S5h4vE
v2+F9JES7HeWAWsak2rALGsz7avO0hgo1niboy4CfCD9tLbIbxcyHPtqJJaC2OR4rqqPOq9g/mN1
JVDMIaCtLozUpJANeR2BsRgBZ0io/FqYeXxC5g+5LDUDEYmmlAQ+g4d6P1+r0otQ0avFToPDAiP3
VygarS/jCPHs9HJnQ72t5WOyRWokymuLP0OC0LcC88X+b/uSBi0VlGydnQS7cfQZLy56gvy/2GPc
ouCyQZqzulTBjFQhhpW//l+p3YpRhfzlP5c+acJ94O64ta+1dXgTr4hiI/L511bZIB+WzyU4nvQu
bk+rGnJFq0rEqW5NTYbMq8gVbP3y0ggC8bZrnKC3GOoLGo2yIpSdcis5Jkm/J+ccHgPU6buT5EYk
SxIg/sDkyECvLXMTqIY1njyT51XYO9TDvRQDqiNeP/gnAK4KfG0w6ZAC9vDEJAJHhFEf6usLvMEe
kpSwvJnVO6wwMP6oyTPjSOkvl9wCzKCSLpJZMdQ67dZEKzrGI+/3ZqnJPrK3NOtQz0//E6wVnuC/
Cdai9EN0818Ha/8PbnRV+Y8cP/nI71gtAVlbN2zkgmywaYqw91es1rD/8A3b1WGKYYmFzdfvWK3l
4fCoiHw6TD4DVh8kw1/qJZbxBxFfX0d8HE3cAMPGv+iNv9SfYEZe6Y5/owaFaO/LWG1AfgM9I5+A
sAHO4KUeFDq0hEQztK8gkw17pOXXixTznK0XQ+EYzZXsRqleZIGms+6EsAIeVa1ApaaKZM0/AoNR
lnoZ6TJ5Xck7Qmq8hYquiH/p9ql3nLycbu8qEaPzZKIpnVqTIcNrxmd9TtNDVC3vwP0gjRfIwqI0
ovaTbq73ZtyHh1RFmW4FUqgM29IuZLgd7eIjXFaPdBsvA3lZXJ97V+brTgMqKDI0VOZUlEUKs+lZ
3MvwyNLqr6qZB9+SzARjDlvo1+g5jhj3XvdM8SZjLZqli6JNt3AXUgQd5Ir5S96cMjvap1C7mGSp
q3jdPDXFXYcRln6YCt4DzkIooXeZsN2azC55V5Twqi9NBDqFN3eJzoG+lWo0rQTzpCoFfqL9xZ8b
W9+GqN+r9RhOIuqX3wpD3pCRvBYz9W846m2LrLPHPIEpYqwmgd6Y4r7F2MisEI6OgamT6pYdbntN
rfnBmSxtv8IeOSxN8wSXs71Yat0lNeN3LRks1JZfbCZaERp7i9nbQZuNd6TdukvWK2St7ChtkzQm
v+a26Xb0Z8csLXVpl54sdL4UBh4ynMft2+vr5t+dcozrN0n1tqd8sKiP9cK4mYGSweqe/KjU8BIx
L5aTI/wiVemUolnzL76th/tbl9QKdQCpOcAGTiWmAS/6bx9wOuLtFb6cmkGsu/S58l0EwnVzrUv3
rfDUvXLdLp1/2352KKkCukkPmWO9u31EatfjvDzEs+/9p2oafLeKqYKR+PtkXx4pd+FPGAi7bJ99
+u+/6T/75ttJP/vdz4592y41KZ5tflaVTYmL/LWdWwcPd7ktZL/62e0t9/i/7Ls+Fy83J4h/nl50
ahVPjTw6i5cPqHuqJ+xW1F3V6nttVbFVeJju0eSVdvvMbccXh5UN7vqG7IdzlgicRMGkdiMmSPNF
X2WHRCkluPNPVdn1FtSU5i3meWs+C/xBRuFwsskRGsT/+9tlRynkaxw7fqfB4sa7g7vZzBp3/CTV
MY1HHeWqFVnuyTtKTFvyAcsaEKiSaLd0SuHnCrZz3SR7SW+foI6y9daGOEGTTju719LxTjateuqu
yASzINKdqKhePzuM6WKmNiNXiWGKyvRcj6VBRUzvWCah0Z5ggb7kxkOgsWrCGegr9iGfmbKiFGko
FlxhwoIevmZK/7ztMU8Y8+8L3IuiiuN9oaHVvdSluZ2gl9Z5Ve8BgyFbmm6G4mJ50TdrJfSKfDPr
QCh6SOaC1nt2ltefsah81JK08V6Cl/iFQ5hR7/lbQPPv+oR082wX9QnZ73qUv2lew6QvDv0fHIYE
9YBjoX+SIwcy2Mo3XavSK4fxZdyXL/iXZ1LoCaidBakXWTJdz4YA8qE2l6daRjJJ9KA6RVRRLQ16
9VNufS/3uW2+7XPrqxsX7MOt/XeHNYXEJJ++HeK/+xo57O1bboeRPrjKn4uMNR0pJABVEsX8Hc+U
PglvMoI/Gqm+HGQP6R9jteR4VpVNqYyr8pkXR5RmISOkbL7uKR9a1ddK7br91r4eM7axa9OcHInv
nqBupb1yIKDeGfqXmBT4XbwW99WE8YxRLBGG29N87HRgbsjbBIfM6ADYZvpuDa1hm9uEEdK4/grk
F0ECUlZbxud+78b/l73zWm4cy7btF+EE9obbeCVoRVKibEp6QSgdvPf4+jPArOjKUndX3ft+IioY
JYpigiDM2mvNOSasn8BK3F2dZafGdYt934qdW4IdJzfk3QBXSTYVs8x3bMkHkZTZAe6axI4HTQFl
45Szyg8YuJCqUX2DRWGueyoMcLu3+LPnS1D5u6Yc1Q1qdrFKo+pJh9K1C4vmNY20byCsoJKLDhH6
bN2iFlfkzs1eYH1p3NzduZHrbiw0vlZCQGcHyikluhbgMPrfdto0VUjmbeFTEtt7o0FNaflAds1k
m5Vjs+mx7Gxzx9yXSXVBrvozyQlyYcWBo8jGUa903MuDa0PhTj6mVFUrC5fCMaIiXyPmuEklUiQk
7rdZVJ7ATgPkrNplgP3YD0V8sAhegk/vobx2yanTxo3ZEmLVD9GDLYCM2UGarD76HGtH2CH3nDRd
bE2kg6domF+LNPpw2tnYiOFNbx67oLxUxCQF1b7I9IycoOU6Z4Vo2w2sP1NPoxrM0NpSPoZKP7ZW
zgyv5960031ld/TgZS09oy1IDFHFezGMwwoTADbKwjdWU2jcS+N72rsGraOwf07RIimU/A9Za5/y
qHqzLH9cdwqrxHQfZMFNjLUnLsefZSZypiF0jK2ywq8wlC3z9oaAKlrRKz8PCQ4iEZlky/qcT8nN
0HJRrZDAbzEOeRn4uQ3oK5yplfstFkW4ko1Up8nI1i5cNfjWRXQIHfnWh/f42wCDRMSlVCbq0LJs
AVvoOzMgr9DwCMam9qe9t+0iPpY9DwcoFW8Q3eO7vivn++5VPYL57XckpQwrq9F+aOEeb1i5TUP9
BSddsauBPKZBSErNbFyMFFNpvg0stNmjS6hEa43YWuBG92WILjpHXtlCzEOZbWxpsjUH/C9kssZR
uCZT2Flj5FhrUYThyQ82g5VVCAnbN/CuPwloH9dG1eI5Se56HVbzBDbhzhJHsNB94vq3pdHaRwVU
YQLcBDDpO45hfzu46TbNyhLTrg5qoSObtSl/5pV5sTpfbMuSw2ET1kHDlDMqd25yqWIQ9xaSA/I6
iArED53hWindNfHzZGmSYMCOY2Vj2pmAxU2qRj+Lh3JGV2wKm/fxow7n0Fs7j/d2a9cbUDPcKiUq
h+UvII2FuOmmc140l9wPCHG0SMYR87GFopxxfjQJUYa+ifYnju87qn1GKakCbEG8nK9wuutddnGl
iZZ+EkdJmqbH56G5GohveDcW/xQceyuYygti5ANYgGmPeUmH5Il5aEy7+5KzCu1G1nO3LyC4iCi7
THCI0du7pgfP7Hkeeu7hNejDssO67hiB2FWW+SS7scK01D4CyVD7eb7J5ig2V1MNykEUFgsySuiK
cOWzrm6yMLR2I9kGtPV1viRz2hSF9Qy5I98SibUnELU40PxdkcYjvDaom02pkAjE/QfQAywQAwKA
hhPfK7S62IKQy1pZbyzN33VWMG7JDkEi35XPyI8dONcGjo6qJ8JleifDbmUTEcX1lNgdTUH5tum5
r6K+tjZBgNSdrBmhjglH48ECdd1Z/XqyuCRYAC69sEu/FPrkGUOHTYotwxTSnKsBKKjdYxXTF/3P
nAsYEWJ8BTsE1yIe9iVf7kr2Iekd/o+8CM8RVF87Hh/9vLo0fmkBqXOPuFag/wqtWhN7h6emaJ8K
ifiRXC2SULUUjIZhPPYGMJQ5Av0QKbTc2jhdhrjJcMxquz5Z0rNC1OQteItVSX4bw2ySbn0sC0U2
7wIsKVU13hIl9AocDRICSSCosTBQFPPbesrlQ+WUL5x9xIDUxHINrp7DDYpXrevjlgVqPyVRztQ1
wGZe7ca6QWw74ZUim/A54jTddcaHKMRIA2WsaD0v/J5ofhx9N1k7mDG9qQ0PPeQHRFr2KQnEkwC3
wdv3J916d1M/35Uy3BNmQ+6kn6K7r7NHUEMkzsFGRWSeVF4I8JA4K+uRsLi+V/LY3dlVpR0HTjDO
NGNXxfBIFNqOaiHjNZl7lBNZ47B11Saw7/t5FOuo5JwccJkBLtHkYbSAK7a31ZjU68rh2BuIi1gF
eM+S9ktNFUWfFFIUl7u2Td5ZIBTeROI4pj13W0ApWVk2RHhCJUgcrEkboZI+1MvAQk7NJSG3a4rN
+J68tDVXuxiBOTrXqAj9NSfeugscJG6VgvccxWdj3hUzMvOu70aPCS8pmf7LbE+FZ47uyyRBSZlp
BUmhS2HE+B91Zx17BkHrIQHPkCf2j6wmfNYZp8jjTMHEzkpgBfbgMR8B3yZ+VMO9OxJfDuW1AvTf
jq7YtmEFYVdEaHxt+VYpWH5uDabGUTxVl7raT44GFjUv3uioZYe5pyIiYHerWfbz2E9bW2TP+Tya
K1RV+zTgG3aadFiF7nyqFAqfxGqe8g7ld2cA6qQPD5+yIOxmIjuqEpHv4blTKyLnNwAR7+oHvZXj
rWqLrROj6yo4N8C7D1suJC3m+Q+azDj2zXEd2f7FcFLCukg25IDWbypwSQjZ5c0AnmhPZmCya0hf
8qHs3syxdut05lezHwHPzcENHODlyAByJ/UaGZJ9W9RaujOxrRb2dCINNQH5398WucNiqeTKRyKo
KNthk6tarQwVfS9FFHuMNywoK2mFktwkpLcoST/SXKJz+3KHGfBJ0SDquB7foMHahoAOzjkuBYL1
ZAeVJr/tiJzYBEYpPVJGHhsqhwqtMg6v9uIaFeYC/ElpK8s7y5YvEoZR4cOp6iTXs4SKNS5x4KGs
rJLHLoGwYUu+NgNhmEi9OQtOkey/lugdmKIRbklWLqM95wa6AjgVGT6YY9pzjEIjicPvyfhiD8nN
JMefKVnWXuVoOJECcWjIhfXwwWF9JS91k9lN7Y0/jYkLiF6lZHA55rMCs4XzJLz1e6V5DP/EqnIw
3eQ5gQhdDlQkwpB0wE600+viVJZzvkHr20C18VKHvGey2w5dmHbALE4O/6I3d1h7wfo3a7My9ENF
DtVcmMaea9wGX5l/tvP4QZn9t84hhzcBsBIpdlyIiTnutJrKpztWob2AZpc8yn2eThFmY0IPiRa3
BoEPd86p5ytSuDHPyUQj2bM0diwfPGm+D2Q93jViuXSmebKzR4COXf8t1wcuJqHHHvfXc6CeWLGV
LOt2RVPuCN/FpOtmD/gfFW7A8hwY+oMcsm5t6Pmj1XXfgwZDh07kVOmEr2nsltByQnnSzGqjR5hW
w2zczNXIpTmMw6MOdCrpb6Zx1lbKFK91BMaVi6G9iZPyxH2QcgvhZaiIiegKplhklGBjD0sGqo25
qwiQFxampKYainWgv/ftRFBqvw0MaDnCKB4IqIjgV+EVJA973yFNXOuSoCfdnx1i5ON5o/fyDnfG
JQ24GYfQObrEic9l3N9a0XeYnrf1IO0vRk7gVnRTatTbI9Avb45/TDNSzLavKY5cK0TtOHOM4gbT
HJOOCRgrSjSNAaYfLl6Bbl0RklPY2Pu0iMTn8V7IAbmSL2+1kvcocOMgqihwK2hApQjnxouV0mkY
CL/s9OQYtR3Z6/W8GYLp7NckWudB+iXsZtBP9YxUivWPpF/x3BZHU5qJx+lFdSA6a42/4msyotJu
kvCjI9hNB+UJOHb4KQmucVzsI2Lqf9rBM+34ZDs0088hG40Xa8GlJ1q5FJajsRkEZu24aLqzvY7R
q+8D0z9q5J+VbT+DMNKhpWhnAre/ulOTnOkc4e4ycHyOzRmqYOXVM+pBusJ7evQfVgGnemiXhCzi
w0J/3hHZ+aNU5bRO/U2oR996mdTAXmyaNm5krlx8smHafq8zIuOqcTyqyVpFlYzWwuamUDruN1vL
yF/pVlrtni2n2ZlIgJRLbHfjB/eqTl4K6e8HoZ7NBgBozyJ5ZTgTuYOoLpPuWRA0iEq2L1F3Jbe9
TvpqPJKAiNyKgf4mlcVLYcqPsMB/WeB7L/rUm1S+KpNovi20FJt7K8I9bhK5q12+Mk3c121CWFxs
+ZdyrtJL5R9NzUU/cH1qQL8K3i05/3pOgPFBSDXAjf7XXwXSD9dZTZ5nuTx3/UU/Gx/tDGKqavu1
Ec6PTfXYpOZwGcSwa52adKmcPOxhTvrVYMcxGxI8a2UfaESkL+SLztn0PQlkY3TEIIAOyUpvezEG
9+3yMKX+fT14Ks+KIz5363J9oB05e2iKqEQL54/ncnuqdjNEaU//13PdrGJYCpHcVQo7oLL8O+Jm
/TuAum7pVBdOCskl/5oNLOVlhtNGTCJxlGpyptX1x6YNjUtcO9Hd0AFLWV7x5/ONbWJFbY2b61Mk
eUhs/SP5yQN2rD9fa0gfXFpggaRbXvLbLwzi/Chf/nzGkkQlR1MBMXD5h6+/8GGRU40Zaxan5fr6
1PWXUaLnR6zLj9enrKyMbjGt46oL43t6hYWTTJdWiOh+qMafIxi9wyCMsz7F6WkcLfNyfUDB25Fw
bVvbP59Lpz4HFGak8Hag2q5K2i4nQ+tuEgtsdrQ8XF/cRTbjHIKvp7BtmPmrkC81DZDSwxLc/fq5
BlIFPT81vfL6+5D0DSqj8RID816yboj+qQbOnc68uG6i3QGaDJYfDJY3vx5YWr11MUFghBzwL6Qg
YWD4Gtwc/vU6cAXuPp316tcbOWSoHnE0g4LIutsSZM6vI4pMGJLiyIJz06y5K6i+7k1NBfckkT8S
/jYery+7PthVgblK5eX++uP1tULluF6rQd9c/+r6nJxkutaK5Jx24+i5euBe0txwL2hk4dgY3TtB
oe7l+rx0sv4O5S/4GaXzOZaX+d2EH0OG5+srWAVedGT0tG04/goQwnstcO1LVRbOpczxtYoQhBpr
LOdy/YVo4+agl2S+XX+8/iIAD3Rbgfs04qQlXcEN222TGQYesInKrbdOf74WJgdkzaRxdqmEnUJy
OJGbmk96aW6p9QiWeGMAD0CjDu4aVDvdt6aqovtueTAxAR/oKS0AkVFf/Z+K4P9NRSAVdqv/LiOg
5kdU/PFZSHD9qz+UBEqhFiBf3MX5dcX7Ihf4Q0ngmmgMlOQ/V+iCGpUh/x/AYMP4H10y23fJSJGO
izL/X0oCyRsi2EJJIKWr64Yr/r+kBDr//u+8YCGEYSJwEJaDiNqx5MIT/i0HJZpqlveRqA+5Repm
FDbuTtXTUzVDU51wXNnS1jY5aSnA2WFEjNniAVelR5NKD6v5HJJDPTnklbk2kBthTbu8Oo9tZ93X
fvYs4nTt5oNYF6YiiovQB2p8pSAMV0Shj7CVBFN5s92B/e8Yr9dvqVllW5CyUMiR8K67GoRR/UXd
NSzZqHMauhZZy2r/NbWjeZvH4MqhvBxiIrHoa3YDmXLOaaYo2I6z6akya9ZJBfNGdfpO5QXhrDUb
UWUfVWp2e9usn0jLaNGo8VkLnZVoj5OHJpbcBb2F8ZeOoci17keLqfJAN3WfhoDanM5YpSXRBHEG
locu3keZ8QZ0gDBRT2QILKxlHCrjURAMyzCxdNVwV0/NXheFDlaQ6XvUD/uYgNRGvYWCuwm3f0I2
YlvzVCGNbbJYUHGh2x63imAdEMznUvRsM9E7Xh5J6Eeamved7cMfcRrUE+b7xJT4l4Tov4tN/v0A
MU1bmhZHCccckSl/PUDiSdV90ZflAbrVk96K3rs+pIrGkmVTZQcwhcH0dnd6x0aZUA3niLXJdWf+
dnb9B+GL+2/HqkmakI4cB5ENhsdPDkWpobgiMa88DBr5rVGZv2EmNus9FKtLILNnoj9/ROYfIqr/
vgc+IbU5RUzHkMJRguAhIT+LbWaQA3MT2ukBgspJJ858xYHtQyQKAdq3dON2pIaTZTDMQGvqKmZk
AZMSsvENH8M+VMX88vf7QWIV/XTSLjliji5sTlil64s86LeTNtZlg9akSQ/XINs4J7ewcXEgT0O7
Gwvi1TRWkSvbTO2NHSfHIU9naD8J07gZ3Ab0cA/D5Y9+pDttA+jfuQVNgCUT16aCGA0pvcaPH/9+
oz9rlq670aL7y4pNEaijPn17AWdAlNOWOJiUGtuomfZtjOus7TVnVcc2hHyMIYBcqzdbMCaqAs7D
yMcNCOm82BDVUNkkXNAL1/B/FPf2kv4QVc+pb2zA03GPhvUiE9dLq/hrWxB/ncomuWHNT4miTV8h
391W1rIjZPR91EZSEi0ovFYoH4h4JS8+dZ/+4RMvp8ZvqX3LJ4aPvNhqMe+aAOP/+jWxIoSinegQ
yVsY6hprvxrj1i4Ynikd5Mlw1QYLHJ4EacY3wpyR4WpokdOZ5WA5wBgrDeKA+z6DxwtzSa+tLcsk
aD3wqeXoPvWVDVXOv6Wp2G+usYNu2ZHQk/ofbimIyeiq5MZKBGtCq/uoinHe1xrmiIIMaSIzvCgw
N2bv/9MVg5vTp49toYNzUM4hgXO46/31Y6eicaasM+JDW7tPhct6T5PzXe2nX8FVd7vqZw40KJdC
I3pxamCnWvWm3jhNMG/dBsbAaB8JB7K9TFjm7T98Jf9p24SwpMSLBIdfLnmFv505dUUqcFvb8aGa
9jphfDdzWrwWiiiKqrGf4HqD2SXG6Ho7kL1OInRp0g2yGxQFHXTXfoP0nNO8k++NA5l8piyDynbP
YUlLqq8UBTywADHXPy1TV6tcPs0u0NP8qJR1qQJR7zVJ1VrEdbbGNnZpYkabGiG7pSizG6ZA70Q5
2ue//9ji3y9hlu7YQrjCtl2HDtNfP3YSxEMUkKp5mIk7XkgWF6JwXPBHLSj6GRpWZdCrbXcDwUau
zw8z+Q4rUYUPcWZm+xxY7q+i8r9fVT/dV2h+sBkY2HVKGUvoi8Ty92/CjDT8rYQcHUKf5FQ4l3dk
qZnMi/NDnjrmIcREsw96/YgD3lqzfL2NnEHzGsZH/7BzltPwt9P0uiUWYk50DY4OnujT8Rozq9Rq
jdO0pTFrmd8bpuCHDHDFNoqHwYMwyxgyDG5mRtNBqa/xTJT7llHwzTRAyTNa5zlVkuZEN9tbDP6b
ApbR32+j8R9yNHW4AcRHcOfjarLszd+O246MOFJkRy4ljXXrguNBFEkL3i1eNKmad7THc6BnR4el
5b4Mvzr9TDQCmaq0q7JbCsrvYD+ilSoBbLnx4yhsT68Z2sUqu0gtDdZ+JPFUuWa+UXPWM+/Qnrsu
rLxikg0gfqo9Wh1rzSHE/u8/2ecgvmXvI2Tlno5iVtr65zOyn4iYraw2OujmBLS9bZcB6HSMlArW
bYOv06AjkUscdC1sQDAMcJt9nDKI9guNJiwy63zvEI30D+eM9anaWDaMFi473FAGtbj6dID2AUE2
s0+exBC7O6edYmaRRcy9fnqydJCkY5wMtHfnB0X607IDyezicWvW21GSSTy70PtqJ7fWzehrB5yU
ZP0ZzsGUExlFabNldrbYL9M7vc+qLfSqYN1HinmqZu9BZHZPxkh8ekcX/wPP+sEy+sZLp/b7mFxT
30RHjFF3GkDADIWVsRAswu1URExtCrq6lQSs5xZDfQpV+93vgWwlXXeby0TckS5HMEgCNqxsP2Dc
nsmkY1dvCvrIexflaucG7o5Is3jdFjbz+MX357Mh93//5V+zPz+dehYHM9AJVkiIqT9djilX/QGc
nbY3KT/2A1jhtCJpY5754CnI+4uR9fe+C5JN+X2+rSqVbuesKhnA0EQSgdw1dWqwbMYo6JjG2gqz
GBSnvp56zCd1kf8oDIacthl88Uki3HM+Ky9wwb9B2jCZ+A3RQbVm4PnJ0j3Uy7uyRxZW+k+Ov25Y
OZ0gBqUMat1XzI30N2sJTC73/cPUG8XNvBhhQkiyKYMDaqfl+jAeYfoyMR5+Do1Dj4KAIvCheBdt
AB+rAeqq5Fz+CJvpjvikyasV6wWD0WHQuMG+TQwaJ1rYejQrQgLa2r1Q4NZKW+vXQ+q+W4Em73PS
I9jidlUxEp61Ir4x5/FGlZb7i/by36/Sn+6XnASK6F4iN1mgwi3+/AXpbt4WTLaiA+QapAN5c5eQ
Y7Ivx87FejTtYqxNxYB4u1IthcyYP+GjZUKjivvQEsABHHlOtCL1jMRk+tg07ebvD6Hr1fmvh5DS
uY8vwbJLvOznRUFEaJ/ha030qxauhv4x8wMA2Tr3dhT5tDuh7kJc3A4+QU1Q0FPQVcX7FFEmOxMZ
iAWAIHNp8jgzC7B/2Dr6BZ/uLUp3IKqwdLBc5apPB/hE9FtjjjFHWS1NzCrkCgTd8J7GTrL1ZYm0
YBymI7rk6ZhnkcEEfY9LVa5+3fRCpCx/v0HGrxX9px1mGLoDHJKlFJv2qSpN61KTPejZPaoEEu+N
JnnISM1eC3XI+1x75VcMSKP8RCJPuMvKH24qyw+jeBPxoK8Kw6i/dWopVcNsP4AYPZrFD8qZ7ug7
Q76OfDsF/GFcGGOPmyGsICFwWSQIgbOiFzO9r/QlIK33pg/bTQ/o80JHlyUVZ/WBr/Icj833oizi
M0Lfcg/J4OLLgvM86IGlsie3YRAob3Z7okzr6Gsdh+FptIjESoqa3IuYpTDp9jdG7Fw6Koyb0GU7
+3o9Nab6pkNhhMBFwtaNaYzunnTTY5fyVrFbNFvLBHga68GDa8/qUITc/DOglivpZwx5Yn/wyD4b
d+Qs/uTrbjxUMsZWTuo74CjwzWnNh8oAACrQ9Xk493vd0KErKutYBKSgO6EZP0n1xs4Oz0Y+PPg6
oXTOAKA5aJPEs1lAc5NT4mSXLRQrounA/qbbrmnMg5vX64hoBLlWsqyP3FDfYT7N98ZorUyHloQ1
T5A9h9ACb07nIpjiaCeK9M0R2niMIC6uhoUSyrIpB69mvmW5aVHrEWtDWmCZaPZ5HtV4zFQH2ZO7
L6hwmzsWvG9CVnwmfbVvv85ylyxTjLCfDm0mf05zIh+6NP5w5mmgDzRpO9WY5Irbyz3EVjt7MMz1
KxfB20xo7lnE1qEZWv82nbFIt3nP7GAc+CZVv5VuLPeoHxYKgg/vznGHDVzSyjNnLbyUMqsQoCwD
flPsWN3IXSs5q+e80w6zGYMsJTEJ1KzzEghCFRHr3jbDqBHtY5CehL8LhqT9ploi12IQNlf05Noe
1LfQTEvkfENyogeUUfSmNYjwsX5i2QypnMEffznlaDjg3vgQ+r0wL9qDXQ/fB6fvdoFmC09ZZU0F
PQWIo8o7mhdn02oCsi6bo4GCYO9Ow7M5L9jl5Zy2527dV4IBFGvIDWJ7hnGlfTRdImOioYEDRhtY
mvVZRxp2Tmxc33AZYB/m2lqINkHISOSfWWbj3o5MJHj9EhczUqd2hLpj69DWTKgAg/hI7sasuszd
8k/YzslJC/1er1CM9SwbW7n5VXTXOZ4ct4MULkjLQqToMCsSO5Y48lCAR177Nd5MbabzVlvUiE4n
N7VjjCAzE7Wl5/LFF7mzIe0u8ej/R5eUQMPV3HD7MtRL0dOirgWxIF0CFtQv9P7sikm8EHEwrUL5
LLVgfEHBRyuwQf0iKZjWWohWgbBCuS3sZpf4gX/qNBTXpbK3eO1Y146PfT7ZZ2qgMs78vatZMwNr
845QiuCsZ996fWD+YfoWUTVucHaWjY4a9w6qK8PjQuDUcAQlGKvkbWLgICWkvFq7oQm+eNxB+Qlu
5fQNvdoaj4w4Jz3jaDMuMrhBIHe1OLdOOipMFoMi2EVz/2SSWRiSZ3zqR8Pc6Bq3clcP922jvDS3
9RPji7NvD+1GEtl0r40k+C4fnOHFsBO9qjdm3I0vionexo/n50TIE/UjWSNZXt8pycYlQeR/Ibrj
RZt1F/GAK86zYmoU6qCCoAnssmE2XhYkLuDGsD/2Bqtc7oZRCMGd02pbNlZ+sg3iY5woMb/kMiAH
1Ijz4yQDA4lZo79VJKqt4sS+NO5s7li6s58U/QmBbCFKEBIJRtSeGNW3YjD6NfnQGjuj1T2aPg81
9slHWzNpdUyxPAorfi/TNthRqbWUkrcTLCYKDZb+1fxq1lx6KmzbaSpoTfg/sp6uAavG77KoGtA9
RndAftvfRVh6vTRz73vgRxx9I1Sn1mKFkzO9dxE45ZOJVCrfW074lA1jfacXBUGKkZGzHifvNBnO
jn/HV5keCN34Sk6lRYNSEOTYcR3qAcjc0iZ5FRQymdU2N0MYhecsT48pA8s5re6tkHOwqA1tbbjW
yLW+QTcYNw0JDmPnRd3OqIePvDBf2kHPzwkI+zVS82pbmoAzkxhVjTXdXt91bJzY0yOF62gc6o2u
jHBrindzrLlWDRYEwZTY1Ik4gT7Xy/PcyINhACRpDbng+9FdSPcmNTmg9X5sVvAz8m0ZHuc4ru+r
CUmJahiCCl9AbegfCTOJt2lgkObk1vZ2EvG4ngv7gfxGcRfSDnc6qIlMKdIbAnNm/N41KXVuoe8R
CJIPje5DG1LKb5K0SR1PieOEqWjRdAX+g2wrr6bzUNQIf0tqaKN/TbuPltRojxULyS8quR3DHClo
zRccweUfMsv26EHVW64XAzz5OKKqjBkAWqfctuMT8JWaco3wTN8weZsk5K7GTbDKCuKMf1JGiqPm
ThsYK/Uh1ooNDBB1avp9Lgxnb1aotjliD7A7X2fXEaeQASQI3xtylhjZZUtWp8s9unSLlmVk1+7d
PDmW6skNWT24E1AtrYEfHnG71XXbWsWxIv6vHRmNlz1K6Kyrj7pNVGkE/98PpVjlU2nsRaMFyOgc
sXVn9ZyM7nenC/Oza4YMpGlydXHZoVVBmpb40xGdbL3TwNnowIVZhVuEMtfMfu1gvCMzDYH6gMi5
/9m0YM4Jln5ITTwjTcYMBU56tU5RNJVOn9zUjQV+aZxjyFXzAcpQgUw5hCIOS3+rsiJZCX0oDySv
vqhoeB+0L2Nmw6WJbFrEaJ2Ubz0my8CD6/iBs0CtIpfK0Kr95xJejkDN4zj7xuC1MjDFSWYbpaLH
qKPNyCnXcNONGI4SKMVYZ94ZQ7mzk/ZDj/DCcSceJ7Ba9L9XrPxoO9Vb1BDVFm2ETReaAUljv+CF
BJfaAFEWs3+PnBvYNNZTkDCa54+oJUlj3nZteUviLmMaaqdtLUwvNq1HSuq1jOzhhNBqFUSZ2k79
3NGGSb9OG4yUX0vyIr2eZszUGG+Bg1po9NO9MpMn1DugFbTutRsQOvTcBg4D8RsrdK05JXGees0E
hZ84cbGWybHWyVDMZmeHogOV0Ay6pZ5yd4U6BG6zFkHfljpgI7HRR/jfvU5gyJehRyRZ0d1Ylym3
5iiQT+jzZYdsOwmgk5sGglyRQDcfnazdDNX0HdzFSPvW/k6oz0s81MiSx8bf+Fq81RTlhL/4NZOC
3An9LQqNbUUs+iatm10cWVzf/RQRK1LwUI4n3R01bx60VxPGVWRPH6ztBSsfIoIaltspYJJckmSS
JEgyc0l8FtFHIQs4ygrigSjb+15DPYW3A3/y0bGzBufS3NOACc99TssutnexYbYebolsU8culHj7
WCNsi2b43/Go3ZFp4s4lubkkuJGGjDfEqdjtXUKWb+ZfhkWO2bexF7cpAP1ZhKuYzj/yvvDOIJKG
rM+J3J6RhVMXOqd0aQa5pfwgP+xcTRqC0KQgmDD9JvPp6AanyYa/n08AewQMhhWV2y2q5ZbbNR7W
0P9KxMmD7WSPpV3vses+t/QbSN2jyQFcqUWZf1sneGrzTN+7ARc+IhErRBScLkMVf0uIyM7Akc9z
9xzCW0IMhEKYuA2WJpp7sJH3rt+bIsvvM+XuQy4FazspuPQt3UCdYIJdXYaPZQ0GdvKt+swIkFOi
GrHizPU7xRG37N5K1nboPtuRzq1T5Ls/DVdX9xSh7MC/s5xSZXFK/Wno+mXEWp67urGIWF9ua4u9
LBr8ftMq6+P6Vvaftq3fzF3Xv54qPVquQsfrT79eKFwdkv2on379eH2LX//U8tZDopC8VaEPcV3r
ueYM8a7EG/35nWVbSrQly9b98bZTI9c04hGu/2uTr//36y9/vei3dwlc5LwzydmF7EGHXTdDt6CW
xEFMBudfXXT/8S0/vebTjvu8a359zuVtgy5/dhuaUVNwxtHBfLbVs4PVNP0dU+F9H6MOGJzxwyW/
hlq1241agLxGITjRaqdDzUxnf9YLgj+4ol3jC6BM9MPFUBT4cTa8ZiGA/ST66JOcTBraoE2JTyBr
tzX66nXdhi+Iy20O9U5t9DZpUdUE7UaM/RcMJ+7ZydJ1pQ/+olEigZwJMVkQVYZasmyQOvYXfU5q
SisN8Zgf3jSqzE9IPFco5U+2yrKL4R5GWyWb3GAJxgIExWLoi5Ut9Z9N6AYPsf61HhC1yCRSewLZ
i5XvmuNWHWYsMittnD8wO98nY7gJht4TOrgNOyq8im7f2lBcTcmfOKcYAw6pKKZVPejHGKlujRF6
bfkF6erjqQ0hnkBlQhU7Lzp2wgZM1XY726l3oWk/+RwriKXwJVmEcTRmH6IovOAmwT0Q5uvcwEQ+
oCxduWgILY34zE3Nis0LEKcBfnccpl3sNEJBmW52E5Vqekn1x4hW97qenW+KKAKvNVzPaBAk2cPB
5iBaOYTDU7NJg73RhsNW4FTaxIivGbm1Z4QThudILdqNeVefaUxQ9/SET2TabTZW7h22tiobzvQ1
PnTR73DeEB+qRqAKrIPCgRAnp32ODV+dQjfbRjV7z3Cnt1K4F4tp0q6Oxf9Sdma9kSvZdv4rxn1n
m0OQQQK2HzKZ86B5qHohSiqJ8xwcf70/Zp3bB92GjWugWzhSpaRUJhmxY++1vkUnN9e2/aBIjx8a
uE8dYvtSpQ+VBciaRFm5H4PpXmQsqCILT5FZbnunuQ6FnR3QcTLHst7MXlto0RQiNSA8ni3tdCtp
zw0n6jsXpH9YX6UexGcxWYCnuOpxY7j1LsjFeMQT4I/zBMVAErbFArqNqzFYW5P+kpo5OW+zFu/n
vMTIVDPJcUCpp0SVG/QeAmNAeIaoFjV/c3A7Wh4Rk8zJK3xJhN0q79gDgeb3KxRY8LmXetHRnJ7M
CSyGiCoD357DeI/gHI02UVw56VsB+bK7cRqMvaEc9xpZKc4qnjE6E0Jr4dHBBK/u+dPaS840AfeB
c9US4Fax/GozBC5agMmSkGNg77bd7eH8bjLU7ZVn+oHW8crU9cGIxxNgvsJ36zB5kuNvobf6gW+K
cA8AnMu7cjOVzs++r4dTIz+S+amZZ/xyM7iY2Govk7uueowHc0jUERiLX7agkizi4S4rguc0FL+Z
IolGgsWVE6ps7UgcI08yz4J9LxchucBZXoUQvr3AttagS6sNm9372BVc+lbsUjM7AV2j+s5KcMHR
OVoxaU7PJANh5GIiAL6EjbgBZT7VzckUpbEhQ8bVaZ0VsBtyRAwN1qEtmXRvZou5ecxoJDGme27b
9GEZD0z4Ptm1MT1Ycfucoue17Q/dIqSILs99M6NrifIwWkurIP5hAs+jA4DaxGF/12TttM7gSfHW
Vsa+ru2fRYeQ3RVhSCo0OQUyRjOyKMQ3VqXejTTC+GWMO9wSv3Vk6ZTMT2Y17OLvLggNVNHOsV8s
f440vrkAh/UwZtQQiXg1QOwG1Pm7QIkcV7WctlCtOrKPpn1gmVyASFFgcawLiwY/x+RoVU9QEAsz
yzfZBzXGqML4hCjyODuZRrKGR9AJ55fQJAqvgDXAgvGa2WTWpfGrp1tI5mF+tOSo7+LEuJRy3PWz
eTSFRxdVwJ2d4mctBq7KTDH0ZU0QsauJfNf8tuNh45SkPCBTmv0iMcu1llsgTvL+OaFtYdXJd665
D67CP6pwe6yJHdrEj21e19usbrlHpuwhT/PLZJv6hmGBJY3f2KTMTavUOQ/rN28CYJ2EqAG6IX+u
iFsicitBkz/QA/cC5WzGudoOUsu2spypZwjMbATNBAPLrsGvSae2vEexFl40/RrryWtVtUwnrOFX
gGxiZWaEFkzdxOh6Dl+TVHyZ9RQQxEx9O8/OMSkoO9rMlI+WijDMrfVxIIexlta55Q6IGu2jTVgf
BvmuNQUHlsYsL73CTGbbr9Ig8KL+Oek6ekkzINgknw5hi0y6juuda+jHOcVoSRlek5bB7CwKmm6n
Fe5rhED7VOv5D4dCr1a6CdZTUsIHtMuG0XkmKnJvYANbwe+izsQe4BDTXsYlGdjewHk2Z05aJuMe
LrfvZCrjQB/8ikSkr1KLVKUuKwmttX+ST5ZsPWA5MPd3NEXfe0PFp9Qzv5yRx3YWSEEiqNZxQKJ8
lZADsISUuDFXJkDUaeOaRb1CkFftc5MIRM4bbjxBkenaYgu7X+EqXc9BVPqU+TWJQ1hz0+k8BPOw
MoaS8LFaPZoOPY1aZM9tt9UcDVc2qydHVeytWd8csoSY8yZajnhtax5VqZ4rj3O926X4qyq73+AY
13exoOJnqzrqLUFhOMg4DzZxTGar9DW9z4jiDr8DOR8QqsgdpQjL8sBke24bDhGLX02nm7haOlSD
CHLSjtg49Wg6EZW9L8P+UGGlFvg5WDidrMNVkCLEs9P4JaCRuWR9uiQWjvfEkTwXBSG4rRUP21Kn
m8fyPTj9WqtxjMjQOmptlKHJJ1QX4fXGzoW9SvvI75ebVPcCotyJ9wuSfMe8NabfBiPZDfdpEuW8
sAm2ZUOjpiHYfqNDFdzkNh0QmhUNY5hVwZjuXIdfRZzhM2yku8GfHG/oCT0mXeHuOgPbgRyf5tIq
ftMXz2qi1pFZAKhkQPsWpuFbJxTeDBTUNCDqkzYyRi+qQzCTZ1c32c4OvPkuU6w6ZIOcuIl+22Xo
MhdJreNUkMBXWzg9hjzaBCF5O2NvvodGvHWP4ZwL+If8ONlWP/MWIIVZVksOUXKtpXOAJEhEBgPM
bSsJtXdIoXaTvar65AggFR8HkX7y5JnJZYpybz/p0+MY7FDPQSYk4c5JyBtmWsAm8dPkjLDKN3E1
8fIYGCFLjZEQLkUfj3i1zirxWnvD41S2r3XEOBt70VtXjeZWm+86gQ1cN9VFx7lJcKG6IOE76aF1
r2GXqpuBgCoV3Tnc/sR8OdfE7hdy9ZIjv/Q72/Yt6AivK8l3FKMg0GZka8TAY3ONGCQXjvPGbhGt
EWPaH43wXI7qmTlBssZulvv0/R9n4141QICFgeKpVh6+mynwMcqUq66S+1lrcAx1YtPj21tJb15K
8foa6FV0sfPhsTN6ep8l/Ugm74Z2Nyrv6cZVv2HXad3SlC5iEneTim7Kny92PeP1BnGQKUsGSxme
+FzTKrbYynoJTWZUXahpxBYkJhOZgVRzaGQ+PETAJB6H+T14BMAEnr7AJXUI9NqI/I7SaYm4uX1w
grn0I0kWpL3AEOXyoYXRLGfd2rcFYZVlt0QUWsGqKiTmv0xbzJqV4auhjU+D86LiiDmBls0/UOdu
UquTeyP1xmM1NijQrPJ8A3D/G4Wb7Qo4Lg2h9Q1WTVSVPdbJMV0YiTfudrz8Fyk5DFGNIVS70rAP
YsEo3jjUJPHwF/79udXl0p9CMHzAOK3uZHdJsOorZdH5+U9WcREvsCTrRqFRbvhmpth8aAlNSRUc
/rC+bxDsv399TPetxeyzT5YcI1rWSb7yirnZdrP2dOOjtz8YNDfHaPn324PQxBebEX/xarYCFmjV
agAhUgKjnMJeO7jRV7hSYbos3HW3iAidEXQjmn6aVlqEZ9PCB1zUifCLmIux0HuQ+8WC+LrBmHUJ
/CttcxyX1xsI5w9fZ/bovFQB9rtATjvaQfs//7ic33kjGRSOH7NrVczAYBkda2VBH1U5fwnD7odx
OX/ePiRsFf5I22p1Q2pPMWTGnEAi1L7XxIEHC3Ej8anijBXx2c3xBqxOtSU0gnG52jcJNhg1mWRm
UG0Pmmv+SO1ZQaZN92i57aNMw19AXLWNVXD9KpVjPIVjfvtAP9s3OkmpPMCXxwPk0tEAZ3b7x9t/
ZcunjVsxScHggBqboWekTWziS29N9uNrm1WMcmqIbUsHx4wITu9eSseCUD6rH+xxP1gBPyEhI4BC
RNMD+WXaj1wA76XW699hyZfnfniAAJAG+qvIBNPMoKfLq7/OnGtXSFbvzdF6M0zjFaR1u1YB4Lvc
eQzifos5CYyI2R2oib/KkLr5Z2h373XOONTK+NF2UdxJbXhAgfnawjJArvMyOlQgsv+l90TmzQaA
Dq3+kEL8Qnz5MDZkoXoV0a5olg65W5ww77EmDbTMTdPKT5ZCwE5pBu+hZdS3YOJYlYDJyumMG4VD
3fKlvz+09KMYOpBLXBDacPt6Jut6pyWc2Zd/+7eHwing4rv9yNs/652Sm2YUb//2uN5bkO+3L94e
N7e2u9VrcSlTMtaR4xb7cMJcxKjhu7aHC2R+Wu1e/B4wxPMbuk15NWkvkgpgJXNPHftG913tlCeB
e2o6Ddlppl/IunTWzAUfNIxEAeY6RBYm7ktLrYaQNyQnJy/ug0fcmYxxbG0bph5nWJ3VzeKfWpfR
Rh/XjI1VJZ+45Qz9u+tLdVeN67gYh41dNheDxePsyKMY4syHMeJPXp88Wjn483qiuCnKNAHunpzG
ljxDO+K2apbeHcnmzDEq9VEj89yVSD5rMycRqjT3Wlk/c+yX1HT1zrYFy53StyYaZT8n1GzjdMaT
kdTjXnQhRXfAXuxSY0xs1zvLuVqNtx+jur0f52xXtzp5cpjLGjuS4FS8Zpe44z7iyEKpiOI6QmSO
81DnrK+MbynH5ggMAu8lk6TESt7JDqFFQwIOKaXraXjTDZKKSXX7ZcSZ2pqO89lm7kU67YPCMOio
8LewC/2kR5of4rVkK38ZUnOnp619gKS4hkFM2nG7U7bbHzjOvuTYVpkNM6iD6/O7bN3X2rTCbb0M
AtpSXrk7XmIvQm9ghECxLHfrqugjaYd3Vnv+xPIgLJOzRBQ9C2+8lzYiJ+b9cwZrMU+5z9RQbfuS
FMpIzpAgpfel/eacNZwhKD4bTjhsEKFKH+/EM44TdbSJAFtrChC3E8rvqhxA+syXoGiRrTXWkTkm
9Bt0wU2wtdP5SXBYyW3T2Bn5m+WIT1lAxrDpC66Zq02bRQutmMaOkudjBfGipYJi0TFE6vqg2sVN
fk+rlyqXw7kVbQbN3Hdtdy7GudzaGqGymujXQo/vNcv4Ka3ofgj7+wQxgJ1xoCSnluDdIGwQjdW0
rkHmaDDgIADM/O7UOU2VczdbDK9SlCQmYBUaSONzaDAEJnnutwYIgO6CdiogEs9udxnz8QcG/nwV
WcN9WsoHwAtXTdmP+tC/RVn/XkTRRdrjPqFnbyeVt0qm/Kcr0Z/NWFEtjdtCDOW5LIpfvPsp7pDw
wcmiT2ot4lGL6GBO6ZmFXmeu9Ntpy3PnDF+jIb46RvIs0L/GDEFbaw/MTrr7ucibNQQetcYecJb5
9JETdF8hNK8QEnhNA15NGfdW+xsNzEdvOD/NZ9W1Ce0dFsq5Lj8n3eHVj75GkqeZJ9nDOhwT4pet
H+m8tAJMZhZt/zp55siZKEEs4IbcoooOhSVXCNx/cF2S1KOT+UbBTSSp/qpcJ8JUzKk9yPRtvfwc
9CIklxhhwmQoPVkkcBvEhjJVHVCdaTBIghYOUzAsMkAATw44T70wmd3iF8jgj1rSYkjPE09bvfJ1
MTwntaoIVy4Y9denqFM/VKYXjP7fYjdNIZASB2cAj5R94J2a0VynDUlDmn0XjVa9MwqTNijBmuBB
cAoNnj8Y49XqHbpgS0xWl+76pj47I4MNDtd3UWiyq99Vi21I1C8NTV4ntM9qoncllzXLtMl1C6Co
EsjpMJOitSY+Bx0ZDmxSf3KNyDfDjtpX757dNnkc2mFV03klwRDCXskERKP1i5OH1YoLEEc27T8g
Qlrj7rlLF53wIRlaoDrar8BzH3mFJyoR9vb+fiJYYcqrjTY5fhcFR61Td10aHMvQ3pcmna/B3JBr
+0qDyZL6N+LnooMJ4sn0sSynp17Nb9VA+LFnZMc+zs9NxgBE4+3pbfSPBg0sI/5EGJJm1oOVYlGR
yvswbL1dx0RuraPB2raxjqLG7vGoxu2usEpUri1Skl8hWjoifoOfM2iyDYEWOdSEIdLu7aAGBzQj
qGFe2VkftCZOs41PSQTVp1Ljm6CvAzGCCJzpi8xocp+cgNmVtHeaal+j2HlhakETraODHGfDlyoh
hPeG+6DH4a6rfwQ6ab+csq56rl0SY/50Y+91DBmFMilEELcJlD1TNBSvWsNuW3rVJ75fWoFVwMbT
1NseHMa2pbEPlonjqWjfGSaJ9ZC41R6rAjavvkfXZupUD+N0MM3+d6A4v6TdfN84uloFUa77yGZo
lhffOm1RNtf+IWwCbkrUBBOZrByTn+f2U4uxHXVpw9Wi1MnoAy4iBP3gn57yxsA4ViNqKwFOYGWg
BM77X1Mo40vsNW8hyWQrp9W9u5Bu6opZ8ofBUGCP+wnES17mh4i1RGgMIhAm5L6G082fNV7PJDBm
1KC0QGfTOpPT0vo6GHu/j/Srt8jo9So4hq59dUdHPNXTk9WnKPVK5BUGajw7UAlzChJ1ch3dz9Je
6qTzGVDUnOqZaPlywCvSBQQTd3DMLA5iG5kS/ZtBZFoFZPj6pcP5Utd1g/Fz+50awz7zkD3FKYm0
ZFUTB4OWcTU3SKuKLlfHWLmCoJyqhvvkQbDNqieVpAvPru13lJsx3IKOBrRK41NhTw8187yzJ5Q8
O3FtbvGWEOZY2+XZyL3KDw3z4pnZR9jL+RzgoziMzMQGT9bnbvnglkDKR4O3F++eczQX38k0ZqcS
0thOhwlyii0OiGm6dJZQSx6brPO2iw1zynJjT//szklQz90+uN1MMZv7eW17u9SW0zFuLTRBtPVD
h+iIiRjOi0EaM3KElv4YW8n19sGYUO5pHkpzMd+7DO4d2AmLKxHR58pQHviXAK2IM+IsTHJ4Bah+
zboU55HNcF0F4JFFOU7rsWv1J2rV/kkeqkifn1wb33GmYyZ3usWprZh+9fnQPCtjzLe4IqgSk8Tc
uQmXXKhs7cEqX8IOH/XtEyc0pq2xzPBLrVz1wh4EtwGSAmGi6E7bdr5Gc8S+6lDNVLrFTqd4eRyz
EOeoL75aoeIdSQbOOZtxVhlNvHeY0K2dup3XeoT4RwbW1ZMjsrku0DZOii0ioxMMF2sQm3kw1c40
Oe6pZHZWQ98ISkvi3+pc8dN6BsMY6zftpNNzUd51dHeDVU1P/BTfTNR+YlO/S5Pa8EVvAPAp+nHt
DA4/cwcrzTiH0wKaMFPEjCYJT2k6ajjzOo4M0XyAm6/vCeM+aB4Wo4hyIkuM5NSNPRsWSWRe/QjL
j3zz2NhGi88SEx1DjFm7jI3d+W5E7e50KO+Qxyif24wMahXstTGZuUjrCcHoRtXsTHHLN1t6uHV4
yXaVQyNeA9dGj0K5/tCjvkA8gImSBIkYQWVrwbqaiRPNxH3ZJweDxh8VlNbiXnp1dc4eN0NvVxFR
qoftepg5+Q1Whz+PDXQj3GRjiHA6YD+4hGMtL1EyZrtZNXfVLM5zmxfbUTY/0l777YlBoCWFPhgu
8hb4hTh8eSHQ63B0DdITHBqPwXRAuvPICjN3H2KarnNfPJVFnzLzHINV2YauH1HDWSXbZoGpJZba
xm7CeOMuEMusF98AlZq9opuHxGm8yiQ4Lf+fbXbfRA7roPbqtwiRGGPNqBmykxuYz9UUT3fuoHH6
ZP23KndFXv0PLSsfyxZqmQFpj3xDFF4TPO+YMkUwO/PjmKVawATxEUCttakg4FB1ECzd8CNLWgS1
FrEgoCXmSxJ/ZoXtHTjs00B1IHTNzVTtRIEMk0DbmLB1+5IWNSdiaC7b0KMJ1qRHGq/kLluJWnrN
BiuozozMecMlk9yrcHivA8qPqOv2RciBbR6Sswc3bdPngnDubrFMeyOGY2AWhir3YWqFVDMq2lsj
J+sk17FD5uHWrIfgaDmwjno9U4+WQVKY+B2kXkQNjuJ6ZLR6IovsHnCcdgiYSauQ9Ftm+viUIuPU
JqMLLJRU8TTr801Oj3C5xvVNZ9Eanr20Pk3K2NYFG8Y0uoeoqxro8dohsQXDnn5+yIzsnjQTZ194
Lfm80ojPhU3EXTrKO/bDF32sfnAL6YdIQ+vpzo13kAaJWiWdPBMui8kUaud06qNIEoKx7fgRVfHi
NhnPUyIuThe7nIKpL9pieG3gyszOgOqEmcfo0Jx1AK9EperXTsKEZJ5/1n0Dqqmyz62OfUBUnKjM
jvubKXKAlTI5cn3F9PKqe3h667GGstPKCvd5IQ7djJQmfCiqXuAft09upa1tRMtMJey3DEWEZfcu
DpMeQ3chPozZ0LZF6tJDZyKxiUeS0T31cbPG316xvFD9Jo3viCptIYT48fxS2Xt9CZivXHlqeWn9
oinBtQpKxMyoANFTWaEwx/2JQoQ+ME0KVyTwWe2HvpuomBYP8M3spw/KPjlc4OvAHruVtO15b6Po
v1bi8fYoYsJRaHp4WsEUIPYuqEFA2KKAimqPNz2IOUwjRDDdnRwcb4cNg6ogca/EBJa+R2JQLYqE
nFDmJrWDcCR1gbAhjruUXmvxveAFVL29WTP1UPsIp/yZsz4zsxliXhScQF9RbOKmKdOPaAj1veHQ
DIY9vUnt+KMQiFiRtER/vPZGL7bDwAC3yJEwBdwBFRTmtTOrYhdtWB1AWy0oAQzgmDSR6WnCxrPw
06oGbN7IRjfllK6oAxXvDea5UP7IaMatOWE+J4IfCammB7IaHDKLVxxd1DHHaLVqccB2DppZcs5F
PfKrU6zG9Ez2ourvO4uKK2v59ihg+h001ab1gg5QHY+UpJb8WVJTm4x7oEo/kj54DtXESscMCfka
p91uynzCwb+tvvegcxX5GhAnIkMM1A3WEHRWBB1o9K7M36yni4UtvTcqenHmUFgrw+V3pHXikyeU
+4NZ+nHSn6Ez/ZIG61GqN9cyoqLW4a2FJut8xPwYOSP3gn2nDYI3ybQfay6SiWflttrzmOEpr5Lp
h+o4izkVUx8t5s0W5BJEU0JhpKEya1t/eWUYRiYkclLctSOotBGFB1EPO4m40CLGjGCD6OO2n8y1
PGRhcZiS+960P6OKo0Pl8S239h1xShwIo4+RWnIs+vdo5r0zSk3DqVlgh0aEEvP2XSG6CsMqdk41
5qcEIuS+wUDQdmrc5hGHXNeknHeBwL04kRqPgyH2ta5f59ZpL03dqUvJzD1nZnqQaTHCeskZFg71
fWaxaMaT+NGFg7jvKSP10Www/GUbzTL7+1QtE57ZZ9YGt3AYk33ROT+g4Wen2wet735GkRYSPlnZ
m6yMocJ0erCmM9f7BoeQUzHLt2jQkM/ak3mZyIvcBzNOcNbRR4btpGya+mNlK2fLWmKfrC44IUah
HiJPquKIv6/dGt6kYa7r1niAGgyGY9I2g8MmuVxU+oJ1iDrxrkmGiYlaXj/aa0Rb4EwTwXEWNEH5
K8+jd2DY4+2WM/80gj1E4KQflLsnVN3b0eQncxF93xqdH3gxvTlMKY6nm+zW6GD6GSZ0hI53j8Kg
X3mUCcNyUjMbM9wQaI9zkdEfN2J4KPX4PelRgqYSNwP144OdVlc5hljKyJXG3dPmErVpE3MtDdq1
pJJB4kDRlDnpk1B2gQznC4ed6zsWAmyD0/pKoh3iucFpLZt6Uw/Oq6rchmMQ5VKIuqdo69eGynhd
j6xBt4WI9koJXMHyANCyHQeZZnOzf8zFchrtJGf/OL5TNXe/ZC7B7J7itl7VY8zh1ioOuWTqT2et
38j8DiD6jA1tqvc6lAgqRfQipkDREU/Uex6rcdf2b4aG4TqgLBNwYSj1GRnD5lNZc8T1gtq2Z1O9
vU6O864NaNOEgWfexDF0e8LVDPY1pNrSh/BlphD0KV3Z62GgGED4Y4bo24hLAGGK8TVN0ehzT4JN
ErixFqagOwQUrSONTFx1dBS4V2Pdxp5YJPQMWLBMg6UmRe4D8rWj6mHoEFXMTOWhTBnjxVV0bGT0
sZj/VZt95AVXE0JaxN6G5pvw/te62z+FhnqduKzwKEFS+esS1BuG3gme71B0z4bfp6xYoNKpV7ZN
UV9TD1Rz4x5iI3rHRd/6xYARDSoEZQkPKpXcTbnN0RfO0wLH/NIxsNMtc329YckPrvk8sSY7w4XW
NUxIcDBrmGFEpSAyQR/Qrpa299rF6mLkj5zjr1qIQVAaCOaW9apvtz2iCDT7rM/txIEv5eFgel1G
lqxi0kw+vHa63Frq2EisVc4pHplESQuOiBlNOGe59ClZ2udtsMDQ6zS/r2R3iVlkVlr+oYyuxkbM
X1NB654Lwax/3udBG/k27XMogryPf9bEbjhqRjpsvSH5IEUsWtcWZpkM2qvZW6csQUBhD946G7nb
3QnalRNda6ZQq5y+7VvfRzVukZJYXxlObzmeQ30AWlda3VdMQ2dfj7Z+75b61zg+hV5p/qRRgeK5
mOdzLJxkb1tzsw4xq/saDapS1zO4peUhBvF5sQDY5T2HP88Q5qWnxsmzGZ11OZHT5XjcJwGElAL5
Jtp+LucK5AHgzIwfOGR+3LQ1893iwy4MAB4Z9+NyhTRG96m86cU0iwtMgetQggMJmh6gMfuuDoOW
3jeHnM5grEefeViuHluHqjVRJerLSjB6Kdssi4qVaRa3FHecCN2fczcdZYbP2RHp27Iecp+gOpCb
Koo/Ihk8l2n9UMziXU3R7yxz9tFQsKoldreiq7FGNAPV3pFPNeW1NdAhtOKls59R7orlJqpHfhHQ
bIp7e7FC5tVdSAY5Vl8u74qyA9+tApNL8w2KPZikJvYzub9t2AFnW908YZpLVmEIsz9h4NElp/5k
Nu5HpbuHVHi4A81DZMTYs1T1GbTk0hpcXHpnP48uc3KRr/EzF14OmbRmiZ4ws8wFm6/bc2kLBils
fsmHg5l6Fc7efrl3TXI8tjlPZ9TAfSqWOxC/6UrT1LXTqRW7pZwYrWAratzKbnkXVNwMeoFbuqXV
bYfiWqLDW92eedPj0k6c6Q7431PXC41xPPY3qohq9q7m4g0mlhYFpMS+qTwWOehyYpTXOuXyv4Go
brdLCFYVg8RFQztNb5H3N8SE0HVJsrYrlqUAcTyGjVdn+TL3w7jqG8vHWMLqgL/WzwF/lIZHopG4
kgPIqyBkwwKmB9+xgIu6fB0iPwjoOnf9rEcqhGQIECTvpGBiOl3EEHT+7Xctj21Z4MAjEbMOyvZ2
3Kmkbq5Nizupiy84opYuPZtOVLTkm1sKDRXtkEJjWuKw2FYdF4WLpylzGt68nD2sy7MPM7fIQXWx
jy2crCSGMSzpKILFQ2Dn8GfPXjJtpvxkg+X1o+Vsn2vzJS3tT7vipBLk7M8RLWgZVd4u04DtUvm8
9l6w0RoOd1z9qyzDMnCz5rpkNHIBLZ3CsdgEabiqW47ieUaJIF3Pl8CPGO5gyNAG66k27XiFvM1h
F4fDmtA4cTWOAsu2ycVR4kmfd1g0iJeqcZ+luDaK+mfJOwe91XtpMdYYsfYQtwCUYrjcnEAg2aG7
IzNF6DujjvlD2/ZJDN2rWk5ZWSNPqicOIg7Zpl2dcXk03Cd4u/1sjj8Gk5u+Ec6u82ZObCllbY2L
AwNSsw+R+KOxnJGUzB4t4+V6HG58pLIXPNvv29qNl45Gg4GCfVxiKsgDKEvestGynty6Sq5yEl9Z
/gHGbHxnDKpP8oyLDiF+hqYXJ/PBAr18rI2GJNVAeL4Nn3iNrCG9S+g9wNmtaMI45OF4uccMvHSf
GOesiyEyfX7EFqMw8iDcdwZ30EEk2Qas6kvaTZHvNSkinKllxK+reE3zcPCR9Gz0wQgu2syKZcIp
dS00Udz8uDV6Riu1N+/7tr03eI6nRCJkm+zmIOIB+ON019LxmtEtuUnw6hVGc6iw5aDDcXZ9iGtw
ruBpwIww4jjFakq+p7I69tiQAghzQ7l2o2LejrW6B3uEqWVKs0fDQnkDs5qmOdyRgzC75NJygl9b
NPEKTS/uR06LjzMCzg49yR+kz3//F0bBn3i8zxJbWhxCsLyl5f3z0//1XOb8738s3/P3F5dAvb8/
u8SfnHXLb/X/fNTuq7z+yr/af3/Qv/xkfvtfz87/pX79yyebG1fwoftqpsevlpP/f8b6LY/8r/7j
f/v6r9AJpfRw7v/f4YQsaMXXp4o/O/Uff/3Ew+//+R9/vu0vOqE0/sENDEaMcZDD8NYAK/MXnVBa
/5CmzfEbRIAwJLvyP+mEwvyHbgNvkA4ADClBt/yTTij0f0A5cGzXsm1pkI/4/0UndOW/5RwC5LEs
z9SBnBnS1v8POIxNmrjnlHFPdoO+JzgwXDMBOIuFLxeRSL62lXpX2nfaWI+uzi5WAZPfFN1IgZpQ
UBULbzlGlbDu3eKNiIA7XbnPbu+mx7CoglNff49ddu5d9h+pOde4BOIOCCjTUVjJhA1l6gTtutDj
0z4YV1kpdsWCRUR+DX94ZmDOaszo42pE2sPtSFpZ8hfZjC9gHWlfWfidQnQVWoPo+V7fECSjfLgP
TA8kDXuDJ9mQkDOgYraMX4lRVOupTH19fAngsqCRFA/e9NjDJsOFQeO3eG7m6DtqnKtjJx/d4N21
TnQZmuA8KpLvOLCnxlI8IiNadR3Dz6pv3ueoekae9wgL7UebgasjuBS5Qkeah3wVTLo7mX73DQu4
Y1fvHEC/y1BZ2AB4maVjPjiVfWps3H8Fr1O6wLBC2byLclPF0dbKaXQH7SYB6648DK2G2LmAu3ov
ec96JIfGwMh0biGQF7+peDbNUsHrvGxBSylj8S1JgJd32ZxClXNIyyCdOtMFNDnrucO7KlJMe2KV
Rnm9RrxCz6SntsYbv9dFQWMCxU7kuJulGBKj8zOQ6vNPXbhQkLJEW8NOPiF2semzsAM4tyuFXCEC
1X4a5BYl8CC2GE2R+44hUkoqdII6HmaZzevKMvfLD04Eyqfbux202m9RvYUYBFcVNLFNPbpvCdkH
NFeoZUkfe2hD/OlLEwenKQbFmSqvsA/2QEJsP65aTO7Ic4drV3g10/xi0y0teqtyeOPn8IUqdlwF
S6HvlcV3a83eJkuKfRmHILC4dPj/jnrMXnVyiQwp5Vuj3P7kZeEnx1MO0VRviWzoemBaskr6hzhn
IuSurU6dBCFn3gognCtDTvdab3yazScuRe3RbAPfyDjphx0iTIs4mgW8YwdHdFHptpEy3iMgHFx6
hFbLcx1seegDeWCigP10qb48b2Ti0rPzY9Gc9W88qqjHJush7xc6pu4912P4Ru7oNY15fyn4cp3W
Y0zEkElrtFZFjAQ9yChYOXrW/5u982hyW0nX9F/p6D1OwJvFXQy9rWIZSVXaIGThvcevnyeTOs1S
9bl95s52JkKRQhoAZJFEZn7fa3LeZrkJYqJzk1+Oez39Nvb+ErtvYNrYd3hti1UAgImuBQrs3Onk
ppcuyVu0/H4gIRFG2WOpG7hzT9vUVH+S9h0Xsy5+eFUCeAx0UGZZd+OU/JQ7Ax0LV2gRxSdr2IVE
vfGf4ZegftIQ8OQ7ymJSU3KIGydz4Cvi9EW5zDI+q4Aw6wIzhxcNVM11b47vNKuSpn4ZYltbgBEL
WBHKrYzCj27pqtuqzE6+wdchMp4dj8UUdNFdoM2g3L8mVbAh8rvUK/7WWDr8BLrMWoX09rDBouc5
Qm5bS7SLG4bl0nX40dQ9xKtQok+yfWWSYwozgkCGk6zRIIRZ48ZfDY3FNc9GFz6j/wIoZdp1fISO
6TzrRD3EQgwWqo9wOf5YbKrGBMkInqfoHUXLIMSyyBrStec0L07CfW2HtSnPWgil0wnNqju2QGBx
ykte8gQCPUJknywgMujZV8gDcHbbap+VPFhyoGQkoaGINNa6DOCE6irECqQoNnWqPXYuWa0YReld
1rBQgggSL4aaLYeni99sV1aLKXLuxpiHZVHXX/TC+6kjl75UmnSFTuy48sGSFUnpbwtTORKWHLdt
YFyEDHQdQpcwKt6QF35sGh5HiVPgQjEYuGfFgCdEbKxqiBTjyrLB3CRnMkjOhtgdWpl7DvyjGrGK
9yLjCdUeBErQ3nRnApxaUhDfTn4aReaDf8yhYoXWnVQqJaeJJndgQ/XOc2cR4i3E1mxXgOVYatai
QqwCMTa2M3jFZ11DsIZlr5qRzHWCbh2Ear4d4LcskdZe91quEhhxiyXoyotmoDdm3CsZH4Xi5ye9
9L8leHcGGk6IYRl/7/L0yRj4tBLrZWgBvM5OMm/w6/C2+MV8LdEtR5XJeu6ZfJe2EfLTS10QeGDQ
DFPsxXiWBI3+ABE3XgVe++ik4RPRlO9jN36obWB+btvysLCDi5N8l9/ykf1jEpJGIsLX2tvBHAiu
NxOSlk5xHxmA2zOAYklu1vvKgBAnJyy5EUHnhU9UaXzorVUO0ZCtMdZcX42+vB+n9ovT5T9DuDTx
3L0WFV8DTUu/qwq/xcxg/4AE7DYzYSlEvbkHBUQ4H00QMtPhsSKTCjDQ31qjta142k9+t0d1cVr4
un03D855wOrRj3FCUwVAGFLruossFLdRrfdnIkl2+xFgSbQI0+kBmBcqK3n1GnX4RZQBkxGRGB7l
5PgXjtgYzX1dMzmld0rDplgGC504+6IOyae6VA8alLVoZJ4kcV6q6g8cNdkH+eNnzIvI0sDlY8X9
xRQbx748WcMrhON0VddsFn2tmhf1CIpvsHnYeIm992CxLZ22zTdaA54zi9RVjX4Asn48pIizrbuS
h8/gKM9NPwtRhoAgSKeT8gGhj1T6ZhYPSHsE09o3zMSqoaaQSY4ViVUYcMi/iajY0BH7Y+cVbCfT
WaQahHw+11RtCRKwuZfTIT8ewqasOFKx+oojLHQUbdtHgs8RKM/z1L5gUJ2gDdCZy7zmYWuZDypC
hpGmhhuUQmfQcGerJS6XxCwbFKt8UgbeS+idjQZp1KRI0fip1PxEpikolPBOLF2iUj87DQlZR9fu
pll9kd8czyjYrng1oaTpEOaKvXZGAAYdU9zGzO1kncxmvaiV5n7o/U8RNJLUtAApAxUwEr5IJvrG
IwpuY+hf9HkIV20M+C5UfVjqZQgPEwpdlP9wBw2JD8sukY/zvyB8ba2JraFC4BPiFduij1nBUilB
w6izk43lgfMqCJ3YUDU2rWY+8ifPd+A72yMmQL+KairaI5RQtKymGn+fem2PvXcg/Lp1QfkDcEA0
usK6OwnaVdPAWGdxPBxqCH/roUg/peq4CkGAc8lH8KhfAsdCUr6E8kmWadbgdVJc62ozp6u8h5Gp
Yy5wCIv0Po6xGuoM9cl1u+ZQTkZzkFbLhbMBoh+voU+CIzfr7iDZCWUUdwdZlUUnOvzNFDQoeptf
Bw0ouaM4zcHGMYNoLd7bHWKJxyRz7017sjZourQHz609ZIDJrSlGA2+ldjdKu7HdQd/NaMaMjXmn
ZSHGspEgkiW4X5hmhakXqB0SDzqWNmYLQFQSNKAXtcgepR+sGue7SnZgTm4uWyAMrLyD9jC3GvkW
YZ3ei88zCPgl+fMeeSCoUnVyDPM7IPDqGoEcTIcmmCeO3Z7KLkSNPAVwVmcQIv02xfFDVwE9GPbB
hed08ExjDQ123NkKWeE8f/KtH/aY+09YA7IA8/pvRVH3QpWkP5HeDu07IjzwCwQMn7uQefpcugHy
ZT4mJkGPkElLQKCq+cK4jToe2t5XUJsSh4mjs8Sx05+yFpVEs7rOmRfaHD9J1kMs2AzyKHUAyjoB
Kg4O9otFhDi67rzmCjJUFV/WJRLXLw7oAwj2mgEOPTEOtkq4YnGrg8jR13YefpdMAizAnQwnOkgF
qpmYywm7KixSuI9Sl/oBNQOwoGnoHbHfiFYsc7ApGhEIKTL9VBW9cqxjszwEqN3Imj5EbKe8gAzK
6PYlQIlUOcqiEYOv1aH8aES+v7GJ86/ZqJAKydrh2HqtttYHhBtUx+6PmdqzN3RYBCQQbk+2Hzqw
AyxhzxcQ/1exOXU961hluX098iHirkxc6ODf0iaHdJV/yJv5QErZXMsWQ5xk5zk/3hpUOhCos2ZY
Z3+I+x8lL7YcVeAstQ9p2FLtu8EHrtJ7XX8cqsE+T4pyioWv5mwOTxHskzs86475oAv+F1CTyum0
Z6XJvZWOBsxWVq05vDMyMivOwNqsHFT9OYVxemoEm2HoU+RTtAwTSk/opEbG8LnE8scZneQhsfRk
WSfja9Y52cey80gq5iwQktxieY6LE/lByLuO/fwmvnC5Sgj+A3jcpYjytvmvf2rvRWrZrZs2apG2
zZfFhWf7u0ht6iEWZRZ1hzhuk29RxBV7VbAxZCxy97mrWdVgCLWKetAvZsTs9X9zf1NzVd0G22uo
78QWPQBuk9eW3a5xxg/WXN3VDotJNpBGlHxnsa/DyFp0dngAr7j9z/d+ryEs37pjY/VgaohivNd5
ZPGv4KKWd7t0Yp8oNowEZcmGk28KzGk5m+pODZtf8pK/oku//uTvgl3vqv9Pxr484iZvPh8RXPsV
4hLRu//6J3C2tgZJ/I/i5z+EInD2NfryNgh2Pf/PIJj9B5+Y7bmme42BEYT6Mwjm/KGh+4/SvmHY
5KpUpKH/tOhw/xCStUS7DM0V1h50NUXXhv/1T8P9w1X59tNpW47O1P0/sejQ38fAPPT9VdNAtNy0
iNKJd/5W+nnS8kQLyfnvFE9fkB/Ngp/WfOyCYKMSR9AyIlYmSXvXXfnaD6sJF03/1EEhV+fvOmEs
qOqAh+DBZPFuGC5DuVNFwvpFM3Hviy5v/sx/8QhARv294CmvlgeARtzOI0GtvVMXLSwbhT4XOI4y
ss4NSRs1WXlRHZ1lpPkyeeUJK7g17NaF5eyUTH10XLzb5rsJpHGltKQ+ED4zmfQzFUWRBPdH/xwh
vDgY9n4iCDSwh4nw+0UJYeHdO8aPppwI2wDz9ckl3VWQfRIf7EReXsTlJhsvdtHGiKRm9wxRQYxh
B7VoS1hz3K6wPMC6PmQ0hUu7mzbAGdk4oQoim8QQccmq1Fj6mohoDxtxqcFCB8Dt1mr5TTCd/3xR
wJpW4jWJFyhfcCWIzdYa5aGlGBNxuYD9qT/YK79kbIFTk1cjSkEGieOK42bwl2z4Fjq2a02QrCNX
vRdjYDSibLKFgLsS3aAEsboUotkMRcjPh286gXZx23szIVzSYZmMK2tVd2txthl5OzXzP9tNxZKC
a0SAjquwPPhol1Wci1E063giE8BUMu8sLqcDRu2bnWn0GzEiiYaHitEsfhOY9nwcrfpTd4nCgHox
zHurQQ1203BGgjiNzz3k6+LmleZs/nyr4n5syheOh0gduhd5vxNdRCLl/+POUtEJ6Ah/dGv5BriO
ibkpXttb8ecR713cXLwHU4nXVZ5sxLH4E/rimD6SFQuvWMXJMymo5WTkH00AfXodAmBI2cDogbrN
jIDoCj8N5mGb4764xPozS5eVihI8fK6IxbqNwrGoisGNBlUZqvek1sCv0EnFFtmM+00XZ8sOSK9o
92cSigjBxPPniHuI6zZJvwGKvsShWV5C59gDPJN3oAcEzFDXyPxeT3X1dgnRdJEMrLOxt/M5Fn2V
uOy6NHlnXC0xyfXCoXpS8QLMOF28AnHakG5s71XDXiaxEROppk3vIc0R98WXLBYmPcaSpCRIMaS3
ypMO3wNJj9UXcvXLukseR8V/RnipBVpffobRCiMWlPgk1HzTj0NpxyvAYYTVrW3QCIihc65qbTkH
SEND60ct9NyNUbfK3U4Ij2yHFg4qQbXnJH/RG5x1lciv2NoRYZjU4VtuBqsszNkLBfxgFC28EDBf
N33A9wxlkKF9SFW0OIHPdej2RYlxz0Ps/8+h/2f5I7Rc/uMc+r/SL03y26x5PePXrKnp3h/4AaH7
yNJHNW1h53KdNTVH/8M0VQ1dd0tH2/1N5oh8k2GiJo7cOdwYC03xf02aFl1IwdNrAClTsaT6n0ya
hiNmxZvKtXg9cH2F3QzLQYw2jHemDq7TT1nWqeaPuWl/1uMUnAQs8K7vUhypUKP8grMSoac2/l7l
HVs8IJUPddwAdXcc1JrqAnO6YXwIQjwsuw57Us+yiqe67psHdq/Y0UEZkUXQtdaySzNrG+I2/hRU
pXnuLPfiOBrBy7b3QP8DxzxcByvudCClBBJkDlLsqZAeNqI+OJOo8BtkRm6FU/bF2Q3bcCTaqSAo
MlTI8P7FGNnW945y8gkPiQHy1Fz3P9ZO1m3MQBlEWFR7SR3tzmI2+KEl43HSuu4VT6981Y8IM6RB
kpI/MhAHwIzhyVT7GUSODm5tztEEUGHgZrpfnc3WL9H+9D/cmmS7LG5tCPWvm8rygMFyElyT5jR0
D4oBhBKJf0Tyc1E0CUZ/sso3DeeBOvu3dlcnsDYUJV7DcrQsrvViTOiTF4rcYV/jZ7pD75w263pW
DkozR0SWPRu+YaSHm4dg4JEHaVuErszsCPQSaFuY9NkxmQL73w/9KMuOZqmke5BFBNPr3B2w4M3G
szyaBzBv7Myb+Ch6ZUdbFXivWi1E6xjFAVDlBApnH4Gpvg8OCLe6LyVUFIhDr55PKmcstCUep+Nd
OBJWHCanfMUp0iM+ZjZHN+7MjxpSQc5QVq+jbuN1gXrvRg4bIvUBqILx6MT28Ob0KhDoBiMIt0DL
8KPPFS06uG4lkGZUfZR/72xfgXfm2/3WzlVFRzTl3rZ1nx9I2fONqJQVEm7uvaMV3r0lCs9GNLrT
zOOtHYVTNNl1EjdiqCy6efbuESTrV1E2/LoGMnL4SwfAwZo8FmqdFL1qEQDJeiCyI9+vdx1yyK2t
ichmogJBwtGJmXZAom61pvoka91skgWSh+/roZLSRZbeOaZpJuZbCEW3kXmd6cDqet053hqjFu3Q
KkA9sY3aR1nAfdjWRLDusrxrH7tSIzSXRw8V4JXvvdbcTWqYfTHKCMuK0gs+wB4AjF84+r1ehkKR
WssgSQwl5izBuLUwRDoGaqlAVWrZh699HcW4sCEOr6BMhYrgFF2uBcSXU55qhzdNolNxK2tpJYG3
vnVERGgv3/VxDH+dKwZmMdqhcY7fJ1pTGSumCn0b6G6SzCELU+dzZkOMOoogeMgi8mfIIopxzrqx
fazNtDuprnI9yY/iYO8gQInJrW6evG7OT0m2lRVck3H4fnMYorh/YsGPDX1t/OoZxGkxQhyoA4X+
uJ7ISS3qBgNtFxFZloLmOYb5f+5Q2rlrRbsFFFPlccsyLZ8SQuZyXIdM0rU/a9TvRqYdpj5s4XOa
6iMgtukRGSNxfC0GvWS9MiEtWCXatQ2+BnwPv0YMkSbYZvmpdZKX20ltWEPX/P2i7AHEaPSN7nFy
MvgYw/zi4pU9q4Ae/ZnatSnpmk08oMAmqxhi5Rdv0rPb2Fs7OoXNBvUYsG/8pg/ZjHLpjCnXeYh1
bxmOVvbNLVYKQi5f1dauoEdmydlFh+M8WL9mhb8fYMVYz+B5+583e5oMqLydZNk3G7pmY29hgz4F
Q/L71rRo4PS2QM5/YDpF1Ie/+Gk0aoACltfbGydF11iw6BRdQ6AuM0u8sqK52Jbir9i5KJ+OunUf
dHxQWm8Ve3ViqVqLTtkWkrtYOGOOhPIQWWcN8F5mAovbQ+b5ms4WgqlqvSXs9SXR+YaC1hsfyinf
yJosBiRC7C57vlZK3PvCObq0QOmfrRZRS9XzupPsLLNgwDa3rveyqpJ+auwC+ZLYze+ByikHYwYO
V6Zq/Ak98EtAGv072PyXJOk0tEwiY5NHiYPAtnvKwt4mYBerlyg2Uc9KjejgNz2WANlcrm1fzT+A
84BZBExkO2H0swI9kBxgZMAJ73vzEVFEk30xQXaeWljNjLGo9inxS1RuRU0Oc5sUKeiSW0+NYz5e
h+07LUrgvBqE8VzM0EdIo1uvjZwPgH3u7Trov/oBzBS+XfNlBqt3xOsHNaZsLL76dwMibGsta5zV
nJYsf9rE/hsHNl3/3VfJ5KvAvs5yTMu1CBbiSPb7l8aJ9TEr8HnDPUHVwFjWyWNP3vvBCNZJrKP6
VfXk1Oe2utjCGmfyAUUa8Zg9Q7hoT07eoccbxOPRqFCOUGbMxnmeKEfWot7CzxRtRUgZA/J/dcgj
2SbHyeq7ttu57zr+avCtjRUmwiUj3JRIzwHDmNa5NBNlr1muv016s79kCo5woakQ+XC6Jw9FnJ81
YshlYwTfOnhFwtzdsBA9J+JuOQi3D7XqwtwV9ZAlAqAh0Xo9vMblW6vZ6mF0ug4XA2W7pyPXyLYp
PYE4iHcVZPJ96YM09mIDOZPE8F5cFFUmrfB/REq+1fqq3Gce4RHNG+DD6h0W8jEOU02PGl4KfggF
F3E4ptV9DDTlIMfJpsm3C5TYYqa5xMmYGqyvY5V4J6CC2fNcIGZG2B5aPOnUB6hIyYNakkppCgFm
NIvkweiV5ME1www9bcT8ZJscZyqVssvcHsckcZosBrdSDl08vdyazLHPzs5s7MFZ4+RUkyNieAzv
LTE+oM6wzEabSL4oTKMacFLRAGuJpcOtQx7Jtibq6r/uJhEEyVFHYeXdeS1cKGxdG+MLBJP6ZHvB
DxS1NbjBHTqGKaloI4ietTkYnsKpWGexpTyW8LVOpYcsg4YS91fbMXd+4OqfnDmzNmEfpHvcwtUn
JpdvcgBCWD9Ky2qePCuq9uZkqptSMZRPdeduzXLQvno+8HmikMO9nbjlidlnJkpCR7oN8mQbzHq2
zE0DDX28Ss8JelXnydaBN2B5uR8aPbhjaRw+VX57IS6lnivTDp+gTSGs5ZATkp2y6JX6gl2Aepa1
24jKiDhdnPWva8gROmmS6zXaOCAkoWc6ArwVOW838d3D9TAuNPegGC6tbw7HyzygKeMgpbiurE75
6Pe447CNQ2E9dJWPxGlRVHWZDWSvXY8rBdWPpzDJlUfkRLeWGNXnc/U38X1d5C7eTHVEgMV2kpCu
iiKAzb7296eWHyZjpCRp/iPRvf6CEDVS67HfgKAIj30iVL2TOy3KanLoQX+KW0f/4HaFeWhj5RSm
KA0vI+zciPilxUbObi4iGIdmCtND1ENE2aD9hpuNg4AEGOZh/Z+nauN3x1jTEUFZ19IsKLJkRiyx
9X8bRFa0QHGK1DG+BYZytDGBJ0kRJf2OJGy5uNa9KAwvjYDXjTGk4Gujiw7leZyx5yTi5y7CELTg
jFbDapp40spT2kTzl3jLm9C4hphtQIYpSK1PeAPY8b1sk4WdetgcoAWxkB2W6HUgfm17ZNGm4W8W
J9JO9vcPzOB94t9naS7TzPuMDMoJAKHt0f+uDPG58vICNwLUIFPXeGmMstvnA5Rxwu3mS6yyRxdi
vugMWNFzhdLF7JfmC5muaIdNmLuWVb8rvqdGU18MV1EeHCt4up6NAB94ujDcymtj/PxActCMukM+
fI7GuTkEWdkcVf4ieCWLw2u9xRpIHkHvLLONVU7NscW5B6Yp8LaiKOL+PvSAxlshApMd2pu4/e0T
1+prbHESF08n2NeywDILnJU8RFMEK8hSRwoug+Ik53vTR+qrbd0XUwsbMr/FuPdAAD3x1PguB9Q8
z8C1K+4jMsbO3i9qws6j17ymlrskapx8aZoQj5yRhzrCcfoHVAvxlG1KY6329tuqOdnBIjaUp8wx
A7RShIuKOJJFWLLBdsEUbN51YBiQHf7zF94Gg/zu92qwyzcwVncBKnuy/41hpmYEk+qNsf29b1zQ
slYEVwdtbGSX1PsGO7hHNLYpHM9chaARwGVQlR2pApFQh6siawGx+H0YoDVjoxyNnek+XSit7j7E
SuI/JDU5brXLPvYwntGPG/yHSSuTrRV4GkZnBYA4NR8M2EEoYssz5MA5CD4xO1lHeYZsJ8wqriob
sNRx5VVlTZ4hr5ppob68XSUUEuSxVUE4FzeOhIZg0GwMo7IOgC5Iy18PRV0eyWJwQ+sw2Ox4FvKw
gyGo1oa16xL0oP/zp6BJ+/jff4WE+kiJAhbTXWEg/vtzR4/yFI60hZR6iR4o0d/kPqvTR8+N0gM4
1uReFj0moPcxegbLogTxKdvkWHlUt46xHjQPiqU449YxVkO778Pp5V37NNbJXTk8vWtOxN31ID61
xRQeb5eRwxolNsgMGMr17rLtWgixGkjCyvXut45GyeedjtmNAOT+eiPyKCdlcw7Y0d3abzdTtBIf
ek05yk7ZHpltdghd1GKzvOrZ7IQUqAwjdybr7w/lAN/WGPD+8M1pITxUQvPvLybqrVJCqS0Vb9XV
o3O2VYTl5BEpKh0FzbMVd0/kDJ+MoHbBa4C6dIcOlbSwhaiqF6F7kj02gdeTrE5E5KAIRSgxxeTz
PCUcPjS69gnOR/BIzA29jcIBGwfV5hUfpwbV9kQ7zYBin8tUP8p2wgfxZgDxu4ONrb3q9uOkAyWz
icvtS61WVnLUX1xVy6v5b6AEAAb+7flBklhXyeDqzCE8z37/4sZFAbey17PvhHn4hG0fVm3X6e45
GeDE+ECEZK2I9RBEmp6la2LMLVkghrzpGWIk+tPq2tROKtg8E9oEi25zgLf25+BxDrzrmAa4LNoU
/qIN8cpWB55betJtI21s77R5cB88MFH3GLQtPSf3HmRTji/nwbRgOZu56z7ooihnu95ksQL5T1Tl
uKTF60m17Q59EdoGLAMAZoZ4U+agUbQBTQpxdCtkmx3iLMEjGrVq0evowiDv3Zhb9U23lQwTSWu2
79Ci3l//v73d7VIV7uBHlMj+aijQb+eArjICLgiGnAps0k7yKIqajz2S+tt37aMYdmszatb8HsA8
FmNEzm/nvxs3mAFa0YONh9zvFyiKSujeicYmyJHi4dUu3zTKK9oEBfGlc+7CzjKPfjKYKGcSK569
I84KCGig92cSVaVwxyRC3NyIrOu42xnEGx98jPK2t6bbafKaIc6i/hPxbPXk8lpwnmuHj61uvRoi
2I8wDGz/3PwClaJfEjbB24FY7WUM0nVtIwzgTu68SqeaPVVXOaewwStQgZH76hGakoEOZAVLhHDV
9An10wSyP7pHeRxiSFv597o/70rXKT8qTRPcl2n7Cuu5+ogMfXnqqh5rT1HtotDZZwlI/+vYDAPH
Gm/jdSJ6h3qvOKcsKoSLW4c9yhijHaDa87a0lOhpgJXMBi51vqveK7Ka+CBXGkkYJcJ9GduFPUbW
HZF2Q8zo3fxYmg6KgnGt7GSbBZX1MkXu9QTZRHqj2+RhhSkHCNdHeSU/MB68sgjPcgSS47xBgnrr
wK+Gpe3FxMUBkdVgtHgATqOFSJMDTWM3aRXBC56UspC9tyfjrSNhbrF0IvG3pkFe5PZAvd3p1iZH
I/rz6/L+DqsqMYUH88w83npAiOW8fq2LnkmzyOLAELw13aZ/9Cj/bTUgx90WB+8udzuXP0H6626m
NoR/s1iQ8LDf1gp4DaPHyD9gJWQW30FHDJQsai9Omm9mHex1OypP0L71TVfFP8bam9WNVTXl6XoY
eJ/aUkFGLfbVbwFZa9zo7I9aaKhrf7S8YwNN4cwC11xldYEOU1KFR0B2gFzRwcXp1PCebUT4o1B1
X3Itz/HdMHFHcELvBXX7L6Xf2Je0CNKHwAteCev/jfG1yIH+vjy1cFT2TEiSpgb/7n3kVPMSVx91
Fc3JeDSXdTwiVZz4izkJ7YusqaqLewWRiyXe0tBZM7t4CDQ2Y7I3G+z6gLYRmAHPMTdIuEAn92f/
OE4V0jjiqDSG+16dCUSJGhlPGwk1cSgLC086e57UwxBYoOJJyx0qpa+POAyp275o2/swQjfGIQrx
7IYovHReaS66GpmBEHIw97Wi4BTYFERSlaM8km2zqcf7zoH4JTrfDZNju6QPwMCIbkQpuVYU9XfB
FFUfWIRZG8eN8g0Wa8rHdsIxMDV9BFNFFYzUJ0XxrHtZU/VVNc7tR+ypjEtXzQ+sx+Ld36xf36eR
2Td7fCEFnpC1ra69D1YCtkViqraUrxFY9G2XK5+NtM8fZAEjKCVBE194mR5hHfwNz5Ga77rJzh8i
K84f6i7I7hMLtIeCAxGi1IF9wbylj3oEa7vuizUo/r28liauKgg4s2rWd7d7WBGfqcvzRl5PtitR
/SHQ8lWb6PNDV6KvmFQok3a+pR2LuMXj2rf1xxQJv2U09MOXodV2GcTFn0jbbPPUdr/ogw0R2fKC
pyme2w2UElgtCYpQsBaQHbGLu1s6CNNaXqqhJW9TRLX96HmWcZIpIhx9unOqVX95UtS1kAkiTnDE
CfK6ijt2UOOLO9zmtXRZTsnbO1gKuo0WKpVlVbSP2Cd15zqq76JEbR9lEz8KFHex/lnLqtZ7xYYw
SjAWq2py7JPp1z/ypCwugxF5D6PhPg38ql5qGz2DDr1mflXAnauwO/dwFJ/GLEzvayF9gcSh/dJn
Y7Q2J1cYKKH+HidptCJyVxzNCWgNLPjzrQhV+1e1biFsJj0x9qdQqG8Qx/5V6L6JGEdnwfTzA3yc
Yd2vZJscMkF4PIYNuPZEZedcx0X3Sf9WO73xSW2x1swqZGNlFX+BcVMbk71B8sb4VDNBLoY+D+5+
nVMElfmoBaG9DTHdvnONylymvI1vDcbOaql+RsFzMdhKf0LCrHiyJzb7apx/riZrWlmRYh6coZ0+
AH7YIcmRf8b9VkO+KMn2RRchxQMMQY4Hg+/w6yxNFlic7lkLcfJrbvAMJZDb/Z2Buqar72NX/Oog
/4qolefCUX6/FLeCoawz0MNf3YYdDSJ89r0mimoOcYjI1Hgj2wbU40gmqvqudpknbuNCEHtHxC1P
1WC0R5dQCMzJUdsGCCp+6pGljns8mmIPrapBdYOTWfjTwZjyfaDo9SW3bCak3N47YdRcZFNrxh6S
tggD39pkh4WI6Qwk6+z7nFnVHkoJWaFtLFVna5QZwC5IFwxHcJEmiWdwJLIaBJjFEIWbhuP1ULba
dqPDhBLj37SWJTmfOB73sqMVvdfR4mxkmnFe9FGjRmKDQKnil0/mGEa7JgFeSQhYfQxqG0GG2WmX
VoxZUtwU4UkWGA6FJ1yzK6TRgDDe2uSRK3r/2zYjGZKjbz/fRsmh5MiwCFN7Dyoa/N+i7Jy1olQ4
H5io2y86G7l0S+xEsPPxYBm3m8bXgKiIpgmnanhts4COuw+yqenz9EBiAhEj3Y8vujMw7bMtM4pm
esVsJdiZgVFtutKeXvHvPeosp579NDFJ+2GAK4fxweDEhUI1Jmm+8YjY56NsBw0zrOvJCfayqrPD
iefs1YpdkITdArHa5BijKrroJ/TP0YEJn3uNBLzXPl1bQkiWAT6fh9CuLZwvs/IYWu1RH7uaj4BC
Mfls0nCIMee166cmDNQDfJdmIXsRgQDdoE7lXmHhsJriILoDplIfmjEttm2edI+6sHxmw+p/HSp0
H1vT/2Hb1SdS0vUnRKAt2IecVEH7gTwmXX+jLgfxmLBRQuEbBnvOnulawFox0T+ibqi+vy1jBIOJ
YVfGCqqESxbK2wVmm6jbMgAsi6z2TuZ28p6MowXOaSsTP2qWD0L06eCCyvnEIiJdjrOXgvt05ycC
mne52MgHfm6tk1YZV+aMj7Q1zs4lNNGb1SxlL2tViRasPHIx6/XUwr5z04ishDtuEnXyEeYRD14h
k7Vr9ehVPnetHGuda4esI064mqdSP757PgNYfBw6zM0y+GjMUZmPGVMxPDiICa6CWo8+oHQMGjLJ
wlcTpXQnUctvYzEdejfzAyRyH5QEPisy2AF36/07WbiVnZ1i316rTg8iUrYpiuXfFbn2Es0GyWzZ
oXSeDsWn33q5p578aaZwM+0kq26bzqBaRR1l4mZXOeXlOk40XXtlnZ+Hej1FjuMrdpGXGpv0PkJk
e6WFMYTrWO2fZKERmgf29WgXZKD8uEIj0E7qrewLirA4l1r/QdY6P++fqjr+auGlsdQMQoClawGl
FoVXxUhHAUNZ39rgsCn3OLduAlxyTrd2J3HEHq7/wZ3Q3kR2yVnwLM+WbJS0jWyUg1WoZvs6zu/g
3bZ7gCDpy2R4u9bKyH0RYr0g5vNVNseRmWyTrMXnSozq+aIj/h5G93buu89ei2iZaG9dpziQRU9W
uuamLzhRAqYFp7xxNVhuF7vQPhcKooRFyYMgHyfvUub4uhJPrL/4CWl44DvBA9gnYAsGuOtp7IGJ
T30kdNHaoywS3UZw8VYfEWJAqqoKVtCx2mMmuwMsno+JrSO7XTrpvkt1ZV3FSn5xPKQQG+QVvrfz
0hnb8Rs5XqxDUNq9L+LGJrPaMYclKYbJ2fggR0a6igGw536wtGnaKKmfHjx4wL9fK8AThtByeXGG
WTsOqYbhuDw0x8SoFvJwNKNtWXYBtuqudrT7b53DJ9N4dr93Arv6UGVaK2QMo11PmucDRpBYETOD
bFi21h+KyeUPKWQ9Za+XDcz7vqWuZK/j1sm+sf83X+fV7LYRZOFfhCrk8Mqc0+VNekFJloScM379
fhjKoq317ssUuqcHtK9IYKb79DmQlAmzSnik6Qq958L0Wzk9NC37FGGm/INZsW7evLGAJzdt/R8O
WG5ovSsPZk1SF7ZtfQndFFogxU5fRho6octQXH4bbbaTbN/bdMoctUMljiCGGujB7JxMvcO3DeeB
lQ9fq1reN3Syf4lUfUtFz7ublW9fRm1YUiELqznCVp+uWSVHFWGVOxSD7dIAAA6Vip5uKcEO+8zg
DTMkBzEo1PseV8JsFAumjml4htDo1i9h2iEVVHvQWKeQ8wDv3IuBPHC9p7WXwg9CBpR3EPBeS6Xe
bDSOz2cxZE4SbNu0/vp0iSt0q5SVHmQKTRJJvQh0bfiSqM4ZIE50r60ArbHJ703+UJbOUjS89JBd
7TsgO4sSmfG5P/jZifRqdhJXslVmp7gdfs0Okyl8YtaJgcJ0NId+6BVd2OogGyfN7KtjSQFojqRA
8Q2GEPiBzORz8JpyVakJaod5ob7kmvdVHdkBAxfd+E4NaegQlidxpZL9WnDIRvBb5SAyiQH8mrFN
EP6VZ5Q8jvE9J8TioaIVV7NgeBMTwve4g6EGLxZbtLWuVgeH1xgI3eAMvo6adYHuiTCHyqPrfDJd
EtfoiuaHruwRMoBdeV/nXUF+xIouY9525GNhW7E4LkMt0DeXqrbCRaTAB0pfq/YK1n0ShUgMmn3/
ZUqlCWnLQJIr+eraGV/iItHuspoFn62GeGOCIP1Vr2NzYkvSUZiUaWtthmCNeHd+Ba6hzcfCJB0c
+NmaX258bh39LQ1SeatNlnAFqRefY6sJYfkOy1VKv63On4XpxI+KpQ2B67wvi6Odm/5N6dpxXdOb
B6My2F4fPapkNCFSDFrrkMt0DKpJ0X7WVgx1dRP0x0A1x5da1Y9OYjefappBe4zC10YsB7+D+BKk
j4UU0qhO4Z4Ehb0TxXoxWH7qPEwxkYkK/zOGxh1/kRrFUkF97UVFObGN2/o95ve5T4BbzV3dr99D
DS4AVByQG59m+aeEoLHoLGj0mZXRgkm1xL7rdeFe0gJcXzjIxwz1TaBYmXuhSBlCy0o1d7KESwxp
+jn0pnbWAQpeRsnJt1HsXGRaQheo/2Rbt6iqNzWhLbROSjisJzNW+6/10BknYaWuCpdyEd6EBR2a
Z/XNi5xANhAWxQKyFvNQDZ15mCpW7ayYLoUthqCbeufLKkbf9O9AMfGH2cD0ADYMvtt/h/1X7H/d
sy6oCMJ/4rMPiY1zo3rBRiun3hASK1B/sG+eB3qYLOXofTAb83vd8rPStQDlnKI6F0EsfcL+XM5H
TfNu3fRtbTt52A9xTh4a3YWVMsjRxu3J+vb0gO/pVQfEw1MECa3wXHpSfhf+wEdaRPhTJT4b7JNu
avu1TgL/UvSk3fK8L7/VBlLDYe+9odHCZj3lDFYN9vBWkn8QAZIJ80Gg6P05GGh1NUeYgPXAq77B
ITrrwaZ9SSRTX5ahndFbFnc39J4gfZrubYfhdwgg8pfeq7Stjv7nquI7/jkiSC8CtFKCrL0ec0pz
unXKNUDV6bSyi3UEYeAnpdBHh0oIFlwAwsUg8N8CKi6unhN/xP1hiuAi8KO5bfbe4nkrcfXH/Z6f
QSthATJvzBeBCeWOkQ39piqG+tMuV1nbRF8qKLnWNhSUlNDt6AtJnjkMPAO5UG0E0VAUSxGGGMDB
IYlCL1Mc7FJNkmdBPZT7vrPKfQBN5v5ptpMvsqWGDc50KexH4O8lT1+OZgXUKqWLIvX/DvbpytyU
RgCoLIPgPtL4FtAjeEcnCNJmIz1OHYP3cphIMzsYxWvJhToj4JXl01KW0Jc0YY758xgLwwzcf6Sc
7EnhNYDBVGSQbIfMW1gF748M0nPBww4lb19NwfIIkRE/aX+HjNycehe8LoE6/rqafJIeFj91Db6+
YHAOmmlxLJkGYT6HzAP4Xis/np4/oka9N+ZjjZb0dFzMy6y6RRM2bgBLBJyvRtxxMpVa0tlcRs7C
6dL0bpZ2Cu5K+gw7ADkFTE+0CMbKETYRGUpeJ/2MC3QMI9f8PvTWGywr3Rs8MsZSLyt1HyaWfGwC
qJarGI0DhHeknWolILTdSeFYM6Wzqbe/hl7XJ94fEzp8JfYuYqKWuvosNythwIfvWmg709lI0m5X
wcyY1l450zw5+oFaV+478c828H8Esk2tR0IaCXj7ePQpTe3KsUOA1e7yG9BE+AR4QX+L+5gIFrFH
utS5Y37IFY2qDnoq58YESK71+lIJypXvOhVsFSMSbe1KIJ6DwragLi+Ckzmh+hTachBLyK66BD+b
qqfqt3qUzghcuq8o8OprQ9bZv0ZK+arb7q1KzfxLbxmvo5xkNytq05sMyd2c4228FqaYkMpqA09m
exIuyUqoZVMWq7V3TsugAJT8uxJV7+hG0exiVfVKc7x+J4/ReOZo2M/DoE//0rO9PUbF96SFIrR2
lOgauxI0R0VQrR3Kx3e/DgOECQipBnOt1Ur3SSuHufAKyz2MjmofYAiwFk2LEqLRJhvxuSTE+aKy
R4XUuzSXFVrup94cfw0ZYKd94rW0U/ztd+w+JJkUgvAvODbNn8HPmKGjXJANsKg0kXENXDlch33h
v7HVkxd57yebh2lPIn0+/xPCHBU0dEM3HnfCNCIY7dpKdvYk0/w3o6baXyhReRSzQe1+kJC20L9C
LZtj8CnvrebyuBFlZy/xoptYqMAUDhVecm0gfX+8txNAZ10Ef5l4aQtf04XUEEvz+HQJPyC5riCb
XJvelgNfWN/gHPHXwDW/KnULfLQY4mKbxeNfAIfHTUOj9Dkr+KEUmUYpclDg3YVl7ftAyVUdMiAc
hVadGjLJX4IUUgp5LJqb604HQQmorQlb8d4hebHOocW/klWX5zKAU/hHbXdhugPIlgKsde4Y4U0M
ThNvZXBBp4cVVORpTWlrjnH0CLAlY1xrIS3GFpSpXqPuJCPqj2JwkfGgHXKyB+ejHcPVWHnuW+Za
/r6bGLH0aHTeArgOVmpq+St1Mp0OWjG+XjCITmapxd/zVLdhr2epEUNuKpMuI/GR37QY0dYpyLRz
9ZBrESqVk5l5ZrxBEtJbyjVi0zpbkxFGl0OXDY6yGnKrWPY8nWZaOHF72aRDD3KY0ZUmpjInU2Yi
Hsls/gmSATVaL07oamYjdFYgYtiFWnIVVmZ49fnfflntBnQ4plg1jhFuJVbz1eoRBmb1H/cQfuHq
g6E7kKp6zaDLFochqljqsm2oKFtqErwjXPjwJ5Dyo7+elVtn8v87XvjbMsvupceRw9Rc2p5h0RdX
agK8XI3p1ZEikuX9II2brEA85/G9nXaeBq37h7Er9sJlQylwEV/Z0t3VVPi2RV5IJeWV7v25R/yv
LR8s7j/ySvHZF/1rP/mMbaIORiUDMerK/CBp0n2SAW83rgG/rjWZftCdyY+yEUIL/OhVlHqEX4vg
3ZbLkXebbKb3ln0+0u+pp2qvkp8ENLnpdJcksvQZqdKX0m2Nq+ZoEYrT8DQJv2mzkeNonpPQclrk
qFtz1yHBveOrR6L7d99GpSC+HkdDvfGm1g72G9LFhcZeWKL3Iw/lcoXwUr8QvsQy1OUYNtVSKRAo
L0v1UqJv9BLGVr4wnLJY8+c1Xkiay/sCNv+p6V1/ESG/F/SAGzkqhwAW0QC/92q1HFUruKJOQv8H
+qUQAof3UIJiqqqsXWuOUyNz3UMKbyUubUbJpTdQWKbqv0vjuN63ngmFQl4fhwmcJgZ1OnhFhvXh
dm21Fa5wOqD50wDtVzoH/xhRoKGEJ40uqkGSNziLNGsUCH3648MUuUI9yo9Bbqo7YZWjygPVhvCZ
OuGaTZD7IgYAju9abxa0FTjuywhT2pLNO0qvk9m47Fj0XPqiR7UFc3qer9hdDRcRmwWOM4cnTXrc
DXV18s5WiDxYUEgvqFKoL+NffSebJfpEmQzzedDu+rozVk7pmLAQv6WgVX7KLr0qjlF/QPHvLawU
Icmg0hdqiHT4PIhqihi6eZKVsLqWELpd0Rx6uNJ04hWaIuq+tk5iUoRNLuTwdvR25BvOeADKaAe2
oVfK/BIesAB2OTmDRsUbgZpNsAcx/YgslHFcwMtczf+xUgRB4f896hpp3pNWu5WVdk10ffgYZY76
pI9okp9M+gW+xDy8LlUwPqKUmpyaXQM7DzgoTgN7Gr6MYwuM9rcv9ZDTpEJa0MZY69JMRh+vlUG6
9iHb0g7FbRf2tL0wxTBmXkpZCQ7JIsvZCgunEqOduhKXEYgUcy4uxcqa7nY539SVWWxiv61uXuHT
f6tb7XcP4vBCV9tvciwDBii16ly7cP97Cq8nSCQA2rXSF0oT7Xc1VDmkK1dY2eRd4iWNt25agxJ6
QLXfhvDxSK6ODVWLrqDWyd1SLRF8bulgSGJDvhiprL2irnmIJkvMdXTciDl5ipzm8hLeyf9jnZhT
JkTw73W6gzpS60f+vIpyGKH7lIraRL4H5rpb8xrIXzLNgYNjAveY8ELo5ARDc6JBD+AOAyWEoF2i
XqSxzPZdVGRLBQT7l4K9WT5q3xpv+ieHjYpabhCdAF2qczGhIFlnKpyYyo4fTVn5GhxtNV/QwuJV
ON07Drtz70nBm6+QNlE7JdsodSQdgPTAx+Xpxi4sEmNXxe2vq97MNq7UIZKF9CQwmCnkOSuunstQ
f5DpJ3PDE9v1WV9o5odnqcM6R/9t3Tux+9EnysxP9eQrr6l6qSpJBOdWOd75M11MHnwzz3dhmAjH
9u6WPlCtqJFXziC1dymE3EPyK8izptlWruhHJMugpZYLeYSNHFujRTeD9to7ffIkgmV9hALx7ztV
FujtbDKJn9GeVu7RWWsOieNoc6+FLzcXZmXxjz8NLcQ5vNCny0fgdBVJ4ZvCN2kt/M+hGL0r2DNa
7fPyjcd+9bOccg50Nnxny9si9OzE99y0POCkDWwwfSDv9QBi2lzqT1Fp9dcW9dlrj96JhPTUUbjE
AHf4XIXs/iwsMtj99TErFvglO4RWrufPe5QOj++4gCptuq0YAt0e9o5fvgkr4VFyUvIOkNDUCgxc
29q3U7twPQ1PM5FgrZWRGfRER7GYAOUO96E+dQ8LWwxV5EY0KxVoS3CDP+/6DzsMvFuh6jYN6Uay
UUCULRRLkt90FRiGiRzP2vVq5a1VigLoTW/silGJt8OUXPdUkEp+GmSrOPWTV99yxjXUc8rCN9P4
NUwLdWv6ZTUfEI19bY3IP5ipVqJaPZk+XUqqk70Kq5DAsjqQy82FFlsZasVeXD0HKbApkQg7pJZl
PyIrryn2YQ0pXZA3ytKUmrvrGBDCQbj/GlRhtStRAZ4LMzSNeJ+qKTynctK/Zv4AKkjX6QedgqFk
tA9tj6BgbBrdaxfYxhFKib/SyUpJd5zCcHgTc8hea2cnyC9iYeS52mXw/L2Yi/XAuBaWtBJzWZ5b
NxdtPjHnpLzx6vSHmELfLnqFdrXywmCAPHADF61+F3Hp0MBZSkZUfLbV6QvK7KgrNBUcDY2Zvrrd
sI2MSbYySbPX0Sc/ieLOSczZk1C0GvbRQUzyM0/miVOGOzErWUG20NlRb4SZteQJ0r6XVzqcLGaZ
2/vUzYNj/u9hGBat3CkH4R6bEjFmE/bfR1io0D8FhcOi8QIVladpqRxKxIz1OG5QJ7v+MsVCMS9W
h00or1xfhzEph58hNzt5x3aAnBOvbCA9RqwdtMbuYezUikXtag7/VJOzK0oXFKYIsgNwxfJIcrFT
x+NzGHtPPqqhHu9A+G2VyRKTwh8N5L/pEHfKdTcimSWcqUIX++wZRP48QJkOalI2eT/bHHQbJV9w
q/BILrLejA9i8D1g0rDETt1KYrSbOnlMoYJ2CwbUff8RIy4lKUwOFn/szBr6c2TBKKwGXr4r9LB6
Cwre7r1jeORjMEu1uI2RHF6EpTfxYtTa4YXdC0eN7BBNDE5dWWQLV6VAHoySNj2x9KtfRMNqCBJv
gcCYIHUFqaW1WQZlD9855G6otHsydbOHrZTO2U/s8QBxrX4V97FzXuCpdhmn+2VhUJ+MwQWAzUcI
F+1H426I6p/C9fCPMZwlPpIL4j9C+Fo7o623hUDYb9ElVZxOZ9fEMzIaversoZUR6a52nNRBz+U0
CL8EBYWvyNpRhOqoBaPWbP3yPcPEqt+xwp/YQ3FQJmqjJg+GLy480pKSyR89UoObvnHqVUhvn/B7
rjl+2OVYbwy5aFaOXgQzNir+AUbPbl4Xhb5ukra9DVbS3Xxl49u1fhUedijqhjwnVK+j48ISnaIf
KNlGBZmv1d50QHwXhcPnYxZAEK04ge/MxWI/iX60AGsXZjNEb01fbHtkNq9aE0c0Fpq0cfCgUJLA
fvW/CmcV2M1L2VoUX1iQ9qQrMmhaxZzJfv/sSMO7mPNI1x5VFa3ipg7Um90ab95YflfdrL2HhWe+
5EizSVBVzrndq+S40lGf5sy4ggw8yuqNCG1tbVxDVlLxsGA2GV3n8Ps+6lCJ+4QR+9UuoHW4UtSz
Np2Mium0lKfaixJ22lFYnlyTC6r7billHJYcCDZPU7yYzKZ4uTL+jCd/2y3FpIu60yR8crYSH9AS
ysCz0e7tHVIA0LV1uX7jJaXfoCswEDl3sm1d+sYtVVTvPOQI8E6TIsxXen1ReaTjn6uM7iWjdesq
1qi51qzHaDDmz0W9Ut6QXw2PYo0rZTZktXywPt32jw8WpheGh6gMXk2zVc6lAZu+HPnuG3QpP51S
G3/42j2TtJjOazqPFVsdP+sA0qp+1AAf8ZpZFSWcelHmkliTOARlICSvgTXU886yjTc3TzZeilpX
0Scv1TSUXkcHBuLX6zRDW9ux2UiogXEQloiwisqawZFXb8Uqp03CQzk436BbNyDvtjKOzFHRgNSy
ui3dwPlMjfzo1Nq9impcewYR0csQJE8jIq/eUZE/RcTDRSMiiobTioIqk10V8l6ZXMJvjhxO0hAS
VDlr2nOmVRxB4qj4HCutXBSyMuyqSnPfu/JuJ2r+OXYyetVt3SyNICrIQca0iKDZwCMU0cHCyfNJ
DS2/6S50bYgx51vh0xSFhC/HoMb2brTDZTeXJCzojqydiTkRlUP0QJtCcTS6Vjtr02CkCLx3Rh2u
hK9SoPaCTEI7W7515eCi7p6uQmv0U6Bc1Yp9wUwsz4GK84NP0DKIaDD5PpqRcRCDZDukusRl1hZc
ZqgQLxJOR/NnUNU3v8Kp9yLl+tv0vWbbU5nd6m74F8+NHz1kPeQ9kTxTXD/gF5y1LzT8WpTz4XpO
0fRRVE36abTOSvLkArZBE823OjFeBj9ylqNkmYdQq5RdAJ/SBKv2rlAu7ELDA6dlLLS+sj79OLFX
aIn1a2UyJYp3sCQZ77aGtELYKt4S9TH1JfOhpIhHV9sYqDe9O176SsOdcVH7NLyPVFeFu4r8EGHp
tJ8L09NcZ5G0if7/LtLyCKrrsQS9RXI6R0nT9A11kde1xq9h8M5e6s0wkAaR5U8dwuhLqxvofhbu
QbhLhU7ioSzhaQvi4iONkFnI+86kwNwHb1RiHqt7VLZXPNObS2wnu55izCepGBg8wAmt4nzwPrXB
v7gdmDyJx+iZNH4BpQ5+2G6UBT+MKbnp+Z8FKoohSiU+UqxsNEb0S7MezsdWV5bgLQ/otLovLSfG
Y6uoqFJN1e2yIwU0tFp4BDkb3Xm97EWZuwz8djXatbEWxXG6veYdVZ63GtT7fshLbyHCNHphJmr3
9IxCvHIdBuND3LbIomQJBRJQpulTmqXdCJEV+KggjA6XorLeju4nle2O3GdV8UQdEYicKvRjLgUL
A3TAthq+Ga0cItqsDS9h5GubnNpktvZV29+kdAAdRoM6QtSgvSnXvk5bQ93Wp7qlhaEPuz3JVUXh
myd8WXCsPRS6J8vQ2xa6/zzaSuYA7XKewaPVJc49KAbpjETpQViRpo/3ifNkmrLbrtlnkCtPaQt6
a2hYO2QldfqgoZvPhSaVb1fmfyS281feGtJ35F/mFCsCJNTZ6NhdOfwFz8ikiN0Zb3DHBBPACM5s
uW+XXdCXL6PUD1BpFVBOTGZLn+7Fkf3FoExSl7oGWjOlYWHpa657ytVJLhJoFQ/yW9B3GF1SLCIN
kgMxh2pAf/T1gpZFJv0qIiJSvqMWGR0iWgpWfC5FrUirUcPhfDEWiX7OG5QzBQhM7YufqTwk8AdQ
VEOVs10Iv9L2q5RD/7tSVvlG0w0wb71mfpYZKdeq+sqvuEdcg+ZqHq0/Vdcf6GRHfAQuBzTnKgTL
0hB1TEnprZ0YaN8AhSkuCeQyG0xrV0zDn/P/CH2u1+oGhdunLZY/zLImX1Ck6tVuyBv1edR+tWRg
IZYM42h0sgu4JQBq++fAkfyvqpeqs6LVnXtZ0P8MEkZGm5RqvEP/KAxsZbWXQohkNdmMd2ViuFco
p9q17/jsmPvavQpf16TSnO+ytmpTmcRw3PI9jOHfQf+jWDdAnj+G0vxqw7B0KWlheEkTbe3zgOC0
2oxIApkgkXnumcumJ0kEiqE5IM/T2cchB8bg+N3CGChApmA/bjUgCRiU1WwD7ka6+R2/oZx906sW
KSjZaFVCbc0t38e8h+XTNKKjMZmSAzuqnQWvUP4AMW2tm3DXKUK2UZ74C5e9wjvveBdQvtZuxCxU
3z9pUnVOYlK4hFln3V6n//2177tx43SRvUSkTvkkI3ZsWtd4UVPFO1p+dY96G+p/ZIYmkAMfrirh
qsl6Z6lOJhi7EsG5NKI1E5PGBGknuVTCIbgKXrUg91CTIq8vGZ9p5r/LxmDcqypVV2DFsmXFH+Cu
uROS1kLCuq0k425TnDjpefgadxDYq3XXr6RSOzQGpDPthPBMIagB4BtG+2ECicIm5W1HhE1ADzAr
4kIE5ko2gFdhdYMKO0IC5NIunCsg4XwHzs68+EAB+N5W/V9KU3C8SJMvrh76S/b2bG9UWz41uaHO
RUQOq5yUhX8h2inNK5t6vDuC6rBKS12MDrRNVWPNOmk8mUVwcMsq/bBCxQctFiEsoLnJR6fb847X
0GsDs/upy31qCPwhPtrYcJfsRNW1Vg6w4nrkRyD98majAsQF7chlXPA1D1SIKSxdk04hyM5dn/Oa
4fdv3FUPjXityPOrHvvhJtEk6eh0yq9BjoubASfH9umvQV7Gel9vBzjb6UDo+09pzM4NGOefbhIt
SlOO/0oDMnpmCdiJHsRo1TacE+Ve7vbmyAfLamLe6lx1ZyrELd+sXF2FqjH81Dx3N5CN+VKpWTmX
B885GEaIAHmE0jxa7uVboKXhDmqeYS7M0jcRVYl1qnTTrBrBT+EnrrECn1a+UbjNFhac1pthmjVV
EkamXhR7MctmiC7emn8JieTE2wjmFR2V6CrulKM8a2ZVdwemM9wHhKPEGlVT042bZ+YZqZCvALqa
n6691eW6+kExOJn1kZK/mrTTLKsBZc5EIblv+AlamuR5rzJwyfngG9nXyC439OjVP5PC2HYkWr6E
vlfO06Acr5Ea0OIsJfUuzf3hqMvIeI5uo75qU6nWpnXzhwkd8LSaR8D3xIzktzqOLcAETsY3jg7x
mFbUdQ+PwcVwQACrobUyKv6OwPjbnZTeAY0qwbaw6nIPW01FTmuwQkokelTuxSCmnqapBoCqbHjL
/rEmjemqUApH2vD6yE7lNFRgThZK2bULmCezE/klIGxiWqns6B8zAWc6duzEiFm6Wl4dThJ1v81s
3sWPwcg8dkddvSq6GLzqNIEkE8CMtFI/Icxyt2gTYJZhaMNCCGB1CpENFIjIPbYUX5RgT0UcQSpx
OXjKdDmm1Tpz29NjBs2LYA9HceGvxOU/4n37PJBguTp6tQrIjryPspYeqSkCKZvMoPaqjabxcFDc
1nuXG1VbkDQZN2KWN3UxG7OmO4pZiuowd0nyizEUxct0y75WpDdxS6Rz6pkwxS07ql8LYXpsbx63
FCZcCWtDL6wNv0F5V9VkqzzasSApk4PZ0yeuOssdd0ZXwsYt7Ocg1j1NcfX0sWHZVE59pMKj01r/
WucJ7dFaa18az7IvNr1csZmNh6df73t1lqCstRERnG/tSzyhEmsysVSo/l6qlvxpVLPtZiKu3+ka
RVmez9G68xv7WE5Xih3+uhI+jkq/Zv+I+69ZQAn2435Z7B1d2Fwj9J92dU8/IUxEdMjajq7rc3Gp
6yO7DnH5CBCxFPPUmW+31WOp8JVivbj8xyLKJRYi5Ea9GHwroVFAKjdBC1A3iUvvMiaeR8+Gwray
BKZTpA7Fx98TQ2R5J5rJ5yLs6XciOGZ5XgC3J1Vtz8R0ratHUMXd/hknhWqwq4LhozfQLKtdR15Z
kwqKGqFJ1xoTFbqwRzsedoGcufryOa/nKfMiVDgf8Q9b1T0VXCAgUFifZqF8Tu10/OplZrmU47Te
+UHQvahK/SH8bpkjyTP0lUqjOtu8GArta1Ip0gXO63HJl71elJUpse3wtWpD6VGGra6HdHYsanMP
yvIRLZawuXTOUX4XBrU/VnWGhGi2B/vmdE8xaDHYYiC8PFVkFKVbu5qSp1OX7KyrUp0kT+Twy0ql
XdtFtKZ6w6urJfU1l9XiGufRm57nwwcMArATrqB7l1/r19K12tfKbTWu1ahtXwXW+de1qUE8mXjj
mTZtex6ambrqNPSNvRbaJCBLP0qtsQ5qEPf3oASh6cucnoLQ7e9sdb1Nww58IWalKouP1eh8E5Nx
oSlskfbgEuJmHozlStG8sza0IBr1wjmKIWkocs8Md6jXreSEs4f9nBdXVtFsENdSd00Tyc26hlV8
kadkV50wb/dGS65i5rpSsxe2NTnF1R8+O1YhvyIzyUYM4WmoT8D72FpwqFvLOzd292swLOiC+3As
Vn9M0DAA61Nhy7PnBPk975zoaXjk+zL/wy/u6frZywBzxVZYval2VNVIJE+9QaLbZ1S6bGvoGb1a
f7f9CL/BIY1WtGcjETFbjbin63Fl0z30vJ3wiXv+jhWuP+6u+t5eMQu4/vsxkuhmhrrCcJuNEyVh
TidCM1CmQzx5i3rqdIktrlKYUtEvCg6qj25AZLnaCUIr/aSrIzpj0IAprZSfzMGFeVgJUmURSiEi
imJWZ//QtSgLj3xRwCrzf1cOwfug8jVK9TZZCjN1jQzlbhBp4IbDd00Jf6BEap/EZGTc+JVYr8S4
FwqMl0KRgnewjM7ObKEzFEFeX5Q8rgoVdAP352cdz8FDVnsRjMDXsaQcfbVNk3oa3wnhrhKjhJbW
ROxvWqTqnOWkLw/oQ55+FpEZXQSkgT1KdcVDB098eSIdwKD/4cmUzzBqowtg4eqBl/i/7/P4nMr4
eN6j62kWo11516QDmAISzf6+lN3BnAOgBxo2DXQ21ot0jHlOpHlDu6LUhIeEhtWDuKqFcxxNDudq
7XNym4LEfFCp9a/4R5RYECVU1CH+Apr7x03E9GNRaPnRodllnIj2kdNU6xbtGxK80t7Xe6M8isug
Sz06rHAO/CB5aNDUANrPasHY0ejI9yBwyYaErrQPyI7MsvTUO99r2w0XUxoxn4mio6hE/ndRUkwB
CCj2IlLS/FXdlelOR5Q0LmhQLdQJTVpyPn/wkT3s39OV3End6bfZB/BUIw0GhZkCG1C1iKN+3hVG
tO+VsPbWT16zWhseHxAaVFlOv83HHeDz6SGPSTqaOsfuqnyahqFdxVCaanNE3RS4vc/Tq/UraRtY
KAW3aaNd0yrWryiB0jEiufL86XN4Bi+qyKLwOt1KTGRW6c4GlQrj0yfL5ocTjfVe3En4ea4uKvDj
tBGxUlOy8CJZCEtMnydcpa2nlGebm1gTWjTctrW6DThj0byf9wet5nnVug56IF0RzlIIOxo+uAsZ
5dKg2DUFDK63kPKw33nTwlwEiUvXo/CohHa1fO7Gymln9zT/2Jw9J54btv8/pIqqegagC5WzloPP
CL7Ba7zy7AJnhm14Gszu4g1Gv2t4zaN5MvmKzHojA6tvhWVFZXlONaU4W07xvTcKUNW/XSJiUJGb
a2D03QwGVMRRm0tHWFaDmeu3w3s80k7ZN2596ztEW+Jcco9O3SobXaninQqB86FCT3KtZXV5kXSj
W4RJkLyOY8GhuTXst7jp273UyOCjKJDYwDQZvKRPDnmxV9LAOaiuxyRUwb8mRYSqDuFBV1H/4WAs
x0Z4yabCYhiE1sk226WwxCDxFNjFWv29Hbxo0o8MunXuFBUdC665qMxY31UezeZe4EtrfRjteyuV
HFpTdV8bYAopaV+c4GQZRgQZIkPE2/haQ92b2FZ9FtbD7zk7zoLSgQLEOPXaVV9cMzB2IkKO4/hq
Q748o3RtbHTLk705DRpAEqrSXz/vLicQgXYphfOnL6tiaTlqMXot023EDZuiGdaU1fk/mv6jjGno
06je5r6fzR7/CY6ssTcwlbte/Q9r57Ukp9K16SsiAm9Oy3vTVq0ToiW18N5z9fOQpa3S9Oz9mfn/
E4I0JJQBMtd6zThgtYkyxdGv2/X9mhtTSy8Z4dP/+9N1/YCATAJo/vf50GG/fbp71e9PeL+CULdJ
iYSeubmdMmW5AVCF6cP9nKFloZmZkoG7n7UNJHcJFe7XJxQDYjr56xPevq0Ak6Xbp7uNrRoe8x0+
negtxhefsEJG7H6R3fQJk/r2+92+li6HBB71vz6dOFq2jJ3k2aCipi9CHJ0l6ddQLY3dfXiLtOOs
L6VwAQyveAR3NPFd5fyYm439QKrssVIt5w3yDYpzqQvAUnGL10xJ57kpJadMdfSlg/ekVeMQy4PJ
eExVInL+6PKUCSKynrGuHiRFexeNYlMAxtAMZ7j1L1tI8zUB0JXIh3ah3xzsPPpx7+8oxA955zPh
tGXMLSXmesUk0570/aIKbeXB9zL1AUWpg93X0jGcSkNhdTs/5I8jGkU300Wyntm2jyokXdzaR47C
RvJ4GkNs1Drvl0lr5X/UuVG1ckyrOt/OMoQVMX9XnYnTiKNqHPHIXOXJThR7ZahOgJtvJXFUXyNn
VJgF4py/r9fH/DwYFfsiqkIEHzaISWTz+/WiGf4zk+NqL3pgJ+kfLbW6XamoQtudOGgf+WT7+ECi
TnuLvLa5fSWA/fO1HCbA+LWvvXPU3DQ9VZICgXXwgrPYM+IE6lRX5htRtIwYJfdCBYEQ6HW4+NTb
ieR+W8J2vA8geogNZ3DT4dcZ7tVmlIeQ8f86w70hLppfZ8kgoaAfz3xIbtFIlv1kCZSZ0DaTjpVq
SFh61V60ZTqPmPXo9Huyzjbp9rI4OQ5WCb3s11cNdMGCfI75JPm2N2+1tP9iVJ0/U3pt+BZm9bG0
W/enM5KrSf2eOWFLVpmpmTeLbRX4lOx/t3Tlo7Y86YufYLataU36rMLrWSSojV6hLrE0xeYN2+FE
WZt+a+0tqbW3TmqX217in6tllrBhYealuN+5uYYDUK28wTRr2ipM+WutTbaipdeciXGUkkueqW0y
HG61lubMel4ESxAVKT9Bza+czvHNI94vKfGqUZiezIt0Smcr1zSq9IcC/aF1UOXboFQCYqaOd5Yd
8CDgiyXkGNt4HqlJfRwrU34I5epZ1NtepOF1VdY7nu4KnEptkeaW9AaeVVk5qmuSSObwvjtmaoME
baf7W24NZSmqWSHuu6KXn8Irfpc2NDAzrpFCdeBZrpgmEoQk4xvvu16P91WV13CUp91RRbXCNpRd
p3gYYfr+IrDbfDkOafLsmKTPmh5zBNsy4+dcwlbBzMB3iGLbQLkKM/mnKI1SbZ+d0DmKI9F8MR5Q
SZ+jFMy7eNrY6QZkSY11MYUuytcot9dXcWwSjs+6F8gnUeKToMvr+uFBdI07QIANofot4QPpKWH9
ueVWyOWZnlcBsXo22EUHc9lKteUYBL/qxgQ+FwrXFUBhgzif6Bj26l/NU0ezGfFsGzLwxr/rc2MK
NLRyxIN0fIlwWwFWXcSvrTSoyP/z5hdFLSfmqYW6t/MAab0yB3iRjSK8QFcfXxpjITopqROftbzl
f8wIthrCZzIVZgLTIRjVks6XXFACU+ug8HDsrBFn9Kl1JP8NDsl7HkBXXQ2tPpV1nLzqih3sR9x3
CcdzUNaOGTaunbkSBxm5LIHyDVg84LCyR73fXXkRNEyxCYUvjxPgwxNPlj2iUgNLSHQUKZjRK8vH
kLDWEGFp3URaifZwEC0zvuGVaOwG2z2TZ7yVRFXZdN48jQduoelwh5T2XqkNMl59TgISWdBnqfFC
lgmMRCDY2YaQC0Aw/1SM6hvKDsB+gokmrlv5JdILY22648SZ61Hpk3hlO41ZTcxqZ4a0d/5eWdCn
lCmNrjSYRQFd+m66RT6Lkkx+zn2TVIuuqgSydZwIUYjaOtI44UnyYImyavZcxSzN+FN234mvLW4j
YXq3zbtWf490mAomxPDHpibqVcdBctTkjMxd1HubQLbcs29p2cJWouQ1MKUfiWUZH3F/vY2D6dVV
wmrlrTG6GvBVK10dVB8W7jji0tTHzyO2Vk8BfhBPbYUTVGSlD6IqrPRxBmsDZPXUWDRJscoIpy9F
K8/G6NDqHRDRqTVHXfip3t/HIh83RbWi+iDaLSdJlo3Fn0x6S52mfRraZFEgZ/zaGLYC/CLAn3cq
arlhrUy/KRCyrqtXVmJYOUU99AnRmmA8jW7ro+Im5QPUqlt1byb+Ps0mdPTUK86456CP9OtBbox9
J+FSpxtSd5z0KRZy5XeY5I39UdSJDVCE/hhPmzGszQWWTnSZjugQsh3ArtIiyqqMYOm9WdSJVuTg
QE9hMCzjgzfH6dw9VaZnHevM6rEnHO13QnA7r3fHl3zEwCFzq2INJzP44ukj3hKx/S5BaF6kWOwe
glYJLynpG2i9qvWehsOrgvmER2YDH8y0A9fYBZf7xqrdY8VEZw+ZsbBnke1E21HC7110iQPrV2cv
QINYl9NjZMJqmpmE6maFUVfc/6LM6mJVJHw9gZEOlwpBs93YAeUR7IB2iL+XI8pKgh1QUwLS46Pm
BKtgcILvstkEJ8EOmNrqqef/x3FiFN3ot7ZSBmd5hCogVSTiXSNyHnyjcx7sCviIbV5FzSAT9EEm
p16INlFn2vWqd+rxLEqxEUWbqkO5zMcELp2bbnVBtLY/htNgmavaqxEXqUA1zAdsWCGwBgkLE602
H9RstK+xBcyFNlFTmYa0dOGzL+KsQrUxjMKlBgHkqIDKtssynIdhVL4oWfprT9RBs2oehz6fg6EI
vjrdT83Myi9WbqZbC4LbUlS7XrB3rEYn2cvTCusYpAySLvgajvJ3KPvt1Y+a7DRogzUT/atUQyoi
s7qTo8nJ1VX1D1FvOLnLPKAwka3hPnPs4iDqebbWaGcmzTY0Eu9LqJOcny5H6qR4HSPBthZFrs74
fXVdZ/fLbLoKFGb2RWP9urqWqdS8U91VhZRKWHTZR2EpZyKy2ZcxzIyFGfXy0a2dYl/gNb3quiB6
HlsgCsRpsg/Y4POo7vVzo6nJotE1F6lLDxOQae++SRppWJttdHDM5s960VeX9RdPt/3nttX3Smyq
X9y+QIcsjfxjoTTQ42U3W6qJa732anx2A1v5EWrZA6i45FXz+FhdmUn7UBu7I+oUMEd1v3oDK7/1
mHv/UNz8K9Zc+rNcSunKzgm+a0EtnzpvDCbRTPdrJHlL0RU5JBydnLx6ymB/r1q98XYyVPYz6lH9
XFUGbuJBb5HiHlxQbaNubbXQ2bDAwFATsaDXMS3rWTcO8VcjD77lSeV+I5JwyhDo+CjUcSnz2McL
tz0iepJN/tbI38AYmUH9WOlZUn44vnzBTK35prXBx9j6xkYynW4l4zzy6ALey/JH5CKyx7YsWIAO
rrISde2ol2eIY5s067JbD+QKvbkT64QxcJgbsuDBT0PnnAcGKOZpDyZ+tWjiLFjWNnIiSx+FMX4B
Z1+qJKV5vbJuNIro4dZau/CSQrsOlpGFeBHp7oZx/jrkVse3ejtEjO8rmbIM+6BexXYrzUIpls6u
3al7jLaxD/Ky8r0NX8AfW9/issFEF53gIz+YedSRHZ6XU0MzfE/gIb+HJharXsk6wByAqORyh7xa
FFrfRj2HkdH4X/JuMm61Q3kr5Yb8YIc+llFTj741nzQ4mM8BFqYb9EFtwHtm+dwkyqPogCRRMkPU
D8hZVZVrVQpUvgLyRUAxgddVXyww2RspxsC9xAjGaiL/Bf17dRvrTre0e9n4ag7NIrDS4dUte31j
q/iGiPpS/lb3QfzWYOe2boAfrRUnML/GSWJ81WwiCn0sW+ui6eK3If4m2iI4ziuW1doGy5bxddCq
hahXDBaqYZWoxLx6/4WA8kacgviOtQgw29XMWJqXho/VGWuJvdjLp+K9TjTofvn/dOl0B99Z4BCL
T8f2IO13qLrjaInEn9iUITjlIsi1P+rSpMvOXES4Jo+AF9HvzvHUgFq/jeq08eNTvVpDufW9+vip
3vWy9NiA+G8jc5hXsJbnXde9pkZVXouJuWij4bP/XQXrvbpiTnOrIstWEkSCFSuxrPX1QVnkOOpd
vczQlrXeI3jSOs4q1/T86LDS28CK7fdyze9JWtzdeqaT75PMx+YYlc+j4aKoU0c5GQwJF78ILeSL
H1ZoAril95goLQqxIZPRUJVPwACyc2lq8spUWneWpobLwvr2XcjDBo0EVqammZ5FndhzY8fYwQw6
iZLmhB5SRolfHCsSUkHcpedbXVgmWAgmcrzwh0F+hAzu7eqxBMDq6gMuvao/BwDdXUWrEdfFwgqw
BxVFLbK7Qz5k37IykR8rvWxOiC0eYs+VXmo1DMjoGtFGFHVd6WZpHrq31qAb17oTuQ9kT72nWm0W
opc9Mn8pdebxMmxFgF9ozQzGSJ6wc8ODX+r1S6CX82jQkGO2iBSOetssRbGpox9w44eLnbTRNWXt
adQxIFFH15a5WdToXnJQgltVRsZkI2f4u1qmUT2UNlFgPQ6OjYz5YVQbwbHl5S/axMbr6nLZqH65
NE1ljAFCNxfdMOW1B4JkmwZuchYbRS+ihVyYGNppWXqrC+oxga3k+biAmsAZp86iTuzB4Cw3ckOC
817nSr67QO1FmYE8zMdlG/fkRiYNnsRpkl0IqWkdU75wHHJ2bdPwgHKeHVVzfwbxjheG/REW7k+1
6eWXpJRGYEmVf64zDKvRRw/QWjT1U6fA3821vHhRwjwgv1G0H2B5Dfzcf2pl+BQ+paWs84YazNum
TiwU6trkWkR4o3+qb6fGT3XENvAfaWax4f8sDK9STw54ZigZ8rjUARYcs1FTwEaGH1gSDai6DMNe
7N03lqEkayVqYFFj7+ZMG595CKzHaTfUyqdWJUN8N3oT9aoET1/U3Tr/7ida7537UimWsay7Gwk2
2hqz1QG0kUmKT5EktANlYxtWXvDqR8l7YDrVmRd38KpPWfC4evFcqyc0nDyKQ8aiUnekDLu56BSz
ggX5BduDKCzvlIHXxtjBLDJ6S3s2Q11ZJNFQnWNFjTeKXCTgFzTzUIRxvPLLXnmwIInNO+gkb91o
PRBkn4D8TL9IWs1cmOyByzTE17VyDt2xftAr3iBJocgHBa3aXWpL3mYs5PGc++mwGDAyfek6Vsn5
F545yUE3clIAYdXNCHDJ0QJ4a3zwJiqV00CFnImy2ADJC0E4NCMejdFfLWIM0V30uR0jyqqEYmvX
vg2Vnlz9Sfpa6bvs0KfFWVSFUxUIBOMYdvVaVIlNp6vNmVjBTBxzrxd76qSJfaujx63r7/GRBlvf
BpQT4nRJVJ1tP80Oor88BtLKNcYKIJbmrA0CW/uxCItdnXUOIfjGP9qVpq1AzEUXnKzsBQuX4TEb
jJqEsVZM79wcqyLNW+BkDjwg0pU9ii2IGCSTWohS1tFKVIZKahe3XdtDodklmjbs5QFLdlVhPZ15
TfXYdjFIcN0lWJ3IyVpuOoQR+1zfDklZbNMpMhmiyLganTK+5JIIZaveky5nydyUq+ILPsI+OqGE
FluESWFzpkyVh7U7LaJmAAuXbVcgNeZm1trCW92YAB9tIQU7FuD4vU1Fy2/cGXwJ6RDGSfvyu1tj
gS60exgzma/96uZWpotpGd0cRhP1YjRz6gau5c9uzEJMcAJjfIjqulxLsU1yPxrUx8A0y6vPE9ys
faOYuyqkgBZFgl3pxOqjZabqJvMMmPxTZxurl8cUas/UVc+TbK6AdduIropcx7tGAq4tirpVY3jp
FOqms0gJIRskPyY+ypqGY0QvuceqpxlV80sdMhnm51feoxEpCb9Wfkhpy5wrRmibWMXMJswVzrxy
zTID01XwNMsqSoqrJFX6vGqgmpdhi0ZTkxA6JAnwDon8mPkNcYvQ3nhlZv8kP/fs9mHxlidGPrek
Qn/QQMmtanRUj2YYadtmSLQNpmntSYyI1E+KKJeLanbb++9lxuyUd9cUO76NWCSgd6YR9dbJ58Mk
UqgDi9qKNc7frYI+1ZERK3Z+Qmh7NDY+JMUw0/sUv5khWSboD6HSLWl5cg3qPHsumuI56zT1NLht
+sxVZoAbDSIyU+MoZUjd2Vq5E61WU4XodxrtRrSS9ShQd3JN/Dk5ljCssaqIdfdVcwJDU4B/1+I3
O5APxuRBYlosTzzX+ZLq5iQ3GjQnJ6wAZraKy/K8hhAWFe2s0qz6Y1y5npR/lHHcz3QNSSw5796g
djgHVyp/beqmGpZxFmuzTw2fimZZsdqCHCnqxyBDO8TBQjAZdefg14ShEV9n0RoarPCLoP/BjAxB
5r77ifLhC4bi/hcnQScYXlF3DuPe2FTwcuC62Pk5ISG8QGbbXJv64Mx5vfG1T5sGgsHeVGx05HoN
e3FRmeGKirH0EJGZNlzeX2MwC3RPP3RV5T65XjfdKGqNMSPFpHXKZdkYWF5MnXEJMNejpiO3MRX9
xkHHGTPk21BW7jQnX2qexaEjq+IHBI/m1tTVrJtuztQnWMWsJ+BFemO0yGMWnpkm9dprk/D4qRas
G3p/BiS5x/khQHTAWOTR0H3IufKYkmV8d1uzmqmW6bzg5zXM8dxNHuVGDpYIT++dxEIn0B/QbA3H
bNuDxEH5RJGyeV22O6YaNnh2WhVLj9eSYceLLHLTx2TaDGQWyDRcRY3segfHGrcyTUffN52jqmTG
iG839GnZdJMFEKFOXoj2ciAinLXoFVeNewyJy88LvbdnqS8/RRbsKxNJhvVA+mllumk5F8pCQjgo
nAiwdZZP1vHAWuWxwhExVl8snY9nR+pZlGRC6CCvn/BUrS4KmsO7MkvLhZdaxtvQZj+sxEiuuVNJ
J+ShSXobHfcRPg9TNPJKNrn6lvjND4Pv7I2XS4P3JbCAUGuCOYrNF9zmu1MGiWkZ2DZIYsfCMlPp
qm3pQbd20Zsc8M7BbkceD9wtX5WRByQ+IPi/1a23Mh0Qlui9BT8cfhitlJRNpITShgDgt6FE2DzR
ESAv0EP/xWVBITJVc+sVH1F3jdVJujaLvLn6Zn6M3UHFlEtj6V8m3+UaZReCzv7FCotrJ/nhtu8D
c4+IN4qQ08aIz17+nhV+7c28Dr5oFrQ/O3Ula/K6Dwrni5+53bLW5HJvs4A4e1ziPGyYZGkoOKxw
3dbP5dh4845YJGyhIkQp2vGjWd1EFrRP+awpzfiuTBariKekM9fKc/5RwyqT7Vcfrd1vth2grNJB
OOOFEq7NEmUUVza6V8cErlXqfvvdM4Z16RUk7hrtqU11B5aedPXMdFPriC0MFqIjQ6TO6xqT6S7x
7XWEJvk+66t+Y9rSzh2zdKkMzn6Mq3YmE/QgENP0qzbQzFXmNl98K61xeLeDWZUOwTd0mS62UVgf
OTcPUs54wCKDvnKkut4h/bpz4Def6DCZmcNQOKUDuPQIGEjv+eFVbBAoU/ZShCr9VBVJErJiiW0s
ye0ox84alKPc5V96O78UZko0PiufoI/HZ4Sd5edMUhDwUqyTGubVcTDKSxcC5cmTMNwHzkcoN+lB
RnTCCfth61kooADvz/SDdHIbmIq+mbx1oDLWYNORZpqK0mCep8jWg6m23akxa4jrEqA2XQqDRSk3
/l51mqNSNzaa9RPicAIm+g57TBF+RLkPRmpAvkDUiw1kLPD0oosoO371lUl/ior28NzjLXQu4vC5
VrLqRKCVO2nsyPB1Vfsi22k4g2SRrMug/WGTCbliE6wd+96C2qj7wZzZRnZg7yoaEY3vrvgiAFce
o2+E9enRKcawdYIon93KgWr1s6FSY0B1abvMe7t4KbSwWWIKma9F0dRMXj+Ogr6sN8J/c/Jh3tXQ
QImyaen+tmuxat27Oky/+QSq2Eee/kAqWJr7HSaEvrNLq+FSDKFxthNQrV291B3tB+u6YiaH9bdO
N9rLWCeknTJkPsvgbSy5D0NJnQ9NWP3s9MfOtlD5iXznUJBmmqFC1S76CPJME2JFHkiNu8EojoAT
t/MlQcnzkk57pKEviRoXkDipEo1tBlGq63hWiqKs6slJUspvEaieDN+vpzKSW95ByEKJohV443Gw
CZbxnnsC89k9JE02hwZhPuWZnMwCYAIkzvs/vdXGqRhHGm9d33z/O2s10UM0OLwettrA2X87uFko
ZQ9B/LNwc3vXF2g/2g3+NrBukk2gw7CCnwkzuUSbjCX3sNJyrTiPdmlBtpQbYjjexamLbJMxVd+n
Nnk5n9t/wzuE5FyGlAKCh+MZUeZs6QaB/NCMkYXLUCc/5fG1LJmATna917YNw02r4wgfek59HoIp
+eLE5Zvqpke54E6P4h63deBMRLm0uWlpyUVrDH3TuKO8ASuNk3mmxkvFsIqtYjIa4O7pldEVZKaZ
l8JaXqpyaX7YefKoDNgEVZksY1sjLTsjzH+yyjv5PAvfvJYr7PwoQ6IpaDblUJ9sbqV1pNrdujfs
4SJbtrdAA1p9lUlQqmYS/kzNI5ksoOPczBezr603y0fntGiV6oEEU7Mq4joD61KCjSaMxZyrumSV
3szTyoq+FVk/97My/pD9EhOENIifTaCBqxbpk/04aqi0GGB5fadTyOkPR7XW7SfbcRQe2SuiXMV7
4BvQO2252Ll6Z4En7D4UL+JBaVtA8Y3KBAjfhHukiMMlkZvhlDhmPmsN41uo5N4TVMRhoyCcukb0
1HlmjY5UZOp9R8YCAGGaDA9DonfQfkp5VaZt84ou6k70CMx6hLVGfE7tqmzd9NVGtrx4iyaEuVXI
Pxz4LSNSf7V5RnrCWQQI+S+bnqD7oAbDISXsO+sDx30ydJ1wUNnvJuxJp6EQXPSgBfs6PgYA9WDU
lPWyNLCp9vguFyb+l1teLtJLE47+zG5t0t9Ta9XYOM4Y+pMsT1qkbsakqOZFWgKp0PS22zYN0evR
VtI3J7Y+OpCml8IJ9Uum+T8wa08hQDuzHBz1HB4fCguObG4xkRrWfRulD546Ra6zpvpuIp6VBI3y
wSrno5AD67lA+mmpKNGbPZT5grync0mmDZhllFTJHW1cU1IlND8qZTGWYJZ8t3QuoqPjmEDzQ5LY
97pc6k2ivzxYplFEt5i40sW+jX0bLDYx12nOfdsRbJY8f2lneXqUvAoDgjFG+KnV4gOoi68WgMlj
oBnLzK8ekaAO5uqoHsbK2esJcVzLsZVjjqn7fBx8ZWHUdb9x4krd4kMynPNpE2zSgZALKINgk3tO
sNDNRn01B/T0y77/CRlu9DtW7MhaPZfE22dV7WTLDoEkHpexN+7IIMx9XTIwisq1jTwAYosLUyFW
41kbN5LSOX957lcl/uI7KjIwNiYwmpwPhxGy6jzRSEeHptYvOiMiQi8PFpS6pmlnUd08IhaUbETd
fQMr7K8ula12y87qtBmzkaNOquDVrjrCMJYevExqlIs2MbRL5PjOyoec7SbGmozUeIBglG48A8eb
Ti1Q/AnqY1dqySOKCsyrcdkDe6X3W1GnJEBfUJcFDirZF5YC1oeiEoYaJzsy+8HTmCXjNvEuS9Kw
8/Vs3IHH5ttxyWAEkPoPDdgjJoLRF6ki7dBBwl22CDBvkqK3rzL2nrKltix6cJqH90qsNGCN4wfN
PPaS4ABmON0GIwELG5jHorBGdaH5jou4S/fgEQ13DJMU/hhK5rEGoejCV7tKmZddmUtPbGdsI0aT
WZMHevfZxAgAO3KfSV5cl8+4fBFEj/Qn/j8mGJ05Cu/pxW4mO97m2YKMfCHymdw2BXnpRYFC2HKY
eomGsKjcU51/FwWMTuUlCdNoYVnleEFhyplpSt2TZdHGy61ONsy1Gts6+Fe6iAZWC/rZACI51eRd
GM1lAwP3WmrKQ+9YxaFp4l97MVILKHQjw4joNSBl0ee2y5OI/1Ust6uYN+GxNHD3lWQjXyeK48Kq
ZMPfwNk2tUX8Ph2PRmnyAkjCa11IEbc/j0VmsBZOryh0Y2wChaQ0rKuoq+2MQGOFbGloqyyTKpck
HVFdUH/rUU7TRVYMpwY5oIuMssFcc33v6nPVa0JzMdnCDtV8b7zYgIkO3HRVpyzQFdR5Tbv63snV
ZF2H+lvrt9HRb38QBC9PcTPkK8d2UYsJcCCqXEQ3xR6aysjkiN37prZOfdEPhE6xH+lN2cRowkKv
WorfXDROvhrYW8wMXapfeN4r8zp0vcfCLnFqC0v3bMr8KYII0Z4g2psN3rxqY/BqmYpi0yHqAQvS
yfpsJprUnrh12i2kLlYvWvUQCHEm2Yyx5+ELvmk3yYTjtrDCSF+MkEpY9apTqA8DNyGwJDaFrzAt
8M1mpXiydhNwKusGM9JeRV9oknAS/Tp8rdCLNg9Rho5AHnrxorEUfVcH8PUdwFxPim9WDyynZ3Kf
ZE8oPy6BSUrXaaLuNpXyqsVOcSiTwL0VjTxJ5uHQhSsEXPBYSdteWmJeKq1jYLoPlZ59hzoBRizt
uh33WjDryFRdjSwCL+fE49pwXABXpfTi42310A3JXG/K6skbhvIpS+xLjpjwKfek8snROmPeDkPD
E5aibSvumhRFuHBr92RkeXds88E9pZito88ZvnpJWG4D2c8hbnjRqxkRmyQOGWxEawSPGow8qTLR
6koYV6WR9CjbuvzA+2MjqnurTQ+xn4FsYqEJQHL0EW8gg2loVbyAD2E+G3GEgLeKdjiMKvM5qYh9
AzSTF/ZUNAZZWecZr3cpsoznBJYSkFAlXopjVaf11ih8N8vbsQ3IYd72Ggq/dGaGV62y0fXQSWOo
qO0DRNvhf4miiknlEmV+eSU6px2YdB3Z0Vur7EUpoRs/X9+O7Xt3geCPvBadNcgUi9K33VtrbFbN
woJmvxGd5aAD9NROaVhx3tGX5npdR2twoxvDctpz6w3WKgnG/GBH+4wI3RNuX60id08Tk+YpKfsX
8nPOMUNZYIPCA+r6Wt+dmzreQml39pYmocYi6mrlvRhhZt2qWq2LTjpIBVfO1QDp0lTfkx3Z2Z3d
nUX/tAziBevnAPty3E2stGOKF5AnlsMYgzpyF4nSf09zo33Pc1/FJlwzzvDSw02AblRNOuzSGNFz
I2MVZjqpuiOm3s5Dp/deS0LHKw2dg5VoVSpsP+oixl1kas10IH1V1l68wNZemveqSLyN6meIlneE
7cLELBeVVJRrkMu8t2xvHHYONhXGMjSsv3bjaVdXkkKd/9Hhj109UfJVNLG9POPBHTrvxeTjQVoe
FhIyQC8a/7arG2NENJUko9PPoTc8iFI4ptmpAJ0nSmCsjIOGQ88smOTVxxKRJ7vv0TufRsWgU1tN
6lqL0JS08+DKvza6tLUkKIf3aib8+S52AVNOne71sY7moj8E5vxTQ+aF8qxwk2F97yy6EI9grWOi
Nf/7dG7LgtEoFeUZY4IV/O7hzR5NdzHWTncYlFQ+yirhrkYFOBiyRvYHxCaCyVFIbIrJVkjsxZox
6WBgDDtaOAqJOuX3XpxNSeYWe9pPDaKzaEW1F9OPaWRxGJ6/HjoKCFksR0DUt1ErYsvAnkhKNTOQ
zItoGNNdVgW/NnAD0x2R73Qn9u4N9373hk/9/oMu9+GBmyF4L8a/HyeK9z73M/0HXT4NdT/2H6/y
H892v4J7l0/DV5701+X/45nuw9y7fBrm3uW/+z7+cZh/fSZxmPg+lHbA39EPHkTV/TLuxX88xT92
uTd8+sr/+6HuH+PTUH93pZ+6/N3ZPtX9L17pPw71r6/U9vyS2aGWYdo7MLULpttQbP5F+Y+mqPI5
KiVHeDvqVm70KPuzfDvgj8P+9gyiUgx1G+Xf9b+f9X7VcocLzfLe8udI/268f3d+FjMsvTs9ZHZ+
P+Nt1M/fw5+1/9Pz3s745ycRZ6+H8WIUXbu6f9r7VX2quxc/X+g/HiIa/rj0+xCiJZ5+8k91ouE/
qPsPuvz3Q9lOiXRuqb0PkhHsG6mdFBIBm+3j3xvREg1DsVO1i6gWNWKvEgfc+5puGe5Fc0kCaevE
2LJpnfeQaY0+9yoDblVtSNcsiBFQq/snVsEI2U6lOIe52IJvmdrFMWOgmzuy7z9Fu6h30YlajSWK
WKJObKoetQxTBwRWI7Z/QC76jKhHfC5sKd52toPhcwfP1zaj2waFyviYpyiQTr20KMJJTrQGlgSc
zZMPtzrRrEb6B3Z0BESsBmkZMVTu9/Ccc1Ve3jq6qEouKiOw0Uk24JdkIxY7rOzBYWKmuvIjvFxt
9G4M+PNdcdYJGpC3D2H3TMUhsIpzocTFWVEabe3pBdB1cXSrVcPGLUA2/HG01TsAk9PmDXFBRhQH
VmaOLZFRX/8PaefVHDesbOtfxCrm8Do5KliS0wvL9raZc+avPx8wsij7et9Tt64fUEB3AzMezZBE
Y/Vay1py6XAwGpKawfm2XpRV3SXOU2h5f7+kDMvHYbzqPFjcwsyZLZqjHzy1HiliRi8oEAr1N7F6
6JEpUX8nXN+p1F/N07C3+LudAeUGl7ARWvZS8F4a5fTFXYET8RTPPGVDB6rCLSuKTnOYPgrnWFZO
eBt4WuSBhhH2EjguBFckr24zpHGZpjhzsubQo92+m3OLbKZ6O6RZfv574qxN4bGLlce/1pJDq7Cv
ZLqto9ZYaNWnCK3N6hDcRV0W3MkeYK8A3dY62PtAZjnXxrs4ZNzgzcl1prJUhC4zbwsZ/QfXTVLy
ppF5ks1M6uyEMrJ5kj0E06ZjpmQr6czewuTQN80gp+CEGQXF0YjNKqveU4GXoTYWQjzWVfpdryja
nbT2iMltwdQaa+m4eUW47A2zSspbDy4ydongxMneKSWUHuA1XmMXb6KFT4gM6SRs/3Aac2EeTN39
ttht8IQ6fFp5wSmPr+6lZ3kxDw1DUHUDFCbiXb+9r9swp1SPUkN3K9+E5QQ6n0idwbDl+ifZWEWB
Yv2tXaxDYmMtqAkhWyhiM5AtCF9PKN/N6aC8W8CsShIG6ZAqtwVvk94tWI9wvSowNGx0mNHPpmji
uOzOcih7S/OXjTo9aGPZiK0Xx//TAsu022voo7croLbL2fjU4yVji4gCsp49hGqYP8RWzu4qRlBC
Osi3JWhQI1JbwJEOL617ohRgzldyDPb01ehY4TNCC+pO2kGPeadlxhJbS2FLuYycu8T8NSyDkWoM
rz3OavJF6XJOMkoLJjczTp4iAGpH1yFpoPIN+1T1xkFGUMDlsef2wgdHwNjzguq60k5rIFUOFP4C
TtILOEk3Aeop59Lm6FF0pbEVHtlbYuSUZtw5I/JNS6g0/2sYSYjKslKqznd+306Ps2c9mG02PFds
uE+lqdfbqU7zb4FpcaQEwIrU2QTJmziCUhP/c2UBXE0q6NfitvVXSjsdJdhYopBl0zauv7YsL9su
Nglbzqmq22bgt9bScYMn+54f7w2Xr/470HPQ9skR5sXvt8COKu4mgjEXgSv/5FWed2LnauYr2ZUN
XOwWEIIGTfubtaZMe6x0a2cskZCd+shwihjOjZCJFY2c7lZtBMCStEBpNyOMoTmE6uoctMjmRM1d
XcL7LHuyKaeMatvcBNXhN6+O5K2XBoAcYHI29zJYNQzkoJMQTtTWae7HPP0Y+54D+XAK5FRJJ3RD
fttijrLupSMUvf9mz8b8Y/q2RtI/k7YsL61XJle4/5NrVzubxiP1CanXq0k652qYwZM0WnmEhPai
zu40rGRMM4Cg5twTZfjcS6gPFGtlfdtEe9lNO+unG+nF/p1NvlT8q4QX/CL7CinTcTQyiO5M75SJ
ZrQ1GCmXseyhE4wuid0c/rYrvXf6l220Qv+kIPqEpruIua0qrXIs58imnyg9WUtPVU3qgVPl3rK1
B9MMy48t+eZQBchup6H5QtajtbvyYxDkKgrqA7h+tfioISF/bw32k5wRl256rUseGkuTbK3dcaEx
Kbk+h3non2UvG8qvU+DaOzkapso/Bw2QZG7uv0Pit95iG4CZoobjoz4hvIvjNlmuI1f86+VaqnU2
eZsJTvw/5i3Br3MjFRUKJ9qpYVTsq9kMHhW1hoW+8tLPZO++WKOp/UJc27NMjn7dIH5KnaT94vUJ
RzpxH34IY5drphUrZ7u10/Nf63SQfp3DoYbvhi/xRVMb5zgoJfknaAdWLeI5lwh5ienawQq462Og
l2AR7PpTnCjeNoWta+WQKOfANEu2g1F2l040HNa9bxabDNFUbZvUrnJc7HLCMpRh0paXhn2YEw+t
tj+WtMr5/Sss842Y44g2yx58y6IQKkXcwYGVfC+HqVpmd16W3gGwTcp1l6NmEYSobYVGC8/XiAKX
ZkTjClKtgYPzP5oCvV70Xi24vVfSFQ8aPNayWwYZKrAVabV3Rr8q7K0xxKDcvKbbRVqiiZKD8Ek2
nQmBBFr3j3IUVBDgLBGDCBuIiJz5dwRPTeAfNeS9tSpvNhw7BtdakiRVbcpju1+MW2mEOjO8TpIQ
KRVB0vjfY5Y5S0wjaJekI46N4KCC1YNBqDRe4ApJfK186RuU6H4PfnsqpVJ2OdVRFMOI654RFNsY
Koe1vAwuV8Vighk3FI7FdruOCoc5+STSxWVVNstSi2OZtiy1BBcINpGvzXKu6+38RK3/uHI5cT/N
CXoxeuYEnLVSUpQ6fletG7hKwk7/MAonxBjuutNAZsvYUbGtc9QIvdvC6CuOVaKzW+vRvfRGJX+R
PIPGXA4dTubvzGAUQkLqUz1te+pjGpB0QBaE3LlbGBu/s8NjjtDFJXNg4WJPVCYb2YVYfGpWbgGy
kzLUetdO+disKkN9Db35l6myN0SCg2FiryKHZNmpZhoB4SVK8cGl2vjObw3teeLQc20kjnkENaU9
h7XjwnYf+ChOl1CFqeawtsXpq4Xk69Eyqh/VrLpsV4UNTGMACKyrj7M4h5WNGWjmMWrbH3LUiTNb
GRtRuvPPWLHmMl325LpaodRHWLrS85gMFfXrPE9pfA73Zg1gRtp6jWrN1vO9/VwVyl1Jne52anvU
5sagXI9Npp1m2aQNAKdCyAmupOGdS/gLuD5OQda/9mTIu2gjiT7nhVofQO/UJ12FWPJNbVBKDsph
ERVnjkXCszS1UpWwyTg6s9VcUPD/1ieUwbVN5Zwy6kCPkSx8N2PUyrNlO8H5toD0LKvMOXTXm7e3
MfUNB+VzkK6tqPzJUWr5xAlU9aQo6VfO+vuLKUaaao0HIJNIWYmIstKrpyLqNlCfzw8yXqtmhIhH
SqSkU7Hs5lFvSd2L6XKS76cagCO0vm8v4KbZNcstavuNslwPpEpWduIVZxkMimA+6hOVQvL1UYhQ
j5PLsSTE1U5vfOqa2rg6CvBYOXQCSJXnlqocOaw8p1mpZuJc80BRP73O6XvNuCoZPON+5Rmfljk8
xMYPuo7aXwinZeSk3zMwOPeFaDjC1O5DPbO2o1AvXWzSkZkFOgkJKj9yKBsZEprR0wg68bSYZI+a
0dEmObOsw9mhe/JzKH/fXu4WqVNr7o8eWFfxFmQzOiYM6nm4H3ylPVvsPUvYBvT2rI/1wR6C6eBq
bQs9LaZUtw2qVuRYdqX1NkdOtxsOEYHiVs02nME/d23xjwmFSs1nEikHrWMLIZu0D3xQV2LcqIp+
M1Lu8upeAv+yzWJGZ3fe62TpNo1U32vg8v9e2ko9N0Pb849lS0pfDsYEfyO8IOkmQXHms9Z5A3da
E5FOOyg+a+4LpMjOR4jO6msTIxnojGn+OfencusGlJezxYbouVZXTqFqG08g85GCzs+WQG7KnrTN
ANGBFQuPbIq3nhxCk4bbs1JoeQZx4y2Go8oz8wVe6u5BC7P+QdcsfzMMKN4sNlutgmtT+ntpGii6
hGVWULoakzsepVE2McQQextAh+C57h6Wxn6KW794AJ3psFW0KOIsmtoDcM8LVrGtXjMLNBslppsY
es1DyWn1x67hE2piC8lhocRM/S/V1X7Xnk0xHFoQrFQI+xfptd3w2zB5052cCgL2Pqv16kH6XLPc
d6adfpC+SGlXIHDSZ83TvJcB+WEYXjxbeY5gynsAsNmcCx9EqhhlUBvcep2XIkKg9c1ROkYrqB+8
2u0OMGnxPCKCF0cXKkdVMzsELwiTseDYgl0XAExZYuXqiMhVSRjeZt98YQ0cQzG0rRIE/s4bQngI
0qC4l41qIQ01twjoyiGCxq+OpmygplHVYLcE58KL5MSwCZMS6rm3VZJRK+6DUPe2Q1ciEPTmkDOs
gaxdrDiQMZnKzoZp+8jr2MdcQzVGkFOqXlIhLkuvlLSWy3hxI1wI4aUcT21bHRqT4uUwmfcF5/+w
PAX9g2/ofN9Ez0iuMRqA95wpv1pivxhE1oc/kAwQjr5sayoYAJOSLd76SkqdfuzBEwgB7XHwWudh
Eg1VuagA12THUi1yHsLMch4szXf27Zg4q8Vmaop2ocLpLE1yqoyFxmbV5noIRpHVpFMLguj2Mott
eRmvp+K4h5vm7IVOf6Qwm+L0tJw/2TxybzKzIx8phi5sVJTtm49jrzRPiensA1WfwZr0wTkFYbqO
5NB0km3aBc1BeqNq/Bb74qgedM5LxbdXRsGtAvE9G0JEK1i6arR8By1HtJfDOa5AUWqhd5VDrQbx
qeSfciPs7rhTpbdJ6LPAPAxTw1ZGlYalrOoaPL8c5g6EnTqC22bF19YuC5QWoAM6NqWT77noGk8c
NnAlh0jgP5EN/TaE+N/hCBzXDnrd93/FmvAEoMVCbJ6i8s7j44biXW/TqrNx7kUje7KJkKI6O1Xo
V3Cg41GAW616I2kh3GSY1M0Hw2vjT0PSevFzmXftp1LtfmpdtHOdqnosB1V/piwdeGTd8KQYhcbz
CNpjE1iDv5feyGS/j2qJAQCD4Anl73PiA5NKRHBNDvGBEvCTdMr5cfUjddkNSUtYxl+CWoHhWkQr
JcT+M8TyqmWpm5Sf2gfZUHylWuGHwerLDxRzzuSSVMguZz9J127KdjU3TYhR3+LbvtgboWXd6Y7+
088QJBsHLb0fCq6UPE7Cjg8a8b4TjXSMeW4fgzF7ae3qt0lMyHO3vNZ2vL7Fd3ZwisP52kmKUkE+
L3tL0/7DNmXW/xa3TItjvv+F0o4bMw0SsNI+jDuTScWwqDnVm1CHMYhG9vqSc5KVHP/lBgsaHcLI
v0j7bQU55a+4xfYupoSrY8fv4aemVjoPGbzwu1dapsje3+8mN8kNjTzWrf5roFxxWVvGGaFibSuu
KjB1oxGwHlxYpfnWJuXOEtzScgy1SQR4GEDjYhtGAw2jd2MxsZNGOWdpateJT2U5KI8AB62nvsl/
KIU1XOSIlKu+Y29mbXq+N08IhxyipBgveedqqORQqTHZsY6+aa7fS5ts+tyC5NLVi60clsoMdrfq
5yM5W77/XR1+BA0dUaGmdWgFFvnO9KbumiSNR51KFJwUwfzKoiSuAQiFcx2AQQ/Ce9mzdO42hdbB
jvynA5Uxsse+9Una7TmLoaEQIVr6qxk4SJJrZIUbQg4x6lzmFBsFWWpDbwvL2HriwMD/kSJMcs7a
tDg7Y/wYmVa2j99M0l7ZdViu/u6OVLRj5YO+zZb+d0Fvq0nbf1+y9L3fq7dlsAfk5G61wcuvTRr1
EC1QaVBSY7KK7D78mQPzpIjoF3+ZzwbcWJ9mrWg3vuam90UBkyDkfvphsivt3uYZbWP3XbmmdN/j
8KGdL6EJPHtXh5QSOY0zbt4ZZVc2RgBAvW8NH7gWmG2w3fp8WdwTFPfdqvP5mNBN/rY4IuhhUWJD
81LNig/cbbkcQ0cqR1RKmOemmL/IkWyG0hRfmqHe6s1UfJA2NYIIpp5dftyYfESzOaqNttJnChP0
J/p+VoxuvdiyrHVXUw9YfVloTL77Gtrlt1UpBztRJhev5BrSlntwy/rpGO+kjYejaF3pUXuAZ+S+
KCckPpBZ+tB79niFN/MaixFl8tWHCRb+HaRp80YOZUMO/ydA+ZjsJGFpY3n3PifecpI0tVRb72E2
6Nc1xNDUCY8TSDIfacax1O9T0PFmOUd3rRhJux7a5plnh5McuepsglLUp2rvILm1ksZb06j6va8j
FWZ0MM1JWzioxp05xasmq+Ot7SnVXVRanM5CzXtIHc244//tAnh2tJfe5gBF7c3wP1OprTPIUCjm
7s1TbkbFt7CicNWFlQqyI0XZJnPlXEwYSk5eo5p7h6TIQ0895AYKFvWTVUTfOeGqfznxHkWNYMd1
pt47VM89dJ5ur4sqwGZ3nbcqeDa/dK13kl5bSWC8Tye+4miN2gcVLOQxReJmY+i1faFs/ieUCiEF
FBqS3sK0NIvNhqP9UKgd9eZESLsyTmUPl/XvadRu/v8s969XlTbxDtl36dsApHwtji9b0XTi5FU2
FBttYgC/l8UkIwJ90nadrvIHFbHSJufLIYWgH8C7W0c5WtalSiaHC2RfUC516oCVC5nl7LnqU4pF
na9Q2Xv3DSdsU5NXh0JXo7t8aKn+tQz7kWwQylOeD7kSOqQrZDGsr6PVPQ0J32BlbNbWwBknu/zz
jV/1HdWq7E5epm/ryqRURjCr6oZFI3uikSGzYGftRNY6mrNfs15O91zRoLkew/47xSqnirLKTwHk
Rnvqy/tDFfkxMjbqd4vv2CF3Heh3Cqf4OFKAtPfcedrKYTO2/Rahpnwvh/48xBvVMuKjHHq6IL9C
6OI8can8GMBkRbkR1FuVqipX9J/BNefQr1Wqq7+MWv46rEW+VQ69xPOhIutfvXKYPZTmdgrUn/08
ezC/2iqqQ6kJ1rfNE9DRAzsYW0OxhP/MJlN69SpHssnCTBBZ6D/jwciz7egcdZtEP2kDg3IY1bj1
xMM6hTHVwCEQhWbSYSLlcPPyUzMpURLRaW3p21If4J59c3uVZZQbueJtWSprV1PuK9sWqZh1n/bF
yUoydAKRi93M4M+/qxYkDLr3VZkHaztrYXTqajd/MhLjOyKe2b4MAnA6XVBcZeP6Y3sZ3Hs5mJqq
6jaL01ACbW3VSCyNXTUcIDT86OcVxYRera883VHuWiEYwmlAcJ+nsC1ZmvHOXlZ5YK4GF/LJqO3I
GxAmZ8FA2x/nHqVLji/iL50OR6Vtud/aIeBGl5TwxPfUZXRD28MZUXjfoAn6ppV9/WQaU3LiUUnb
QvE8fEt4PE4N75tJpo6T2lIFC6trH8zZ/SnnsQ/g9k3ZyeNIxSPnEZ3JfTeybpRk6vhkarb2lYpS
tDuBiBzl1lE2GVuh0Cm5TYndpGyiirJPta0QCM8dF6bhcnaupWdv5CbUjYVcWx6sNb9V75skVu+L
xv9SR4F2lCPZSGec+KuB2rjrYjd03bx0pTFXSFWqjffRno35avvRtOpVRAVnSOa2nj66eznMFOsF
Vec1aqxoYgjaGlOLQz41PbzIXjKHWbOS3SBwk2a1uFS3ZdNSayDDmfIu8LWL7N/KbG0PNsd5vMSi
CcjC5JvaGD47hd3tpQP1LR/pk6j4ZJs5FYdlHTb8rQfQQ7IbCtqdWIhaiBvO5dYIJp/b+BbUceSm
ofUFIZbATEtUdAOfm8b2M3TQGIWXWiFVjJ7rrB9aod3TAJfnrh4bhzbT9Re191+9UN/Fp2lAGY7n
BHdFLV3wfXaSfR2b5i8Y9o9N3JHkg6SB7aN/tBuneJCJ/FSv5pUa5OFZDgMtDLeVCjWZmzgvzTij
j5TMX23fLXdpO5J89Jz6s7AXlT59pWQWWla+whzvrCsQUqdCHaPPpptAZuw1z90EC2QW9T+l2c2G
cF8a48rKDjZ7tBPM3TA1i57553BSxkHIF+K+dW/hIXArpMMhz32b89c6t2gNeYF8tawZeM6jQx3E
vs6d4aIExYDgPVJW1qDdd2iZm4j5YpPeRB2Hi2yKOn9WxsDZJ01s+1dpgxoEDI1e1is5A5BJRHpa
rFrlc3LQOP8pEX9F65uapDIddslbMRd/QGdeSa8VxV+KRu0Oc6vpVDWIGVHYchJU2hFVem+BsgoM
Sh/7YrXf2MYmCdSWPQ80JQ8hdcshxl6pE3tXwmcG27WuqZsgaH+VJal8Ja3QCaTuhcqK32Lv/F+R
fe+GV4cUgL/ZBEPGXw43dyh+XZaR0VIl/iYc/+f6/1pmsd3k499m5BbMKvx2eTeReDeRkIeW0ct7
tUL9Q2DmxkpTmmpDjqF4QGEsf3BED3wBBUz2vbTIZg5RkasH23kX6qXtxH7ocJvytsJYTRmXMb/b
yplyadNV+7uJXJY0mVkfonhhmaSRozDezbEVeCuN++q1dIetJodyXlamBceZqrlTA8rGKfPru0sE
InR5Z/LVqfdFw8+d+/3i8NquPzckHW9vw1SFCJiyQcjZecxIO3UeiVLdqtzHtPHMK7iXk/SpwlQM
DkQdxsTTkRhKR1t2w7bWPG+jxzyHr9nB+asGv1CDdm4x/FHvbch7LnIVrgrdI2o2ix/sX3uE1eXq
uMnBjTrrrrWKlPtrxhGo1qhAdGA2uItn07qTPTeojWPQtk+3ODklGNL/5H4+HzL+GSS+meHwkzi0
jRGtbLGqjFuWErjQySmL0+0lNbgyIqqyNoM4bRz6LqAErywPcojWOULAFqVIcuhmUH3U3ROCAe4Z
fQnn1vw1lA5p67042pVTGMM8CPbPiId0hb5N/YjGXP0YxZx5maVOxdcw1XzMNNSZvLfJYO6C7SYd
YOuQQxkn57Yxzx4mCebb3L/Wa5qw3ZcNtdgaqudns+hfG69zzgMPDZTAw7REMdVvh5AsrxBCgI7T
ipui3sFdDucENIOVVgUbucK7rlxWRkuPD4MIPzSkkWYV8SjEN5HELDM04dvYu1AyTZJtsFBLL4dM
3dzGVKG6l1vU5AUwWNjh93ceS04qxHxYz9l+UyfIY3jK84pZ+8p5pqqQ5ysaKykVZJg59YPQR9dO
yVhGl4g6V9jnjVOcpbuAHOchdiirmsvKOnFmax8Cc/igGANV1rAir4y5b3dsoKavCVkE6k+nz3oA
JwLfkHZXp/3Nntv1fLMPmf7OLuNn4CS3eDPtlCuqilCyjNAnDVV1Vwt13TRhe9yWU3Sahfbu4CAt
oCGgt2uE2K7BxuXALyrcSG8ANevFtxNuUGJulU/2g6pEh07EIn3gntzA/wiF6fzY2L2xampYe+CC
Q8bBMr4ZWoc8RtBH0JmblLjqjb5KYy+566MyfUJx6b6CTfwLMKt8ZweNAsGaV37xqGQmf1RS7IdG
Owf+qCZmV0o06yvU1QgIVYgADW59MwV2CEERJ/n1VasVcmkZ8GwZLGOkQw5lUzrUsfsBijxBKDhf
lkDZUwSlczH8WJaXZrnIYhvC6GvnfEnHYt7VRhNou2q2KVpU2K5tECKt1lxHGx6jhMuKk+oydgZX
8cyL0x0JpGz1f8wCSxWfDM/Y3BaR692CzKT/pClGfYiNOLpbGrsART1M68UCPVJ0B48lWglzZD2T
kgyO0raEyF5TuvPa1zRlszi0yWUaWdNgb/UZdYfixW5G2S1qkB2wN22M1Hz/LgyHVFxXdt/cOhlO
gT/1J091Xhtpk0PpWIbvQuJKSVfvxm/LKLNvrn1ktdbSu0z+r2s54oWVtgwPaDYfofaY99HohKta
UGi1MPtDBeCWm1LxjHMeelBvSaqtBNKoa8L5znqyIpK9fj2pqFwyRy34o0yzfpYh0A9EMCshwBQE
pXUYU8fh6bFWvgyDdqRyDjZuNRw5/BLc5cJezdVPI4GpI4pD/a5szVMTdrtB6U9xYxXfw8xtuEsa
yksUm9VmbJThwVataO/ArXF2kZ5Yd+lUIm2nQ37ftt+yxolfjFJxHgoKiXPo3l58zmOei+AkXbKB
+gFIs9qgG0g0zxWPTWOu0Nz9UaEV/JwgbotyhbKWIwsxo2dn5EfmJt1m4ll74xgrW4mSpyDs+qdk
zOKNm/ntPs3s/kktivjKFfCjdMpmDPyvLk+LFzmCjsPZNya1m7FKWmjNYq5YzHPC18XmJu32JIKv
U9dy4DcXPMMIEp8ehmwwJ2II88nWafV9lcIGFEXKwE34txKPFMbR0gZiZwt86eKomvIbMi8OFMtk
AZQs5JRpTB4k0gqU4X3VZsmDBGEJXyNG0hfE8X2jpupqannqcKy25LgwUVdg9csPTmEWH3iWplgi
n/O9HEqHUVAnHMfOnTQ1Vl9f9NZ5vsWLSYEi5FIDNj3p1MfpejDb77EXdGcZwkmGe9/O9nqZoKnt
WuUieWk0c5U4PAQnZdRbUAWn/tHLlPu4DhQ2SwA/75As6++yoeH8X00pWvGh8twbDjULaBTVe9/X
DD5Ev1lXVsgRmbiZpnoCt3GM7I8YyUY6CxGxhP3fbVOPCt/YUNybKNvCdmEnZE/tQjeyneLMPY9j
WN2jUVKtUWnNfvzvERlrjH+u0WkVmiRGERyqJG2fmkn57PMeL4UY1XkXHuZh1NaKYjZPRjG2T0n6
WTfT5IO0WGiMoGRoDTvpiybPuTNHeJKCpn1MYx1Yc2XesTdFmTvr++8Dt+zQUuLPreMZu8YzomOR
qPZdx8XAHlz/XHObqynXpTvOnrJ1SwCQqL670GHOiC3Nrf4yQb10G+q9rb90ve+8Gy5eGfyvuTm5
vwOct9mstxfZeCrMB9x0C6gcf9tkT+1gvCAV7HMKkguA55Qhq6vCLLm5GTuBJo0755DZxnyaS9ix
JSl7hwIS9yTnuddm5TD1HVD9XI++qJWxhvQz/A5wEjhY5L7oToxEYgkGJ+khdjWiO2tQ9LsEBhmK
m/iZXLKg3N6cdtw6RztQP4WUNHDU438sGi4Rnj13+x4Bm03hzcZzFZrNmeOPfiWHOuTgD1GTINJT
K93aMD5petk9SV8NwUKiVOGdHGnlVK7duzniUv4AB457nhIlWQMAQF5ksqdrX83GGrml8LtjODue
lKxPfVvCKqLDkGVPSvixFIJgIkDOTIQwST3C6CRn8mgdfZ8ra5dPjvVpGIZy3yfbMID6ewYxXP8n
qtA5nFpN+Wj3w/faqpN7OVL1j03Xqi9A6rpHDteuaVqg/N35nGTqabCWQz0fsj1QYHsLTu9zRn38
sartfAZlr8yHEtS1npIaUkVjhSOcU2+9MYMpg83AsJMO2Whlat/iHAg/zpCGrZf5acMhCvJHXQMD
hB/unBwVrdHt2BnXU3LndarOFTPVPsDUPKyTsnH50Odg1Ti1CR2XMa5LNyjOdldV7q2b+WVx1lyL
FLRTwsio/OgM2LlJuBVIDY3AwCfuUoUxIIvTtcOT7gvN8MyMf6S+vyb12P3K4v7BhIzqyzzxgzGN
qnxovaQ89INNjlDL9DsjrtRNqHFgD2f3Nzlpco8lLEQ/HWvIVqGa1y95j9B67fj9qg5QAOd8sIdR
lN9cM5n1oU3s7pmchNAaA9suvXURBhzymD+k0ykC74kPRrpkg9z5R/S7vascGXbjrg13AHEmloa6
+J9rSWelzO6fa0UInpiG5l1NMVmuFevPQZqZG5l2660uRd0oal/zde/G/ai466yDcagRz9atDvfH
DB/MAa4I6znVYmdX9XmybcWzdh/XUN8qXIF7MVRHY74ja825LyNFK/WnMXmUE+VijlUeUfAYuOfh
RyCoolor885yLdUY//1KwUsZRNx6jMC/NYHeWkBHwyTadX3TraTH66tXtxzeYtSs0Y7gPI7L5Lhk
ZxHAH7TSJoPLaA3G7azbaJsBY+UsMOX6Kky+oD1XQ22KkGWie4vOIsC1ihafZijyVFf7YqkhMOO2
83dDUExfjRnuqd/mroJpV5pV55/mP6LlIrnI6f0RLc1hHP/HK+A2HlW3P7BzsvYJbPTP5hT86O16
+gFJyAcFAqKPph5bFFdZKpWbNdufbp5XMgKaxd3Qe1Rz+mEJoL37ZMTauDY4gb/yNAnzqqq0xVWO
O3Djg+CF8oYfPFoj21WYv/KgvENXxv0y6DVqRxVZbYd86r6GZ+fkNJ1y6XtP387F0DxDbD7AK9eM
P4raEBce8xeJoT2sw6su9+bnHmAL/CQqGC/xqVk1cI9/2NFQu7ZmqT4HLlywg2W9xkcIRS3xi13E
9yLed4iX68sP9M/45XUD1vkrXr6fP+P/sb58/7V4/85UbEcOUJ4Nz/oZGt3wo4MFek5S9GHcFZV0
EYT/Vn4gZaD/QD/9P2NsOidIbnseOC3rAHtQvPNdf/oKXxtUbLXyydHhPK6EHfHi6SuMPGvzzZ5T
aHezi/jZNfsD2ZN2lSG4cm7MpK5XaabY52owHAQ8en0jPbKRjmUoe3VjMOUvdxF3py4cx8Nin7TB
IlMWqk/IOsPLlCX6l7JvXlxOVX/Bt5spDnxj3TwcRjRq1iM0LLu09Gqo/WjQ06ovcih7slEGjssD
s21gQuGWpFCiVc7tVTZJ6bXXSDRy6FujtYbipd0sttrsyGPLcaDM8c4wg3kl58kp0jGVsMpS01lD
7++oX/rZQOqtDl4K14ou/eBoN/sUQ3EypjZymiqKJOwNzLt+gP4lSbNT5XSoqKegufZejnA33O3K
hUQvdXMOpcizIfjv8vlpjNjeeAXbLWd6Qh1kfnLRLqCktEd8Udgou5kQduWBI7Ip87P1B4rbpqd2
9KDABZYB87FXV+tgdKkoSPU76bUjUWcFSmyrGeH81EHEJXbDPEy2a0M1vM9xOH3S4CX8lSYPDkyG
wcq2wUfMok4QWv1tl/LcohfADnq1+6pT4TbsUZ4L76CAEltMY0DKFyau8aA6IcgADWI3tSpPcjSS
GrmXveq+6avx1le4x24sPeUzGwECUcNP1VAWUHpeUZl4rfNyLPZ1P/HIDKHemsPJ8WpRtpXDBQXT
j9F/95tiPZaTCd9tqWwDNYtOiTbMHxorhnIWYrnDqFre1m3DZueOKMZqSjB+bBNB+Njm4VGPu/Hj
5Mbaig1gjg4D3rlKuKMggGdm0YhKScUd461BBPJ1yP4oPileBR89XEB3lEH1L43TrXkW4dQk1rhs
JAGaOGJInT2kd32+iUeD/5LhCHbNAiwxKfitXTb651IRGuJN4t1z4FafTdAlaEMpPfWSYbhj8XZV
tVRH5K6rP8qGh/t7Q9WgMgzgLrvZoR0wlfKhAbn9WKQUpkT6DO327ylmVA3kDcPPi2mGpPOgGiS0
l2X+h7Dzao4bydr0X/lirhexQMJv7OxF+SoWy9CJ5A1CarHhvcev3wdZPaKkmei5gZAnM1FiGSDz
nNdQJ8XYhifjbWqNMOUymdpspXkYIVeAce7jSehfkOIvfbX5kpvCPzmIeS5kWI0FDhqG9aqhakm9
39lgwQ5uKiahuFLEDFdWs30VV66yaqOKPVKeGZup09KzE/vZ7ZBidYIxNBLYFlCUUw6ycqvq+LCZ
dTueU7+zYN9o9jsSzZvC8POPvG9e80obXgxb7deKiOojDm/9MW/yctWLtnnqytRbUSIPd7UWTi/k
F4DR+BXki14bXwKnfVfAmkATpKX6JuubtH80ssZ4UsFO8fFOLxnOPJdgch/koHL+ysB50BZ2iNKy
yNqtog7xpjTQ74P7MjzrnXtUeO5+tRx0MPUBcE4Y4joJJRNduqFvvpYjFLrcTpzrgLLYXa+BAxhB
an8tSb7prl18QXk/2fm2H27rxmze5pKRHIBLLxq4Y9Ydqk6IRxGWLy15161PLmBXzcKvjatpTzPi
aBNXdnjA9BcSJGJWS8y+xLdB+bMUyvgdQCl3P/jiD4Frhzu9CPWdU3vqtfHR9kZ4bPoOfggBLeWP
yncScDe1uPg2ttV1Z2M5C9Qhy+vozp0VpOXBGyf1CPYn3YwztOIzdjtzEJl2Gr5Qtx5zHhhovMW2
bhC0f1yH98bCCBV7tbLIhoM/2aQWfz+VbXkQhjEcVGgk/z5IbRSVsrPfDwczKrkKAMYAjBBSCSog
Mz3UupNfhea1qIbuErlfI0PHVj1Jg+zoj96D7LPdxrwGRafuqgxMag+lIFrGZmCsu9zSqGHNbR+V
2SW35hzZN4a7BhqPhbNNS1T+xkJou6miJA2Z3WYdrFHxqSfw3xhYdu2lrkNg/2p/ki0Eb9tLYTlk
mLNYrGVMHmY9BbwKtBNGJlxKxhpPvKaa0hxuI8xXkfoHMhQTWqId3K0crAXeMTP+sRT2lep9dE5U
F5OZwLmmemlfs9RsDnhqhwvZ9O1BnHFTJIXXOdPXWusPgwDporjxtGsUw9iw6FDfACAif6rs60G5
knnqroNdxgfHFO7C9/w/jSKel3yzh7X5aJWsTRrqZosBBeVnEUfJqvbKmtdPMAIAJXhv1yxYbBvK
uppWzl0bqDUV27w7e7NdARKx42PbghIcDSV99X1sm20boTrLQl0Anve18Or4Gy5+/qJLDYw9eiTV
YqcWmEFEQDPsLn1CLhYvrDayry2Jv/U4AD+ENq5tmrKGjQHwYGdlQr/rWPTu/Y630VHne4RqNTtj
6uN76N/ciqwhPmO1yGORXcB1nM1MSr+YHrE3U0mPYMg22I6J9sqgveKfEMM45EdtI2TbBHb53VDH
fZHNIvyeCWO4nbA4SINxYXWa/TxZ2OOGbcWm2q9gSIt45dZ+9QoCCWcIPUd8WLer1yJZsBfyX0fV
yo9IiSRLOSqx4XzriYPtyDwJyZeVk2TIooq6O5m1V/GbtiqsUEvlxQlcSJEu2YlcdI+mryzV8RiY
py4pQjxrhuwgsFD6Qy+y76ZqRm+qBnwxjBx8ZTWLumuSTABlLaQuUr86SbsegWi/bTlloS/Uvu7O
zkwjk0xaybgFi9khh989ODMdV4b62EedJenEwXWS4nGCu3jAZLpblFXc7QYwcRvskdRz3IQh+hXa
SbZAygJMmQ8oFzbbGH1inpC+Ea1LvRcLpUitB+RYxGIcLO+9a8szLhCOv+BRa82CtrzqfZjFMEfK
LNxkes6TstdjBXBUgqeriGyIGY19T5pKn1Y+hCvWie3x1iw7T2waE0Emh7I0H0MUbZxYU9WDGtf4
bCEzukiEV97LQzoXbyre+eEWjLMd6jXGUXaqqYH6CDmydWli5pE4oEIaw49OiZ5uLAXp+xEcGD/j
3LhEnatfgrwrTxAMUXX9V6iezxoUJr1htO8+40OsGEur7oqNFsY+OtEYdu5ul+OOCHZnNG+XkhfG
crQ91lX/p1ZPaOsPQf6RnureaT6U2GwXhlOOj041ufylRn9gZ+uu+ib/xgrAwkWDEnKnZgGVMCh2
svnZcWtSvIrdOrv/LT4YrbqK0NVeyWGfhzwnhWFkFxkxnLRwVsOotUthuNl68A6q8LsHeQgc3lpP
dOpeNlEq11D8RYlnqLsHhW/hAzKX2dZ3HNzl51kyhpom7HUtcg9yXN9AfIknb3ObMA/LRZBt6skb
V3JWXxndQ1WpL1iS5kcZGhy8Zrs6OslJYPdy3EaCXUGF4qT1JOJGDedKvepJxiLLz91TvCl+6m8M
S/cPpJW1B21C3lWOGOz6G9kt9bFWnWpfmXW/8Rq8gtU82td5YeqYvAjvVDbw/VvXPKJKgoQrXgIr
05hFqrAmXCEDW+3JWzqvFg+XsLCNlyDUomMPBm1ZeJbzqgc1t0K1ithl5+aL6WF/kjrBsslBzGua
E+/rVNeO4NPCbRRF/TlvmmKN2qj6QLbeWhp1Hb2UZaihL5OiS2+N7wqGEH/UXbQvYl3n2eaM29Cb
PHglHNqAm7ObjYLdDdl4y0NYPxnfPDNxls3kTndl3NnPYWKtg2Iijv7KVpvQTTUzfXjLBFnpDllX
j0wELuQ6JZB5+pgDCwuKoTi3xVRdvaD/KqcXjrBWqYksu6B6HYfpPclmfe+6QM3bYuhOum1n6wC3
3Sez1EworFn4tbZwj5Zbnqrfh11v/YnIwbNpxflbmOflUq018ZANo7+RV+zZetyuaKPbelLSHvOp
wcqfymEwgfZr4Vcz6O5FLNhEccUMVMV3jYrX+MfsPaOLwHmzQp3Po7f0o54GxmPQA8PoE/ut14Gy
KKgP7A1UpB9VP2EXiUDBVKgZhl7ZDUXnZ0Z7x52jXUoUHajWdjlm3zynDDGg8pxlpVVi57s0+y5B
LKnvcU0mXwOGujG2oYJFuOwdYnZoAZDspezVS0jtNtRCvP3MO8UVzgrNYv9bEqx5+GvfylZrMO1K
1aMZ1sl5VIxspqoNTzPCrMjFvqqt8Zm9fnHwRRSsJbDs13g4xyUQ7dd4wXrhP8XleGUoKiqSqblT
k8jfpK4WYEGvR89BpyvbNkb/wPai+LkXSnGwBOaXsjfXEoV9x8gTae51XYGb+pDcT9pcxGnqbxLu
YShdcuh7ZAo+0R8yRr2TcvwP9IcyGMlBxiRARHbUJnWBGnCorSN07OLQdu9MOmVkJRJvpcOdvRYW
lifFW4Pj9Us1C+iTBEThbB6afJjxps1BNcpMgTG2xkmeifkMQf/zoEzJQYY+43lmNdv+xyzZQUH8
r6leY/40SwTT92qqjZ3QtOjcprG9yqH7rMwClXUZkwcfasNOFC6uVpB4znXVtSxw4f7B8zKW3RR3
/IU/puAOtnXL1rm7jZPX8jxIk81MXPkpqKietbIn8A6tWYfKqjPyalchdLtI3DrAcHN+hZhXkNeW
17nNnl/BKDp7lXoaeSe9da/WpMG004bqu6t/FHk0fDOLTF/yNqRnSsvmIcAgbCOw2z0HWmzikVbb
ayV12VlqXfZiqR3snFK0u2FuZmaF9HLsVAfZi5hDB5Qp6I+jGmYvZpu+u1FvneB0Zy9GxFaeX9Wh
CfjaqAmvWk9q8QaGD3mjwIhOkeKmjzCHzjJuOnkOQgPS8ISj0pvdF6vRtbIXbN+Nu6IP/5rupUiM
haion3Qr+Y/TfUAtb9aU36Yjwm7c+bYrlnaqg8bQQ28Zu2R7Yn1kL+C00Ze6fXURNXpuqlq5+AmF
9NSJvrR64BxI8TR42hTxl4Fd60a1a9BSfCYLV7HqrRg9HOb0KjgNDe7sA/rQu3rEIknxx27VBIX5
MoXWn0WCO0WZXKEms8SeSRjwNRaRlZ8c3RiO0mlX+vHOIb7v2HGY/7Lo/RGqSjwL+zTygLBW7b5K
yocIdWp1Cyeg+amJd0y7xyrqoWzV/BTEFQxDz01XumGggDgf0rR9T5BL2Y9diXHg2ETpWUNxfBnZ
druRTTlOnTvSUVBErPTsdoFqqFaunoDC6/TxafDIIkR6/YoDYUmFfDRXoJHmhAKC22hyJ/cDD7UX
s0kWsRk3r4ZuqQdvcJSlnOX7ol2mJjbRsld9HZH3eyXREh7TBCc1ON4Nq/coXY21VxzqULVWpDWD
TZfwBEdjoLPgMbIDs43baY5Qdw0g9wh+iCxJR/U/Dup0r88yOSvW3s6i6Sue72iULck+Rs9OE4PM
wiv1I61B6nnW9wgYAmlje3rUM2xoh8Hw7wwTPhtSEeFaseHcm1WOX9FEuplqOvqI5reeuzClQR9p
S2wTtoNX2Hu429apDt1y5Y6JeK2EeZYvZITBLoYLiTUcD9JCnYAa5F50lmdWXX5XlMCmEPhLvKwa
FwN73MVTUp+7QWHD2almd+ysuj/KszaL/jqze1O5U0Og4gz4DP82FHf0/tbbdrOuilWQmIwpm8Vt
kO5crKxuZbOeD+i+FNGr7CxmuEgeLsbESZ5k8ctWjK8slbJ72YV/QLYS+FtsZSdLkOR2rTJ0lUM6
UE4OYuFfMLEzVxg1AW0KYbPLmDefkXdfK6qgXIxL4S1eeqLedVRvF3LE54QkRFrKtYcSlOa/LhKm
/FecEJGf+WVkXM6KO8dYuTF25LLjp6vzgsY5jNTiylaifa4z5z4cO5Agc8vR0mdFDd2TbNl1/t1L
Z02OMe2ebRzd8ZospqM5NwvwzIvScHqgE8xUEa1ZCt/tDm09dc9xF4zLFJ+8vZxLxhtryciYdnLu
oHLDHvvA2N7+DxoKI16Ha4Kc61Dk2rS6mmxkbx97JtDH2V+vxIKzSi0sFLu+ePGsaDepwn63DMVa
JYAfIA8FxRP8wcstjirHKmY/f1SHrHlwDPFVxuV1wrFGndNtpouVwb3umsl5H1pD427bVOcgjN2T
JUyLNISGhmCTDqt6wFaydIL+AguzvygzPb/iMTmpLpCzH3FTmMGKwqXJCo0RssM3NcwqMhRY5pBf
qIqLsOt4zjAruZOx1IijBXdMc1Xumwjwt8Yqfl26YtzHFDaf+ny6NlWPT1BDLnC06+7JsiEj4hBw
7OfWLRSgZlKhOStbEXw1vMyT/k42Ry/K1n4SjBsvBoPotK21ySRzRw28dlHMp5jHb4yqC+YlDLF2
Zvdo4HqLVRMFgHBmHK42xdvUnQ5ZYStvDbdUM2VFztZ6h8go3y4QkW9N6u4wUcufeUjUdyjEzg67
xNEI+mPE9UbVHs0+y4PVeAnKUrsLWWbf6fBknJYMueCmvTD7oXrIlMzdBWM0bIcoGZ9SMfxB6t/6
I7K4j6CX8CUvjGTjgLw4kEwPL0jgIidjxdYfTvZgqUP7rRFY/NqelZxcDVBAXYN6VezUuEMboV54
rHu4zdGUBy/ujbs5MQPcfw7+dOrKqN6W6Yb6MJqPc39javHSnbeaLO+XGBJ4R/LXhrPqbTVchYpi
r9q0sU84eLfseSJ+LUFR7jpdt8HX0OGbNYDRzhwgKXKz3skgFS3n1m0GAWQT1+oWA0pdq1ZD70TV
rekB71xzOxtLYeE1Nil34+EDc5cKm4ZoevBdNpyIrJxkS06geqiuhnmrqipFm7KwbZdlUlcXOcTj
Gbafcs1a6KgBP5jzwReIb/hZ7O5lU+/85BSoOxjPFyj3pPWrFxP1BX8Bcf5B5b/8FvhxjF1SmD+q
cFfWaorFQIEqy972pmDPbsk/JW6IHxK5l8fAL5UFP/zmvSuTv64oqIH864o1ullbd8rUNVahYmdo
MZoWVeW9IsT8UVl6dQlgEmD36L7I8KirpFfSyd0686jC1remCLUndtsTpu/C5LMm3qGPuxrAch9w
pqpfs3Ql/w2TYz9YOlte6HR2XsDFToafm7hbKguKUNYyHSeMlnqjOkYKhNPNOJ92sxWQPNRaaeMd
wpgCAZRmIYOfY3SUe7dmkarLMCPtKJ2BNTHusoZCVcRvcmGC0Xwe7URQB5rgAfu5v+6rxnlprPkb
lH/BWMw9+X34560FaHNXs9pbBUabfxnLtOHW6mV731PCleN53UYpwV0LF6eutONJ5fXdlq9s/poh
etLOiVsDCswqLmLsPxGivZq+HS+wNpu+tiBJeYKlyVXEcUL51Iet+EOqUZ5JwcWbKuOth402q1xv
8zmui/p0GVqpvszw5uvbrL+M8yEpHfLofvHRpmiAyJaM634Ii7QcWYuiv3wb5iZVeS7MVznqM9yM
LHBMkae7z46yIIEV2QAY5dXk69Vqp4F31bP4a9H7a4NbwympB3yu2jF8yMDyLIUFCnWsADD0QV6+
a1rzgull+JHpVENFy13X1bZZqxVsAQ3/IJwaUynF/NDHQH91yzEgg5MOT6KPh1VWlMalQwJmI+qo
vm8FjBLRGzOhs+9Wn3j5LhjapVO4UPQomFFh6YP6XnbX8EFxhuk/ajaI25J0MFI8eYxNXH6dWgsf
HQ0YV6YU5N5jgfkbRpN82mFzaMHjvcLMk8Mj8iz7uKuDZVX3+Y67FLKLdWSsgvmGKw9NExXBrR2b
VVYt9Bom+T/+53//v//7x/B//I/8QirFz7P/ydr0kodZU//zH5bzj/8pbuH993/+w7A1VpvUh11d
dYVtaoZK/x9fH0JAh//8h/a/HFbGvYej7bdEY3UzZNyf5MF0kFYUSr3382q4V0zd6Fdarg33Wh6d
ajdr9p9jZVwtxDNfVHL3jsfnYpYqxLPBfsITJdlRQE5WstlqprirMN/hLacXZIJ31r3oKFt97dlP
0N7BG916dVaWSF6eZUcuBqhVZY6umYNQl9El67bRi1ffCZ29MyXNSjbRGsyWlZNGx8Eoitd2BaI6
fY11ikHJpCVLOUiNu27lkgrdG1n4nDnZaWqG6qIZXrFz/bxbaHoOfVwGs9KBrhZ4R9kipVpdKk0Z
11ntxiunTKtLbndf//5zke/775+Lg8yn4xiacGxb/Pq5jAVqKKRmm28Nyjlg6vJrMVbdtVfyZ2kK
r2dgirLJtDbSYj7q1Bc5it1EwmaaHYGvZR/FzJmRB7PTWjx94g+gedWVj5x4FLeHH6PMOVPyI6T6
loEqr9ouCz8aXhJ0KyaPcoFsgQ2GjBK+BE3SPmSTA5mXMb7i1afINMiKXP7Lm6H//iXVdaFqhqup
uqHBwzN+fTOGyksbv7fNr4PnrfVZDVubD+yfWhZvnJlIFHkgDP4VLJ0hWFUUOX6KydEtNf67OFcM
OOPzbNmWZ8GAOLA6paQQJx2BqKbdkMNIWAhY8akKkuR26IYsQvVcBiDHqipyCoySbb9ywYb73Z2c
I+O3IRSCn1El8dFFqDV1kZsZrAQdu9K/f58s+/f3ib2aI4SrO5rQHF2df+w//ZgF4NCpY0v9barq
ZqMZbboxWEPvSfcmz1Gfnx0jUr9mTkohqjVD8v5BdA7cRFnIjsIxntEg9h6hZUeHLnXHdTyU2BFW
zSMmrVh7Tknw0DVRsr81g7nEIussKonrbatEGPQESQtX9UePrMWM6N7HPZZun5UZeSYU3b7/nCtn
fV70p8HMl68rR3zGvQHYLxKL3BeAvNwV2ejf2TDy81s70LH75N3ayl5rHvI5DiHB4DbDlTM+u5Mo
zaxlrwv/v9xthZhvp7/+rF3d1nRT2HOSwdGtXz+hWtVqdN8hwXdKWG76VHVxWUInyXEhnpKOYf+O
hdwp8qruWDQuYgZd3rzatQjv9KTLrqEZZVctwSU16V1jL2O3QwdDxg8KjFvncTKGCHBKjqdrt7LZ
jlZ27QvhkGxOms0oX9zzCorfedmtoc54yIVA544NPWsWQ6WgX63HnJYwD0glO/UytrXi6CYFfKGf
ThuEmXfR5F08tYYVEGW8431i7riHWcdpKOPt0OvhOY8SsQZe218j7hwrDCvjJ78jlUc2w3tRih4q
3jApb0kQfFNUQPqKcI7ock9PcNYeKkNrdhMAMtLBbXwR5IQv8gxO0XcugILlj1DeIAYZNemL4U6D
c5tQlD4M1hT87Of8poN+6ZGuDBXuWvksjDdZeRl/Jf0EgdtGjMpXS3tpmD1+yMKEHj2fxfaEpL08
rafQvQVlE0C+cWj+NGNq5P4STHs8p02TtdsEQL3lwY93hjMqe4rAMUrfSq0vNSfAKgGxgSNWAd4x
UZrujrw8QgG0ZNzyK/YaP50C/l6jWj8dPsfkLovblWxbwvoWGX699fJmH6pF8ByobbEyqVEc88lw
Ti519KU+FwXadDbeTMxXHsX5hiqrsce4nDqy11LXrazxRmeQDIbB87EydKC8zoSHsXPJR9fAsmQn
IOXo3FfoIpjeVCyNKh0XoxphEzYP1huXcnQWvtu63Rwnt1dPoEr/OmQZRj3kBOwt+/lJLOouVU+R
BnwRefuNHGdpH+rYBGe7iZ37McPCfvCs4N3tYcfEo8m2rKvNiz2gd+fmevhedTkELc9JwBEZyiPl
uJPRed4zuatu4UYHamnjSfEq1V93eGxS/gVu55bFWVfgVyDdi8V4OpV3MpaBeUUTVCvOZHSe+wKN
jYqdur9mK0wCDAzsbkTM2V8XJotbJQM/IufJKfLMDSIIRwl/zee1Jgfh/IQfyzoJEt7YCAze2pi8
YGWzrVhrjWCFg7r+CTZIfmd6lXWubWGdxwjU4d8/OeRy4pf7km7ZuuuYluNqwnDkMvGnJ4dZRrgb
K1bxVTGibGmTFdrmZYG3KECmt85EwQ5du5fccdo78snoF8xxJ0IpUS3M6ZxMinfxTeN7X1gjPrXs
X1hO1AdTDOqXqCwWMh54ergjG1psZFPLsAgFwfFE1k4/GsFQ3S5bagUL8kZNT5MZpJtEaD3GC0m4
EY7vcE+J7S898kbxDIr9LZ76S6No83d/jJ11jzHQPkF38Uuo5jeAcYRW6S2Om3n7JSGfLIG+v43P
iEvAsBsqEToOd2Hl5I9zXXJVZKGxkU1lbPIzrNRdTL6rQHhZwPAOunwftXnxiEE2FZam/hhHRVv/
/afl/NtznmeITSHM5PMyBWWMX58iVVnrDlXM4GsXtDhBa/mXyaq9a5SW9qnPq37RmG3/NrQB+AHf
tWArO9ozGjkbLLH7N7Mbkq3TinBrGmmzrgOQLjr4kjttPjhU1u5kU57JWGAKajW2fYhEnF14jiPp
orLgKvFCviAWiF3swI+mL9Xi6Gljfywwy3huRvMcVNF0RpQof3aF+UG9o7mXrWBOUjZFUN/JZtqG
/bJy7X5fzTNLn62aP+n2VvaG4MbXelrVG98V6SGYIWdgINtjN/OJrFk7vl02dV8fQe0BtZQR2fc5
quwFMuIOu4WsRmmqjfrv3Mysub6XCov6GLnNB+7PxS6OapIpiUoKI1YZqsfdPLRu/J3tQc6s3dG+
t5Fymxamkdv3eWWcqtwc9+XcIXtlXGss+7988PKD/flnKshRmppq66rBZk37fYHXI0Xd9a6vv4/C
r1a5VYCoNZX+doj5wqNG4r7kVWRt2FJE91bpWNd0QnjXRmBRtqiDJ2ezM4CDsgWeTaW6de4Z4SKr
wdWMPVJm8oBWVHZybO5pfmMoLLLwHHdQnSLVMpw6lnr7v/9SG78v8oWpq3yddRUmrK7r2m9Lo9gw
S0fXIu3d1rwvNaTm+4a7zE+HoUedD76jxgJlshcp4tL3oEb6lZF57qVMRb6J2d5jpIQGqZnl3qF0
QuugAqHZdck03XvdUG0KrJkv0M/6Ra+PzV0RauTijaLeAboGJZRMa8dLvb0Bfu8gzwo16m5n2Y+z
/9T7GfscR2Et/i+36n/78QvTtYSjGY5uuvPm/bfNEAuTiT37WL1HafqRZWfS8979EEXWKZyxPBKf
Y4o0XqF4ZK4+Y/Isbh1x1DDYuk0o0ahZyNNomkHEejlu5AXkYNmBks2c/fDuRorW419Q7w6FgTIY
A7RWnP7+Bv+Wp+pQz1JNY7LuyYGCO4AwKgD0wA0T9dmWOiZzzA5b7f42BNTXranPQ3w0VxZozY7I
wNbZparTJ+GYxkGaDeFEnF181Wx2JiK6ELBoyoMcm6fxbWwK3t9ZmGXQ7nxl2PSRqKH7Oq22aIfy
HqS88x6oCfb0DmA8MiQ2m1jz1Wh8993q7WYJcwF1Ea13LlWCGKuYOxAbIh2cB9kZZI1/LiYP0c25
IxtZuzTeiBm4GeT37aDO6SE6oqn4YgCI/PufiS1/B7/cAyx2wy7AVtt2ACHqv2cGkKxMNLRs360B
5HhZhyS/cBdYR0pvv5SG16/MurZ2wdxUejDcqt5k97KXRzfuvWSFx8I0nzKWTjI8WmCneLh9Qw3U
fmk18B9ObqhL2ekKbFg8fioc5l4nvwZ9/4Q7UXkyS9O+N/1QLFuUlb8Bc4dRpY+vU12A+sM1ZZ+F
fvFUKdUXOaBTsnphtWNzRe4xvgv8KVkn3qB8bcKFHJCLzF0VbjDeeUXm4hPv8eifL42f3hPrW+uJ
VYy+G3QFNzJJvHRSi7Sf3/P5InO0VbWovo7zAfrPX7EqM6qrPCCV8nNMDv6cq0RdfRv3GRMRSkms
KX651u/XL21QQWyTBNXzR9tWTwGckLdEx14oLodsn9eK/dpH6MbX9lvXwKFLOrVCrcmz3uwSO3Ao
iyxMO3AlGIwgckYceiXUhDqzLl02oHmdQA113XLfFRT+EApJ+JnoPnbR0P0j6HPV2N+x8OiDFzdv
Hh0B9kXk9YsLQeB+MhrnETibvu5dxN1C3IgfR7/qsLnD9yhCumLJwgWE+dCe5dhhwsErqRQP1ipj
fY1iWJVPyUL23g55szTcaLombIiO5qDpW/FDKEXqnfwmf/IpsoKR9rTFivnyGZITfpv/W/O3y7Uw
+lalKayFnCtlVj6vl2I5dlALLI1yu1l3fa5fzEJrKHDwsvp8Nswx2asWrrid/f24HM3wjatSY/Nm
jLsl4e7y1M+9Z721jFsHuWnt6EqEvOx15tHyrBh8wCmMi6kRTTokiIm1GChqNbrKQ+41iBl4Ybqc
0TS3WGMa097OZrjwPK6dD2rTwm+JxflzamS3yklM7bKPRrFG3ejZcNzxaqtTvdT6rt7KpjwMmdYu
+s5J911TTFcZ01LgwQqkJ9mS8WJ097lTjPefodaM0M9vo0umm83FzD48jVJxneBoRKp1fMXW64N6
o39xFc14GLTg1Iz28GqWlg6aBvUmHFJ+HtXH3GmgVp7GtACXD2NwGY16Wi4T/+QhbfbgqsrwWPsR
u2hKhlu/m4ZHUY76ceYfOm6XleQn8YAC5wJSkLFdrjiQUXg4afGj4BmBLv94ZRtYPKpD2q4trRdr
2RzdOLxmY7mUrduIsdSWhi+ULYxlUmc+e2SEvexqo3uGfheKjtVfn+2wibR3pmH19V52yEPSA/vc
uKY+a1n11UKOlj2Nrd4HSVE+aC7i2WVj9vex7WgnrwWQBIi0/JYgQJYi6/glT9Nsm6GnuDPVvHjG
+usqB7yHwrcPgV0rIWp08DrcxrgfHGcgpzIOZyiw6QkywOI2QmMlc6fExvFzhBzmFxkualYDMtlQ
HRbLlcPuOMCafDCH+T1LqjvNR0Q+SGkmVuPts6zX16g1lChrkqiwBy/9piOgU8bW8B2jIoDFWGo+
dJOPPE7aWDsvUkfuvY59G5Lwm3Mt+w+LorJkV1yyLB33PI9TFCu+tDC9MOkbEACs878O7tz8jBWp
wcc4Ey03INzcRUAt9xWrvqVUDkgrG909FSBmVOb2OVB5LEvFgGlMHuy0FMei512eih7FZ1Qb3ydn
pixpynBKVVJVBmYiwmCTCvJ7WTRa+Q5vCPRR4OZwadr2DWqulWTl+wTIf+vVU7GVzUQcisEDHjaM
5W4ajXojJyMJuczhuX3pFQV5Jy8e1zIe1OGuiTTzuZjU7pD0hrmSl9Eq+6QmpMG8rEc6oEV3MjEt
A7agN7wZ2BgvSlsaFE3jFSP3dxnXfLDb4LulscHwGg93wTxcNIq6czHsW8tRhWqejdqi5AsC+l63
CgXFzn54G80GCYByEeO3tuxjx3y21NZeDE09vTZ+HeP2FI5fzciHt16J73qU7SiT+IAwlT9zuJER
iYpzyY49WFDm3vR5Wn3EfnpVhk6/Tn6YwZg2h0sGbH4JYcLbxLGYtX2V1tuNoslZ6w1BvfaiZFGh
n3h2TSXzFroGQ7DiLd3EmY9KfvQmAtVlh1VWyr3Xa8r9YKMDFovyToY+4/JM7b2eP4oF528dRqAr
64kX21aDhUPXFJ+dJES2x1C85zHTExDNrnJx88K/ssNxFjoUDiqx/5+z89qRG8u27a8c9Dv70hvg
nPNAhrfpU6kXQiaTdtP7r7+DTHWrlGqoLm6hEKCNSIUh915rzjHZZgZ9djHU8JYW5SmWtf6oDYp+
lZvAuJIXksxYtvWyaXkQCG2IaRnaA61IKrMtQwZHVsLHPkFwi/QlQUXSRo+QOqxr0pVcr9hp+slw
H2iveRlFj4WsVit7FGQeOUNzHuaHQo3BO2TVTvaz5izbFg/z0rJzOazUtcIzMPGtl20fjivTgdhL
8wHTjnKqVHk69o4oCdCp44dpoA0eIL54jcjNaHT/tTPCyPVBT9FvDaZ1gGLs/SQMfOUmThXXQCp9
tFTAsQqOtA5gpdbtJL25eV+FKq+fxho6jGutdfx2j01GgEFV8DOJDVE9lhgF1wSDhVs7MMvHTANn
yVXdIi2GVbXUCRK1c6CX82pkWdYuhCXtLat225UHBpjx+ypEReeILxH90XywmEz5rBbB91R98JNJ
/oIU/FuMRPNlqEvfDSrDekgrtV7lthne4v7LN3E/yOdBKgeK16N8SEc+pNQsQKyQ5+OZstre4LBN
djL/7U1lbC6Y8oxVUI0Kk+zuu6KE/Rs/DalK07eYkZ2bEI3wVEZjuK4KJMJvdqaKVWKm/ALk2HRO
fanuiFnkB1Do5lNWZtqh8MfxZl4rm4J3KgizR1TAqSsp2gTEVBaPVqAjiQ6k6rDsdZQM5iJceyTx
7FW7oYdy50ybZZWucbztKeitpzETj/CodFe0UnJy8jq8qqryxsWwe45Cke8KfDZrEzDlc5A7CmW/
QobKwl6nC09q2OR3TcYVxAgA28ybrVKvjriZlwtq99zAu10XQy1vl718WaDcp1WKPoun7PtVhUzp
SQejd7V6/S+viylQrJdztHbYqMQzmnJX35E4liNNLonsSszoEoBaXNmVqJ/BpT/jTOL7GfceHW/n
qz35CLXmkwy8J9shNIgKn08KbZRaGrHGz1OYvp9k2r1nV4X9NegFgAorru+C+ZWEGv71lRDB1c9Z
FTybUiC9irL7yyvh6t1NkulyLTVQic7N+KVFvzxUotn8zSRvrnXkS7P+vStPe0jVZZPCGQKk3+s8
beYXoSTjp7DiUAP82SZHtcrUJ6HGL1MQ11fAf+pTqCUoWOvqYSgZ+vSjv1oOwotNrDFS6/dTwmY8
xDqqomV1FkxuodBpfHA8hT1I/Qo2ibZbnhFEJCqLIqH5NO8do/iaEEFzozArP1D9iS557me7MCVn
gdEa4A9jik6Bk+ZuGDOlzKMBd6kYSMZKzYfliGB4hvnW3S/7Q2JHeO3msqxFCrciMcrpYXTCJ7t2
TIApGrNx2dz6lSbNQkL7hLcUe9C8WktZvEuSOEZvxKqTlgN4TcfaLat6Y+IMLRr1GNrjPRfiJ9U2
szsr6bK7hCkHSkwq9F3Bb8ELYn68USaOy14UI+35z5+gov1WzqLD5ziyQa3GxCVkfChnxRZXk7K2
e2Z4w7ilQDhpdCUnLoy+AI7VEKYdn1tD1o9mlfGl4t+K0c6ngWqOxo2ffVVlO74rqjy5Kwmx3tuJ
0dAeizGWO7BEZcDE21qOpPWYF90nuePG3AqtuQa1DW2lmPappHafpq6fdpOBjDMEDvep1CBvTJTA
LqZOQg768PfTsYc0e7vmp9PPz1a0OGQd2yzPPfEkTyPy7OX0upjyQ0F3mAAuDitnOUWmi+okUJ8+
2z9e03Hq5Gg7me4tRwUGQD+Fq+NxeQ6YSDTrxpVkx4M3UAm8USHM3RSELwRc3i4/NzkGmhhtANq2
bFsefKJ4Njp03fdTwTkrJ700n2VCdE8B+Yq7XBPw3ualn9v+09Kfj7Ni58fzOf9e+vAsSeQYW6TT
9BDl27qT/G0cRpHHBG2aZ2nTrSLCdGO0Xb76uS1Q2mnVtYq2Xk5bdnS6Wnq6sLrtz22WYQNMG9Vy
Y/TTd3Tg4DFrxeCXF8h7Q6OMNRk9pOo6su/gv+eemYXti9oZD+jHQkQ40poNGJhku7xoZVd//vP3
+7dGtqYxR0CQYeJCp2y77P9LwygzmeREahO+AKqJkoNp7Wote8Dg1byadrs1xlr5LAe24YWqpV1L
mPr7KpzMLWb//JRDv3dzhIMuCiu+5PODBNZ/ZSYoQZdVtW4uf/6TtY9dE81yDEujuGlqtm7rxofC
manIQRTSlfo8jcMqdqYa6QMPelqQ+WxZzY5pcuL2sv9jmzxYRHyTZ+eqQu9erKw+Yu1Dbq5gsaKN
gHlKiP4lQK/vCkPI5x5m2L00iqsp5P6lqPiAVCJldiJcYZsugkw9j01FaXPQydfOU27ypmMrxCay
Z1laHpYD6cD35FZF+d9IEDT7w4WJf7htmUCUTUtHT4NC5dfmES56FAbZHD9gcsE00jI/0Z8J5iBv
Fq35QahBfvILPOcUsPcfti+ryxE/j122pUYOqzXVyfqbn+TDcT9Xf56bOxh3cDXFMGH1/k4Dbn4M
DecF4wA1kFofCWiwAmNj6zV750NwgnoDzvmbZRNqrWHPlXSCTcvO5Ul6mRin2o70HTi64U4uyh6Y
xo0R5zyl1PHdDKoWast8wvIkkl+GLrKA4Lg8CQ6z8ZIQHbfsNOo2WftFry+NkmNKjZAhJ+35ZH5Y
lppaz10wy+36w45MwGp3lwNNfiqeqgCSrdrCAqeXTF6oRd2DlZrjhTfkrhUddK/5oRxecEwl9+/7
TUqjDJLr07IPcYaaZc0pT8m8McsGlmsQKmQ2aPIpVcofS8u25SGZ9344eNm27K0b3dobAXSafgqK
o+y0FB/G9NZQioK6+L8elp2TDfB+k+tjcVzWf+6WY5DGNA0GmrQOebvSJG20+c6rzA8yuoxYacXF
nu/DyEOS89Rk1/79NoxIfkNYa0v/fd47p/mA4MzoJKIWWJ6kK4V8a7SbZd9yVCSmag91dWSgMt/L
/9OrKt24j3z9x6vGYpA9ezCQIohpgqBLQGMKcu+lRsmCK61wrhg37euy2quj9KL2VPE1AAynblCz
q8iaL+QLaxeo8vplWTJ9nRkgKRlmWehMEyfEJcuOmHk+MRJ1uV5Wfz4sZ1RwXX9ukmk+uK2SgElp
eumMwAUYm5rZm1A2pfOy7edDaAahFxRReqB6nBxheJEAOC8tD7Xkj7m7LNK1SjewUa9xG6anOMgg
YNlFtrb5GFZVXFRrAWYDqgQ8aIpcA8a39i0oc/gZfZfd1w11635U5fX7at22tw6xQaqm+7lnZBWl
l7LoyKPj4NDp20sWTyeKP+k5oIcH9tSwXb/RtedhUM11a9TTdlnNCQd09WlMrmVYB08VIxbFSfXn
dBo7DMu/nGV2NwKTDMPNJqYuoNZf+TUfRkRrz76ZV9u8Z/qT52EB0TK6Ww6A9Da6VuibN0PkdEej
yEEID07xFTXo/AR2IdmrDEHQEbCQetOO+uQuO5BA3VIpaR47PyigywCUTTLU65GtHpYDjBImtUTR
pbPJUy28RPh699A7TFp9GG3MnKvNbML5MqwAJyIeSjCwMWTWdn6k6k96jeRo3h3bCWpuk/mK6Ctz
bYfGcJjFxfi+QM9JoXQsF+LcIK8yC3jWYswIimQf1oXAl+s0xyEPfhg21KH7Tj+huCUDbbxUZUl7
CgnmS61PayVqpCu8hfFudKgrFWhId0mmDncqlMXbVj8t+5YtlWIVqG5C01tWqV3c6rpuHshUDPd1
pGmbRFbyT2NWb5b3whzazgubqb6ItKSFNxrG+9sLiHmVZXn2omj8qEnlkfdDOJT3BoFPy5mZkoBA
Kww8CTUCHEkPnLUzjOFnvBrvH4TqA9nrbRidGlkdVzktM8+sACNIHcjLTIdtWpf45DC3ls77wrgs
kCT0vvDvXaP8/3PM7y/B82R1W83Dgp8vIQWq8Te3ZfX3uzLJVJqMeFO3NNP5eFc2jKBxhNkOj7o+
2dckba/Ed5QvSks+ZgejZbusZmA7zEqlYFbRGfT6lhLk2K/8PJC6hLfHKrwMIB4mQSlGEv+vJUm3
HEYZY7xdlt73lubftCbBlPw6bZ1HVrQlTYuAXCRE2sc5D3OHuizQUD/oVQ94E+quXGnKztKBcS5L
P7c5/2HbcpyTX0kNdUdJ0JWCGZPuI4rTh24qqTymjn/o1GI/ZlOsbZXBtzZjy53nfZ10mg08Y5go
Q/rStU260urKOpQOQFGjvo8tKWVUZmb7KIwEl2dW47H7TvqicoOVScP0F31fjqICINaaTZLZslr5
DxaSlucCueCmq+3KvKRDVsKai4pntWX8UYcN+Y/zalTkq0Dzq4dATPotvz/GfLNAZ7RIXsodEjdD
Znp24qfbEJLTtafLe7L8YbOsjUnrXJelqrVlKGPk6SUW+Gl32SiZ4gWClr//efByPlWqjTyf+n7s
cm7acjdeNnYDqeNRoOGS1RR/G0RyyVilL54pAVsoAYr0sPxLYse5o3OpU7yNuseuyajw8i8yySvw
8JQPELcyy3gpRPQljCfxLZriF73KdYb9g88X1EbZSDjkw3xAxH3iMTJKLnW9g9h6Hi69Ly5jKHVM
+GSVsa09XeOP+DmwqpS28L2fQykIpWQu4I7bTq0uNnY0lXvG4/YDbeJbTYu0L4XhJxATA+2iaWFx
Ccqam9C8ow2nS8EP69GRs2BvRVW3KXsuOHX8bdlP6zlcTymR9Hojz9kMfr/WGP5f0pRxRa84xRfV
iZ9xeXVg/VTjQCNXWi3bede9mHjgTzNLddu3Vr21Ckf6FAKvWQ5IyY9aq71WHeCrxw9ZRIFmfkI5
0CvPHif7jHtYu9ZFR0tm3tH6NHwhWUm3ql/7x0mIcmUKw7mJexwucEmf6iqvwZcVwaPB3KAIlPG5
s6ziNFY6/KQxG5+xeUSbJtIyFPnsjQrAqhLRT5dlb4XnydKzZyhLw6UiNoEpCUcl0TRtx0AChtRG
03MTt4knE39zXE6ynGDdgm57kOpeurEykmSXF8b3srecsFstJxG6mK4a3zb3IM3qcxXDZpnGCWFH
Pc+aolh7/LlKTtSP1bLwqyOlpb+uLnujipLDcm4zpytFZUBJV9B7dHQa/0boH6KgM34scuvr5nzq
0j8o2Lil9W/7ljMk31hriSmjCdknme8bn8qhrkB2AJxDgEnJPqFB06nmPs1nNJ1fyORKWfGxGH3j
Ppnsu/ftqWNSdUMhazeDf8to+nXZXjMk8UQNEADTUnojmqJxw1lqIo3EtYjQ1q/mVPYX9J/kQcRg
dbsWYQ1w3rWVNdbhfZG8GuuwrPs0Y7bEbsLI4SYLDEc/ZyMYy7okqud9W1ma50iepMNfxDXztkC5
HZFq+1wsGL6icuvi6GvVB3dW7EevXV9uSSrOQ7cQXwUB4bFbtFdmxkbo5kkM0SKYXuvRv5qV3X8l
fef7VOXKizrpA1QwAHcDZW8XSjyYXd+yQAqmzCAwsDnch2QfnmZnU+SaF5eDlqVaa8iKsm3hLduk
CsuMK4U8h1iegw5CtIXf+bbs/nme3RM9FoZTvu58MbgOmHO8pkmwlsxSvzDHlXGzKso+c+L2jG4L
TJwR1vdSyFjZnqruM6S4qx+gVnSlVZB13bu7KZpNTYuzaXExBYFQjuGE8mf2PzUj0RSmJnK3qwYL
ARoPFPuwPxRk1jlBzEAEM6vK099AUOsOQVh/UuZ8tuXBmZ3EbSDOBMRLx2XTcqgZAoX04Zyufh5r
hSQPKka4S+PKWKnqGFxV0UykV5kjyXSpfm5iuVurTp49kIul4r3Vgq/agASmZgztdkmxSsD6fMuH
ZCbwKfqjEwE/XJ6pCpQfz5TPAa2aKalbU6qMM6Wt3IjCsz2vpAxDz6KfUsBufRltakuacxHYY6V6
jA+RfE4PJSRVk7jZsSBOw7wUK6U4BUXV7HISCN+Xwn9v+7A3D+p+LWPlRx0gHxxqo7hK5sXQlOWD
ZPCwrC4PhmZn5vr9IMiGhkrQBofaial4uVJENx3ozdTW0mckP+rB1tt6pZpYneFlQAYLqQ5gVxM3
dqqRwzrvgIdWrHqntQ9lEDpPVdp6qakPZKQg/c/6btwsq+i+9iTJGQ9k+8S0izGApdC3W/JceasZ
fedR7X8mtD3yRD4DyiSt2mRplJ3A8qJlBru7Laegu1WcafTCEPe6nNJ80OYKUzDXmpo+0vd2Vj3/
3LQs2WWvr6I5zVAm8EdJhH0ikdxm0o9vDtKc4anz6rJteZgKRi4unkMiIm3gfBCDbisKYJ5CPwyQ
bgFKYVmf5vWhDlAxLevcxf+1HojqWZczmF+Z/ElGPywqOXtjggi0MzOYLyE0CBPdvEMrbG5Cu4iO
piWCc2vPDSepqR7bPIN+Adn3tf2apkn+lqloSKtKtR8lLnsIB9LmHPSVesgtkWzTsi3vmHWC+BBl
+rUjcHM5S+mKazBytUK453tcWrd/rvypxq+2G7qEumOpMmVhxzA0ma/TrzUvapRhZ8uF/83IZ/zB
pAVHQa0Pb8ebWgf1V5FM609GC+Y6JmDdS6LzqBKNp9TYiiVDia6tOuxJQiLyr/Q1RmT5JYqret86
K80qoq0o8vAuzO7SpLnmWqAfZMnQDlQLCHTJi9SLuhYFjI7ZgFmTvsrlEerXkMpcOng6HLQwPjft
s6JL+qoZ4bdRt2u22CooJ2sVVpEmJNZCOZiz+MaScQUBlP6kKsC1Mu1T/IpyVruZ8kfC6ByUPhCM
VfqbJEfZ2UlWfGUrqvZRciaCigIamHjtjR3dVOFhrJSOVnxP0QOqt9rXV2MkicvvsNlEUKSPkmzR
coeQ6mbktG4EytRV75NPZYep5xtKvsHCJW96P9U2k/Gt1dVs31FqWVvUxz0DkOmGCvjgWVXB2Nto
9/4UpTu8uGhlJnRDiZG7IHoxdJKhJkX8yXVOjycxYDiL0h3kaLrvgUbHEumNY8g9H3svTBE1sdbo
mKQ1wrtiM2q26iZhT+s+acqVDJCN5AdYMlKvfklykH2dmZXrLPAzV5JKsRKBWtzFqAGRFKhnINbq
ucHjlChRSyJD6EG4GQ4Ijp0jCYaAz2sMUvQMw/sE06SXDiolR3LdECGW1R4O3woeJs38uNlPcOyB
NRSuOVAxiKf2m5BL7YR85msQalsrZMxklnmcuX43lgeq4UETiJPQ9KchNrVD0MjWKjHA9zJqCbxY
cRqyI82aHssDszpxwswvTiUX6TEE+triyKhiv7gP9eLBMBpxMCJa1b5+pHx9BYtlfuLauw9twt3J
HbfD7JxrZvxcSelWsfqeUKuo9nLakbc6Yrqu0t00tFA/FCEBcCTo4ZSN3a7rmnNrHiZkEOuZ5rkh
1PfcpvZ0DnMEKpJFVxxr1qnwSZmVcWRtrEE3DkUZP+XC78/+SFE2gZlhK5W/a0f11mY+6nJJtvdg
S4FCq8O9ElftZXlQLciJQ5kRwRdWiK5KWTtqY41UTrNOBd3Ya48SZTWaIfh+ixhaxLZe709uI5+D
0jaesB+6dhgeS6rYB0lIw350uheBf/ysqwPaaI2PUUPg6qkawcLM6BE3op9cdRWABH+y1e3ASHYl
VMuLJO2b3JdrNVK5vYzDcJYzcdPgySOdHn0tJnnwGKPWrJKsJQhdhGsKFs42Dax8BUR5ZQ7BF1PV
ur+5rCm/Tre5qhmKYRnYPakaEAHzUQkMiSyznMrJviM7Up/zET0V2TFWJ2HIaSyJSRemZRhS68KP
sdZ3RvFGboa1DbmjkZOSEJ+eJIeELnsbdSOuYX7bf3Pl/bWRzZ9o6VQDkCsrKp0IS//gVFFkNa1E
WcSvA8lQIL3JHOzl/LZMlZzM2rHfqRYpKgV1IK9g7rhJldrVepRWC0a4mKByxCNQcS3daIpZb2i4
MG2JGnGby5mzlqdQ3UzztTZL+shzzFRb68IgAygPn5tR/rt3/NcqzfKOI7xWDOT3mEJ+s29Sy3Ty
BGfbdwHQ7ABz0Tyi2FmRIx8TypTCwyKsxXcz/K4u5Vqf5POUSHPVxnlo2N6f31xH+aXcsvw15LKD
yHUchWbzR+/+gMhf7bigfHeYhcA9aSsCvPPXzg5n09LYrCbdSVwzhtRiD/abJiXf2qYZTm3vTPtc
t7elbDFnoWy4Y2w4HHwpRHDWRNZGCUu48hM0ybYLP6EBky/1FF6S2lIQd3TRWbRqum1J4jDWS/mD
qMpnKY98Vy3ih6gt77mLOeug6AWJZqmxrWTtOUoJeox1qG26mUCNmxsMceu0vF1AiNrSlNdK0O2F
qFUvNOTOGwOlIqvLwkY0r1amma7r3joGWL/IfRCuGEiDBNT55jRRuDWi5kXNJtCKRX6X27pzUAPl
0EfSPWyw+CnhV+sqtvNV5MACtbGVj+hy9F0WcAPJpTTeGr5aHfmlVLOuuW3fjFG/cj3ABVel67GH
H1v5SXtS5aZBU+sQ2iAXx6Zsm3MqiGM2g7z14BUnbiLbEXUi5YbwBIn+TURSaT1Ob3/+/JXfRjV8
E2nhGfzyddWy7A+jmhxSqlUaQfY9s+ThpqucgngtX+89+jr3dagyLSqoqqvzt7Mo8/DW4Frw579B
/e07OPd+0ajwRdRoqX7sAyuSVQ/YWafvSp5+I9WtOaHeSKHLiQCVKqSYpTmtJtUZoceWGViwD0dl
WFPSRv7c5/YmMtSvBBO054GwXNAwo3RMYQrEYyav+r5TT1NPLOif/2zlQ6lyuTARM6A7tqo4cy/0
gzxDSZhOomuyvkcVXz45Mb44ba+uCB4EEuIH5T6zTCQyU/NkhGuK93vg6drn3B723Loxq5JDyCCk
6C9SV7hUX51DbY2pG9tkExBm4Cl8ZgyFbeUhKhV5PYb5Dj6UvGrq4KjYsCd8IgzNWqzITzH3QzDV
Kyqn9ra3qfX1TQpnRZAXSjjTjPlOn31pyDZWD405pFd9LJGPrkvfh8QSRN3JMkf6ObSRseISSdrm
ce2W8fg10+lthjgivUQa2/UYDNYmN+yQeWjereq4K3FDjs4maLVNmBvVrdY3Au98aq0Hcrs2vq7H
jEgcRqtG0FPdmxr8blq5qvSg8fyCgasTf8EYGNblV0nXjTNXdmMlScT3KjbBoSU2ddeKo5FamP+A
Vc7Z93r01jLuw7W0jJ2HcQ+Ct9gVdYOamKrLlhGDcoChGwEN/iZrxPoCCNGqjlytvAn35txr05lu
k34ZkTAZ6vu6D4Z1D8KMW4CR3TtQ2XdO174aoBQFgxpV2SkY4m6KmpHqFQES8zsZ3ezBH0+OWiS7
sOwVd+z0aKJaknlGmXoj0ec3miURK1vCsuxlJ8xcOhfSbZR9ynQEDCRRKOJI3iZjw0xZBf0bsHFx
X+e6udO7evIaStCyodwAuJ9jjnAT5lNT/81t4IMh6P2rrIN9sCi/O2D3PhjCWtl3+F1a/nezikJG
U13mJpbkbBIUSBtFjlqazl13MU2ju+iBQr5nHBzzFGs7g4fNoHf33Rw4iHPxQfCh/PmX9vsFghGA
YzgIDhRTtX4DzGhqP03J0CevfdRekQ0r94qD3L1CYez5XLdXY1ulNw00NHQSnaeoI440xVa8xmAI
I2mkete1kn8e7BYFbWJpiCDj7t7qH5zc/joGY/EQ0PP/O7GI8/HeylhFU+nEaJrt6Pzyfp0xmkpU
i5rIglcpAHwzgVTsc+uxSWNuXOBLN+agDm4o+fkezw7tIWSx99CGb6zUOWSKaeyXyVQna2epHtDr
ZXu1Jy0rb5nvKORTuAHqSqvp67OmFPuYwuFWsYMZxIGxBmKac6j6SXY1v94SDfRtRCn2oiU2wpWm
OsfCr7bUhpMH0VWUzbj6NO3w/OdP7oOCbfle2TqTN1s2VLSuzge9zCRaiABDEr/aQq3XTmIG3E98
bN+1fatFRXI0B8Vc45V6HSWCotrhII21cRRDtca9BIC4D8/aIFcnQ4QFfGvlk0Vw/Y1mS3sSCzup
0Z8w+5IGiVljhXoxcss67TyKKjA94qC8TJn/uZVbLmo+kyp8ro8+vp5j1cIi//O/le/Pb583+h9u
oarNl9RUzA8/oqoXRm0HWfaaGoa8QknbX3ADOwRtd4G1jxj0XEWUrNDJZGdnCu71Jnzzy0n1Elk1
NqnuBOflIXco7ULuAWJgoKzEbhW3bXLLpcrfF3b9QgTzcJIo99qNWEdSdSFQeQDAQHkUd+NF52+7
0QEORXy3do4ekGmfSvrNQLvvkmQvkbUnUiMlzZIcB3g4maO5RmFjd5W1x9Js1z49ei3RlSOh5Gj5
m06GtEtKWItuJsMeX1jcS6h77fwgDr2W0BC3DrK5+cEUa7ozROaOuikRaiJAgGDQuYIzyE7NTD0K
hFMSYQ8QHC0Nf5jRSk/SmJYrWhRX9Iv5RR0emmaKdkw5A+r0JqZukRWkDHephxBc9SbtkQEKEs+6
f23N9uiUFVk+XK2Bgbs0FZNryqDOnRC0rmMST1wxc/hNoyKquMwujCCdo23m0ZEmVu42iW7slNAf
DqM9vg1Rq9J1yJSDPye6+mr2GrYlCAfqmC6hAcOpIKXDL8mlbGD7DVwKNwbDFCxyFDxkoDVzKVQ3
5gpc11ku0TPHoauAisXpk6lXZFrOCbyqTc0NzRDeGOVYh2N91rs3GvTNNWX04ILH2MN667e6XyVP
CP0PfkWNOB+/2qkUnJj0lJshgOpdIa1z4xHqELVx+WjMDzikXRJai1PgF19h77xW+MB3Sm5cADvr
d3rbDjsLmmoPl/aqRkgqB0N8y9rqrJtQ6Rs7uOnJ2boBlurVirgjOSJ/swLuheaF2r71nCmT6Y60
Ho6ZrF4GQ1HvRyXcjnaR3PTMeGCejc2OyxL17T7siRAKcdKi19uZEaV/8KTcjAvhrGNu5UcU7+M5
aClVTbZT3wTkn/3N+NL6bYxrmYqhGcwfLUdBb/jhOtyRTMm3Tm9fTeJjvCQcGfYIfFm203INZchw
te2SL2S9UclyL9w4AORhKsEqJJhxa0bTNzFExjZNAM7HBuDxz1Q9LBdMlrNP4rlCxTie+9+JhEjM
IKDwuMQFZ7wZbmJmPekvvumqGjbpoB/tlRKM4PtFP57k+nOSZjsN0ecdiICcAMGsPUOvMjZxrrwt
NBhcI1uyS7S9MdADAl+WvIi6S1dYx7iLtCETc16rF5GxwROjbjEP4A0NovzYA9VK5rzPrK7a+zZW
FW/qHgSdL7hrQ7yWM9BA4ZS9DjZKI3Pomm3g01BK5q+wX0WXLu7Gc2QaN81UVO+z+v/zCzWuXihy
33KwYojBmg+r//uQC/7/7/mcfx/z6xn/e46+0ZHM35o/HrV9zS9fxGv98aBfnplX//HXrb40X35Z
WWdN1Iy37Ws13r3Wbdr8i343H/n/uvO/XpdneRiL1//5x5fvIspWUd1U0bfmHz92zbp8RgE2N8F/
8/XmV/ixe/4n/M8/9pRavmSg3t6f7i/nvH6pm//5h2Tr/7QcHY0E1hSc+zS8/vFfkAKXXfY/ZVRr
OrMSwlPed2V51YRQ+pR/WoZjyfJc8dH5FXJzqsktZZdm/RNDsew489DPUTEM/ONf//4f9L/3D+4/
0wCpGcz3uZ/OA0O3FRSyPB1GRZWp3Ue0SKvWYTQxa92P/nrS221qkh8oxZG4+mNIMcGRvRRh8aWO
h2htxkPl6kw9KBqLWy6z6kob9K2eZv0qlGcWK/6RQ9unW9EieqirL00tJHdK1K+mVYyAG5TbylT1
Q5dEX0oqGZue0TTVSJteS94Gq1S0gxuLPPB6M5RPs/1xyqWMgLm63jfDp6Y1EiqU07ZotQ5CQcB9
FQ9VIjD8CCtrXbp44KoINgnRmHV4PjdyjjmTnJbzjFlYSWqWeGUZf8WaVnq4DmuvHijg4HhENtXe
zZGmlaMT9xd15grouzLrDd2GUaPnq+3cmySVzLA+51BoQWoxC8BUfSwlnRK+XW7zgApr4KPN76h4
KfW6qlDQxzqJPKbxEnNJs4RckGVVvOG6kbnL6XU6z9/sFeV3Z6WGxtqJhbUdCanxTKms6JvpvMWD
GXodgvC+Utapg0mTZJ7czQuxl7svUGFeAT27pWqBMOc6kilXsihILTcnD+Fr+cTNdFUw7+H3FJ59
Inguekx5o+1aL4rCG1HpKdpl/SvOo+Ya6qbhWolZ7vJAvpfuBXlfGwJQZwE0yIwmg5QRKusR8/7F
8Qf5tmzf4ubKrCR47gc7X1G0S2iUqLQHmCtCAPO0ErPU4ETTRRftVkzW3RgVqke6unkFUZ/EvCDE
fQThKaWTyQpuakqae9FIdxLoQ0JIku9miYC6A8rpMf8oZ1pBsI0scZd3OTd1heZniNLAhflDy9XS
bhEF5/T9YnnVFek3P3fSQ4z4zZw5CBSR1BWtz3oX2ehWiNtyskq7Danp8dGJcRONQXbsYA2g+5nW
9VM+4L8kRvEOPKyyIny43vsWoXeqWZyIOVg7tW//X/bOa7lxLVjPr+LyPU4hh1tEEgyiROUblKQZ
IeeMpz8ftbc927uO7fK9q6Y0zCCBtXr16v4Du5cWc0RUOGQNev4qzvG5YpXzxojN+CDq1zmvm5fa
RvIaJUkcs92GipQfiUhKTNTTnWpA1XJLGmczqCybKlyuepx3g5A+Y/J6hY5audESY5fSo8JVGL0j
w0jZ6fil0AkEoYQPlKipJRBiYQwTqLQU7rezrr1DyFoexym2raircQ+kNI9qLsI4guiuMKDpGLZe
Wbd3hqlOpI6NSZ277RzqUJAZc1/rC80Ry2JmY1wmx1TsP9JNh9C7ijRdMsewcJnMpjv43JA/U7Ce
+dA8CMgWHYv23pgz85xnlBuzrGBbN4mZOxnwSNNsP5cTTruTHEgg5VxhiD+FIvHzfk1QHUYTLs/P
kDrXoFq6ncz19uQRwgP9RltB2gXCAwK+lOByLKhMSRIcRcp0bwHt6erzio7WqF8oLSU78iwNRY9B
96kczwMaRls7vGZrS1HSpCNPU2I0t6+qQLA9HUFVZE3kVhSpsPId7kdt/J2LMBMFeQAcnq6uoQkL
1JaxtCm/QSM01IeWCodxVAfYfxNJGvoqmGcMR1nuz7EEyDNez0M7xW6VI6RebrvciEw3gaTqGSDp
HFWLTU8ytx3ShyfEyBGypS3jIT0USjjl4X5UC45QioYzzjdRl/WWG+zQ7U1tIUbULKva+6QyVmcy
Mc0bM3sZNeWkFoT21FIEG+Vwd5IUMPLGmxaNcCRLyhnCSyGPqV+O+YtAWwi/Mbbl67ziMpur9z+W
mYOyxq85ssfW0qAvMmA1kej1I4xdAFCLRmNuatxNnsxg6dqPuIWOliazN+X1M2YqUEUmTUD/vtp1
c/pbquv53rIqZDY2kw0tqhM0l81rnc52nJJIK3V8ibbxYQH5bce6WHsQAObQIo5LY9W6OVa6NuK6
MJa+YymNwloen5qhVO+19Lc5YC+ml7PdwIlEI2XRgkwdX4FX4d2nv1pNdqrF4kFYxIdBxNnNHJmO
E4w+A1mLqGDJS0EYhpDsJRETUknEGwcdBwermsmDgF9jUB+AL8GMV1bcRjxDycHVSDKeqkTaTqbU
rxCuEiFQ2rdKVNMDsnZHJbcEP6+3j6XNmmCTkt/KVi/HzPim0gD+yNpXwtq6pq7ssenwqkwa741b
HazdbmK524MaEUPlPPKguVFpG7N1122VxQY6rYN01u4yTDBszUBDELLHbG+d2Xs9Ml8xpkPLYlxJ
ZveyIIp3kPxthU2EC+S0cYVRABAvbu2xR306UvH6QH36WTfYDluNto+B9rHfXJoHsmratHAJVZVo
oEcA7AGenLAHuZ9l0MRlL96kWxo6e7QavV5sfjdWJR7RRCb6p2ilyTrGmp3ehasGHhJm46llD2lH
pgx9aByxYEMrORui3tc1ZXUoidTsj+bPTdHO4s3+TtE7b1StzwmzSm+g6xcYmcxmE5t3GyDyRdD0
UIpZb1Nr+5VP42eGL0/Qq7fa6FCtyMdmYYbHaySXyaECRbFm1uIKkdi46shSMW7S7ELiexRzUhzU
piZPUzavkVLNhn1Hz7faHltovsgQF5emZC2kAIJ5KtAnN5YeE4RFHAtpb3doluzUoZkEIohib4c4
U4IMkdPkveps2VCCqfqWl64JzEZHJhKM2mjoGOwo+FEh9J2XLNDtztqkdZcr8ewAzyP7QkoryEgT
7TgBU1EMJs4eFVy79bXvYvz9QPhlaZyftD5xkckRcRsQL1BfU1oCk3oepmLdG5P8EbVAiXRjNE4x
7gK2CqIq0IzcckR1+CXF2nJkP5u6GoaatsYvyR7rFhi8VHe/FmOsfQTonnS1fR8auOA4jd70yBXd
G6xwxdfwmg4obBENTRSV6AaVL0naqr5B3Vxci8ZPJmDXC86rdPwX+vnC9pn2eF2jCnjTVQNxpQ2S
I6XqszxIMtu8lPzNn6zuubmIkRDUSADZONizyFNB902K9Tb1Bg/u8WaL9faVIABly2R6dlGPByTs
YrcxSiJ8U4Vzk7dBs4q5jUramzDiQr2W1J/oqM23OjgGhHLsWOnqMFHQCpGIa1LLJl0AOjBO4l2x
tPTVbxpZlDP2k4aOHQaURFqxpC1ADlJv2bOptOJdVp4SwbqCbEX7Mx1AAUirp7b0Nrb+UKLqFQ5r
Std/m1xaE4ltrc8bgX6hYLhYaDCZhelPkhQ7Fe5Ufldngg9RPkGTA2OKrpX3Q0QzvmzOuSq+J8CQ
w5Us39bK2XIyVU/RVIIlHSyCiH5pdaWvWPtLZaYFSIahDo01qkNLFht4H03Ve0uZ/CoFqQZzgjQD
mkSPqZo8Aq2eqJN3k1vEqD5Qruxqb6hRG0LifAz12x+t1ofQF8Tu7/s/D5JjS/u8e1CQH0D5QTWb
sM0Jprw382KD30v7UNkcTV0KhE1xL/h5ukoHEQ6leNeOahOyirS4nHLrv7r7Xz22TDTwUXox7J/3
Qk7vHLwlG+d/+yk/r4taSd4cuA4FsmHC9I9Xa3kJ5unPuxFDLt3EBD33j2f+cfPPl4oRncOlpCvc
P++mUSLYcVzLDlVYzsufV/95zb9+9J+XSPGtNtPMusMUeF9bXfL+PPnXL/h5b95QOS8VwfrrwD+P
1R3c2sjITVh2OdddY0811MpO+xkKnRIjN3R7or6NgJ9bfQFsJo5Yzv480XWEG+M2ygo1Kh1poDGq
SwB87MTCH9bu5KUOf/7gcHKoSeYDqeCi30LdP/78PGYpSHbjaiHbJXyiYBhBCRVmFY5CW4V5gcTz
kKQDObpcbOCTb7byZfEk3y5oUjJChz6tQqtcMJ/VtPKvW/96TFXNHRJ+Y4AoUdMf5BYdbvwWQniG
ZIBaszoQcBnwt7kja3nLccDMgbyXobGWtTOlNCPkOp6cn+P8+QMJpgzrWfr7sD9P1LrlF8amBZFU
VqGA0RAWyJPgR3N+TE2lCv88Pk2L5a+1fEyyqAxHo2HHXXLMnzdZif6QSFXtIxZPNz+OUZVhrvBx
ioFTnTx1lOb4ws3tXP/c+tddeV1Hf1MPjOijZqVNePsGRQ/eVmj7LszlrAt/bplM2b/uJg38XFAE
qav3YJQ6FruwU5s2/Ln712OMOxcjmiDfX1Z/CzEgsC8ZRJlygNrjv4iWTemLJCt56LzZz4+VbZxe
lrCy4/3qt27vasG0er2xm0cn0/zLFr7MfjB4cGLtBdkcesjZ0Yo8adtHVyphYXnEcjKIrp2n3Rf2
6B9BKzmjOznQvoItBGZjd97b7WBHgnNb25e8c18y0zkuTr5/qQz3xRR8/W794oHR5YCFHV01yhz1
LzRJhPzKxA7K40t0HQrKB7jpjU5iOluY7smC7/luUkAKcB/w2Yzt797FdciVws2ZXaD1s9smbt0h
X3ctt9xJOBfrjaLjzK8pqKPqjtOylUG/XWrti9Oz5qK3bXtLey3Io98XTIes2dvSYZfIYdt7A/Tb
1RcFv8cnsvSwFGqxRDL2GC0uG1apNEnqM8eOTsUQewWZ+nxBqQ8RmgidM6fNjkW+u5WvvysUv+nC
Fq6UOKLkmvML3yM/jmbA18BLplvtorBnX2dR2GcUfckXbdSewL+asccN7uLEh6YAsNYloUJg07xQ
4akE4nywAFRSigfM1Ti6dTLZMH8piCMKPlUgWd9J71Pk8SgWUQ1Updjt8us8tHarYEYapoVvVGeS
/9vBlrNUuFyF+nVTUZuxwWhx9BojIN0F1RbTK7RBMot3G+vaaYw9K90zLOx4xMDE01viE4I2vWde
zbt2b5pU5C+sWGgMXtSX2pMD4p18j18KgL2ocDeIfs8r1Jhn5Q6/48aJAPbb6kN1otw6nRKsG1M7
VE17fmSHKbXObH6KXzQvNc61GSSf4qUYbE7Y9BuoYQVCGjWL5+iBqGhbMs2Kj9Hb/ORxctPcWT93
/aPoe9DJ+2O9T7vTIHhWiRmiKwt7jAoecqf4rMpTNut+mT9Lnd/Fi523J/EBr3U3dUXb+o6+SBY1
rtfmnJtTIh+Gc/VUNEdh/60ycdr5bdovxf0g72j0l3tahDaQWkg+jGg8TdwW0+xSUVxSHA3Wz/fy
rfDN7fqYfTAERk3wRWOvSpubeeN1Ope/mtTpnqVsbw7BrTa+elyn7Flv7q2e64OnV4ll/X1fvfH2
obNRD+N8qFBpEdxxueoIJDB4l+VdAMi8AqexuWSj87KF4hfId3t8pVbyLmW7yZnYvGM+TKuxcYpt
V31bhbs4W/8goa5c3XHsbGVAusU3lx8dZiYhr6SEqDYnBleMV4pxOyTa9Jt5rYAmPvPj+EgmBDAy
+CQPw+q16m1E54qzCj4DH1nYSsU9cqRdxVbF7+eDKvgEg1X+Fib28uMHI7nv9jIiugLgy9MN/2m4
N80lXNQld1wxFKoOZo+U9+0sVSDqzKe2ebSar1H5lbROYJUeKNG624ujbVDY6nw+Ms2OQvfZR6w+
eHqbV6DkpXykm+pADLIrKZBmtPzHDyW6TCiHMOXL9j5Hr45Y0VZvojg4RX2Rm5N5BYrWDhj6ckVm
lFiY39hjUFm5AXG9RAr4iKT+9VKhjP7c98hskIi5zD1qgZrdMSdz37S57qPiTI76ZYKEAI+8H7eL
9W7ecYXlDrQw0fYjdcy7wT6nyYMWrF/MYF2yCU9ME8ICLlkDVdddCalN9T6UeyVoMOhzCOX5cSuJ
ntzichjBFE7eLXYTY98YShwjkMLxi7h6wwGiSVIQdSvwV07j8VWOFQ7wLkJtZGO2yi+NrQ8wuvJV
+N1RqHtnquBDuH6JfuM1dt/t1Jyc/Lz66lW/M04YszNOUlwQKBhA6wsZhHwTmoavUHQQGbepu1HF
AKD9OkrAuLzobvUhWyCBRjHpyIXDuJezZYxPfAWVF2uGM3kDg9dcfMgDCN1/EX0IpQCd+V25ybIY
7aRQCm4rhxq7k5c6NFlLr3omWI4um/sRB2Y7S1i1Is8IzPSo35k5KymjXnhSGUjfwjuGq7rgTyEX
izKOfKdLrgqGfG/RhBrtMnt/U6/C6fcSeeIXp24EWcyu0WUmMR1vH5+9UEkh7AIK3iJmvsOzhOqf
wytlIBgOkg+N82G8e5x94cm4H+z51bStd+Oe5Y/raAScoORj/uJGgO9wd1tFYPLmhT/YFeswC7vI
hb6thABJLVsKhaebkaPN2FCqSyMzIu8ynAJIE+43rihDi+9a2bAooH3fhkNno8kXApgPSCXz/e0n
O+LXByOP5cJwInsIW5QpXBP1tcC652purMS9vzn50YC2sMe4WQtejHe2YUfIhg6dS15OUFAC8U44
CU8S4l42/16y58X54iTo1wWpR5fTBB+Gjlzs8vv5WQx+ltApvM1T7dB42HtWtoRQpKfprlY/F8/y
lctYH1meo6txGjxGtEKMCqyMkMW5Mk6sfto9s6w88rHZR1IdZK6fg0KbsO444hawlJl2g0FWADzq
lp7wO+HvnAiV1FnxBLP71zfeTI5SMqSt8kCoBH6x7dIjF57gUzwTBqWQmUe/5MgvIwa8srhrpzd+
hfLOr8EKgTWUM4tGjdcLPocy3t+6/ggPSXjnDxXPFSk1N35k2Jf7NfaM+1FgQDce1+XG/vSTD7SJ
etbJ/eCpLlGSwUrPhy9gBJzhsnOVe+I/71pug1RffIZZ8c3XYvHnEGzFt93Y7Zro0n8xrSMj4KpU
254le81JGzwObZ0mT0j3ZFH4PTOR9d1iAiC1CdWFFMgM9KMiBlG7p2i8kCyoPt5j39TiTbI9WG05
ZxTSxJX6QULhdXxi3UTOxGzfOwxuNW2+cArqY3rJVqefAwjsSJ/akMjQKhz3t5o+o36wXFXmStpN
5pRGh0XZSXgwKAbucP9yNClsrP5I8WOiVpL0Pa+DWKNO+qFI0t2msIXfD4ZPU6sVnaa/dJ0z6I8N
7YNCNoEyONrpw7yySbcbDO92ICA5G7JkW868nGPj6bK2r1UZFLaavs9ceJFqgBOD8s9xoE01B6vW
m1vf8XbyJdwJSNGg+VxfipLKok/a1Hgsq+Z0kK+ydNTLO0KUQVli/lpCaaWCcSsCNLDvsjeWUxwc
7TnNHDWDvseqtrRe5NfWqamfNZRo0KTzChoiEnhSDCvOIFTU6TYMTFDb3a027DxhK2lv5jnpfOTr
yMzFGQHgU8JwJSNWDyokDK8m+JO5cn0e4pNWo+F/SMrfkLSEZ5ZW4wlLXQZpGnvQsER8Xu9acprb
ADvS0ufg1y/GLMs5eTZjt9wtljtfOtXv36bVicj8NbBUQaH57es67sV95HOhx3GXqcDafNbAqkIM
7Dxw934xz5Lo4LgyWa6ueEEQEOSG7kF46jqfkVa/Eq8YAUiFaNS0F3+0TiXpUOymzUlNXcvLUZ1w
NqIAYWV1IBxI8p6mIDsMspXFEX+ZaaCIniA+ztOBL8yOg7EVJLXbs99heSV3Ax9tm48V2Du2BiTA
gNvGnXQuMC5kpJCnkAjPLFCOclrWHQZE5bH/WvrvEiUE4Z7uXqVxMgctlB+l99ZlUhoBuq95wX7j
MND+JzUmIKsQujc7ospeiMulpSI9ROrO+LQ6iQ3/TbRJ97IPqBpI1xSpdS2yUBue84A3xmxR/bR8
2DrMVxxzX743NZbSeNy4GSpiI3AZB9PA4oCUZnoveOSWnsbgwuCd/RcDELA0mydoR7S/Tv3bwHQv
AxZSstbhQd/Rsih0ZxQc0W7Opt1/MeXqDLoQnlHQ3/hsDaIv8zG2QU9uFqISeypfcD9fqDet1ONj
R6E69DV8s0wZByw+8XUWTgQTLm6iBkN+qjMXTDtY2fI0nyg+0uzs78XU2cp3mrttSKeF7kniixQQ
SV1KwdlQyppwH/QSZ+08nZbYTLlW36+CPc624OBNYqAmo1zEN9wxGUILUxlk6fjLtBL70gpBovql
QDn2l5lcBhEZhueZTrcWZsJrzrDpnAUoYHvgEUDRwnM929p5rRBVx3yA1NROl9cFqiM6Qb0rjl5v
/dZ1otDbqDlSE2R1aPIM3aPMGbEKBQA73mOHY4kfNNT5KXoaNBX0zN7Ds732dNHPHfPxwXJ6H1TZ
LTGR2bXZ8bt1ZuIYD2iXlb/jp/XCgofOqpkeVPGQUdnF3jiPdxOFAFbdEvT6WB0zhTQkEJz1V0yR
/mFU3fxQsQza1Ysw+kjkR4/Rjk33MvojnlsYUxShiGYZ/X+cyKd77aGnMKy6GXIAAzNpEO2+fTeI
P+079vRca3ZOiUt6L/S21TnaQ3R/E/P7VShO+Ry9qwIhA9yqaWfX+ER9V3uw0JJp4CjSWNs3bTDT
jLxKkLImlzAmvUdH62Fo4YsOZs6wnHZZNrMqcpnVaZ8GmCCg8hJdl5D4w1CALESqKtiFsmuNozag
p9LZ3WGdMNy6xPPjVryq2GQka5Akb9BTcQVp7bS1S7W1FR3QwVHqne6u+NoUd7yv3ub3tmAr77IC
EyUPQNvc9LgC5LbBiR9ZleUKcS+7++T/5K64k5+GC42YHrGHEvoUGOQ7azoDe4hUFzz/QrzIPOFU
ym46gH+ixE9KRsTo8QgXbX22UYADulDBKne0Y7PXgzXk3M3tYEfvm78ctWNCdPOGI9zwBfh5RXrw
YQaneLc95l6OugnoZi/mjEz73nBj/R30gtuiE2GEu6whV2a/h3TFRy+YF9FgTjV71anfLV/yiZks
5l77HJuuedKfKLJ4MqVhESwdO4xQZtS+DJMfST7OqkCwCvqoli9CSmB/tUt8iRwlcnUBqOMpRYHV
zw8xCb11JxwOa7mnjaHfx4c2iJ/kcddmbh7kmatRmLsjmqpv+Wk5aEBldyV6vDvFLR8sEX3OY0I4
cyX0pQ/aneRS8SYq5LxsOdYIqMQfip2KDB+ne632Fc0fN3prAxGZETWovV4Pm0A9jnuJquzlGp01
NzkadwIlBdu4q736IKLjdk13UBATslD5WH4vbO/u0KRcHlOv8MF4xdur/ha/j0+D6IpJmLntk8oZ
3/GNUTrfjoDpisFpF5tl9UV6wDyzPq35uZYPtel1/ZUL3TsQiDe7dCAMVsisI4IioJQOEoNkK6hP
6FrfYmKN2XGonBtMCPaG179mL0RR8Y0OWRyA+B6UfZoRvw+1Cg7Dhsw4tu9N+oiMJ7NYesAUdW1g
0iHwD0Pvm6zL7HbkCGK3zxD9IOsuS5F7imi/sXVi+SNDEKbbJgZNk7PVLY5AS/j2f60NnPGC2Xw0
vSpERBgltz3WTjkxE7wi9MJQ4LvE+1KHaA5MVHcGZzzOrwYQBHJa86U8QhuBLjUiS9y9gFHAaFct
nAmDO68RDjSz2FXR0qHVZgIMAs9oj/eq6a4n2UIhy6lLaN+4H3uIDlbjDqB2ZwTg+2kMPpFuskNf
X3PZhX5Mqt94hnXZpHtK/SL4ZvbsIEm8lIPUWMwgEewKp9X/YBTINiHOKAPaNmv2DhcATKuXnJPd
/IvWH7umG+6evokdPxWIVF4Nb0A7JARiYafPo+HH1U491Xb0dove8RPEeeKVj4D3d/oyfuZUYSi/
u9KXRvXEtXb5akeWE617sT/m63v/XeC2pYCYII5bJ4Gf0zrMi2+sVIlxoAvIOI5S69IWpwEl90fK
ATJllMRr7WJPmwl8EOUDEEBkCER5EB0NClmvUEdzpw9mOhg7c0+Sf93asHfKh5SRkflR81Hfd8h/
QwvPD+CfKA5Z5+ROxayv2sHBZ61CX1dzQBJHv7JK8vJ9iTdTD2/J4TTC0FrC9A0bVipFym33kjxP
UjDKrrY52YMAjInts9W+Nc+UVL+G7J5MSwhK9TIOcErPVh1KPSVhJFPrbUfoyEMLeQkhc6b9fJZe
zLdRsIM2YHt/ZEoq/nQdXvS3hChKS9yvY81hVdKWXZxd8hH0GtYL7Nx/cwbYBX6XZ7n+rWmcU/Wo
PCzkE0+GYcvTKf+Q2ffG3sYQAbLvp8zBqPNoEtS0l1+az+az/rJOWtixs6eucQdcALSA0l4LJvS4
OFiDe6QqvzPrVh+Z04t1Vg6MjnSnUccItLuluY+pL4RDKErf0XH4RAH8pfFuWdld9Igkb4yaa2tH
cAdhrOrR77ZXmS23YMCShB9aJT+Z6WD/HmwksbddfKA0YHiy4QmeSnCzyQAIwDvY0p+ovtoT04dP
TWi6HZbdsFvAIji387gjksT3pLcn69y29iN0uHNuvG6U0XxRdbcKvxFvuj5Y5/idflVi0Fd9E6/U
2J4/aADpt2j7nLyQQmVcZQ4L77V9Mi+F5dfkALFN2J9ejLNWu9TF7xQieW4j/kWe5+M+1QflSXtZ
fkHBrd+Vh/op2o+ov7yk4fLISPzdZpcJoweoxLg7Gw+PKsxW+wvpwyfJNs44xGBxIZzzUDiPrMgM
heiCGM3mtgGOibUTv5dAFu27PNlNsieLr9sBbe+Q5IzqRi7fD3O0y+f9YD0atXAchPgS3/opcbmw
9/+5CVmYXlC3kkOKBmQprEMccZiQCLr1fdYRM3lZQ3+rnOkA/TxmtemhAccT5LcWVrLiRgJEgoKM
3FGSzLZ5df48U95e8+cuzCZwD+LjAF8RJh9NuJ/3//z5eemgZnzSmmsJaMuWOPC/vj+XO2kfz2Eq
0tgZ0En56098u/vzGHKWpOi4vn1YYIY8ne2wMSb/eOm/3vnzGVpNr+jPp9VdVPtF3l9BywP+6xKP
Ru0uaukW/fyJ29sxfm5qNOwl7+emaeB/6xliVQX9khz+vHz6n1/zz2MW9ht/f8TPgz+vKYsu3bHU
+H9e9/P4n7t/3UrKRHT+9UyOGcCNYgLo6Xa4nxficcdBfu7XM3kZnFRkbG4/4x+H//nZIEJj9sor
06qPSSCZ02VjwfyaWTnbWw0XpxF/aiwKei26YVO70zQj8ensi4GstKe4pOeF1bCzbcqjlMNhUeZr
L1mouLP9yxFaFaZBc0fgE52uwR1jadcT8yGNhU8zH069Kr9bxhCsFTjKQaSMJljgapWXBCUCR6Fl
YeF0zQ6I+s8q4DsGlrdyRLis1JrNYColiYrxpPrTJO3EDlgB8j3WTtGAySb5Czj1xdF7bY9zOxg8
8bH5wfrkEzQndXlSLIkoWGfXed4OGIKktth61bS6mbRDg9tbVHLLNr9k5Wsck6dQ5ZjZvGHMvIcA
RaqYIf0zF6g+dCn7lfQu6XFYkQxilxJftg/RVENjbEEXZchxYRTQpMKHqG/3lZb7Ufw5Twq9oJuH
CAHHku+2rsJfIkfiTKgh2eiQcI1RogAKQSiKjPcFuKizmNUFqFns1F2jsTkCHckOgO4rqwgys3EM
WK9RKejU8yTg0XKeI+P3OiyymzfyL5AkJzE2XuMcCKs8bsGSf0lSiNTrFwYvpT1XG0lA0oNfHb+T
yvykjQz3UoToX0NMD1CD9hthB5eFQp/GdnqQgekO1YuxZvTKpbBr1xAwCYxn+iwb5q+43PaICq2r
jDJUBzqqCtecjlBXAcoa/HLInW7WycUI91EHqlGVn0YrmMxHXd0yODsycptbgGvcIabmOWjvnKbP
HtAfQpt3kpx9qmRbBT4R9oYWuowBSEPVo+ScKZn0u8nGzz6GpbggVWKLrPEdIBfO2Kobx8GQOsTE
tAShpJu+JyZu+AnTgmkV3W2W+zZu1K8Nibgu0h7KYX0tm446qDVSTVUKcEbVbymGgZ2MwmHua3dR
62qXt4h7l5TBtJE9lXrrU5NYZpmw7pM2+1WXDsRn0Y3L+akxWV3XQYMTO/XLfsozZIslQLsaDkpC
19ilWDTntBfftkbO3VY2BXdS2E+W8vMySvW+L7f3XN8IKRCjgZV1LjAAAbmG+Y29Pt2n2JEKkJdp
l/mWov5mJHmSNDxHs/kxrPpdRFd6M4BqbOLytCzTYSpSSDwtyN2pjF1JPK1GfDWSKiwlBc9ki/KH
MssPyzP8n84prEneZ/QyG3mQnThVnxSEdLBWlj9aSK7Wd5uX0z6vOV0LqsiJsR5kpPf9ueXDrXVl
8Zqiw6AhII9hBWr2WiglwnkTIx+Eb3QG/HqwsuE3xHRozGweikZ/Ak3eAcQEfYum1WmbtA+9Ar6w
1OTRdMTQKmk9oRPpWqz1r2zFmSNSxrtcrE3sVc+An++kNif/6OAIq3H0HeFPdpzHV00izLXiEmqF
rnuSQncbVrcJGt2qnKL87ozIGayZVRyz4C7CZxJSqlhN32q/XUE7p+AY2BZGUbrgdZMddL1/SUd2
F6U84+UNopeONc2Owmxzr3kupFILBg01P0F4TpibnF3tNdUx5JIEKjIp8vjxSq9SR399zN7XWXqZ
EuBfcjfEgYjgC5moBjlhVSgPrYkTIYmi9PoJoYcD2sxoTqziGbl2MtU5viCh0DW/ooE+j0YDsgyV
ZBPdVk0NBzlqx5AjZ9SN3sOfl1objHWiGx0X1EtDyxzf643upyZQ9hSIPbuugKUNXPKSFO271vRP
KKefOefnrZN3LQntAr0HIz7xJTYpeuXWYzS3F4SKA6FpLqmK0Y5QsTB0BnzQqEy/1eWq1Itqx4oO
OaJOLrKKEYSiF1TkRVyEcI20ZRCmjqBNILp0EZ/SfHDEqfgSajMBXD18q/rNwbFo97GaQzRTB2dQ
kk+z27I90ODlgCBliIKDi5B3bTeIQAEKt1djuPZj+j2k8nqRBkb/FoNWV62ZEgSrILCH2i/NKaU8
OGZe1rev+dLMTo/gs3JRqIQIDQiW8rdWyrLzS1dpF7TJWzF86snGVBfl2a5XsXKkcvMA6odyeY9F
8zle2v4MuvqGKqWgLtUQ7WW8TiPo8ESi8hndik8NkpZryLdW161Wp3buVBYoW9eVwPI8P6U6FHuB
3iSwTxmPm4QtbE69HgC77AlFEwqLYQRirdIGzgX7R3mzGSiCmGB7l6a+KBW9L6C4GH9H84u4WCsK
Sea+q1GfrBYYsvgBvIidSMYuwvRtxoFCSJc/ipv8VU+Jh1N2aCXOElOsbTSypwJwiSHlIAhWXTsq
GZX0gd1nQkXMq8sMvFFUTPtKrSVn7lG0DIXxaCgR7SaRNgMmUGBNlmIn5Vp0QjUIUBKgT0NZv6yC
6pSIbZpXlpRoUeajJX0uxzqCFTdafFv6JHhGrmQ6EoX2pnoY+7b3JxUSpN5TAjDlUISaBupyWdw0
QsykkzInBRzm9WPzJeX67ocn9f8pZf8XSpmJpe3/iVHm/i4+5o/u9z8pZX+9529GmaH9h6hCUkcR
UGOVEHUIan8zyngK7VhdMyGSqjyh/ff/9jehTLH+A+0a2GKsY5ohKhJv+h+EMvM/VFWSNJHPQ5ZG
FpX/F0IZ9J1/8ckQrNMluAew2iCoifq/NErybEoyabPaHeB/XJ2mJtykqfWRD2andNPxhHftYfdK
z9JWb+g0hqs3p221k6Z5ccuWDDHu/5O9M1luHNmy7a88qzmuAY5+8CbsO1GipGgnsGjROPrW4V9f
C4ysG5GRVZn23rgszZgkQ5RIojt+zt5r05RzAXHRmemQhXGIEqsAZwP8CdnWSMVRrST9FoJEfB5p
eJhBRbSEHAVxJqI/d6CEc5lc4Ewh7Yg/Bl7dbXq399adhwc5DWLW6QY9OquhqwrbeN/53nXBSRwX
U1LqOeSzeJsywXPhaiRR6Vx9k7Dk9w75dbuAj7jGxr0dy+49ia/XquZjWfaqHXJa122wiTDSKdX0
m3n2gnWY+ESqwIIDz8RIoTW2qPnktoXhQLDNYvaJaF6UKAcL132psvxsxi1DiMHtOSUkLF/neF9q
Z1/7CMtaCwnbHKCeKtQRSL8++Gbf7JxOPok4/uhFufUSpLgaJA2KrGhPhZ6ttTm/cjpQQINYGvdJ
Sxs70DhOMp+quYGOoWMKKZPWUlmFay1c6n5RU3BK+RLF/oe03tGsxalfH6e+I+3Ksb7p0p/WOKoQ
cS2LkTkkSHdBMwJ+WbVd+nGoILMaGOIl0riqsNR6Tvt+603bIgTBQxVMK7vfsQ99l1OFjb126dxl
PcTZ2kZNwLbfmaJ/S1wCgyHVBXSQ4nPiefhb4q+uAdWnjJCoW4m4taO4uXLo1mEok800JCOujmq1
e0ykuLaSbCozlt9nJ9vk/kmDaUDfVRUPQ5rRJfReowiOod95DZ7FGZR8quGcNDBuXEraZgbQ5qEh
drPiKeEPeVAOVqnfP+AYt1eDELeSpscMqgxL7gPGBcp3Vb6Mac+VMTKDdYtOVk0UYLmktzLH3VEG
8U0ExaWai4trfm7r4qlu5IlsMgSTUSSpidkocmZ+40WYQjxKobWu5DG3bVRB8mPjgmnzq+plkMUW
7F+O9TxaU+cXvVrXdsJlX5rtpvCNw2DOIy2pkgvgYzw0j8pGyuBnHutBPvlIE8VzKVE7KveaReOu
GJFwGA1Iu8Fcxvb5wY4Nxs1KrNuhqhlkxLRKOcZX9agO1TQ5O6/xWda2IUvSiVrdlJTwVbK2FGhi
u8xpozasaWqTlAaCBj2LQrjseyIazeJ7FjyHfXLupqDZkkr2GDnGqY+5Bg2t7z3MwcvQdhNwWph5
5ET5un7xjLl/NqJ8F44NyqkW3Vedk/Cafmd9EBGpecwn9wA7IlgFbt88dl54yOaXeba7ba4IgyUN
4XVIAJ7SL89ltIYInu77vJ5WZlhX667ILgT1+dvYlkQmF1QoftMwRqYf10lONbId02P9uc3d6Mm9
2nnSn/BXXX1OOrt6ObcZqQapAHIBwNC7eVIVgRnjc5H6xkYE9B/8DH/WLAJGbl1pry2/bTfkHGBE
MaZuO3nNrZlzdbG1wrvRh6wuetQaiV222zKtnT0OWVQqLDNhxj7jh3cORWoC/567XSTtaeUPvd45
iclUSYc7otOmhs5YlCYvVYKdMU/KJfahWWFF+Z5n8CJ7HZekYFpf/PRkYI04TS9U8YcROIuJXcNC
tR5aT36D8ACK23Wcb8LOzn1JdQSEG0ByEW0IR/iSpWMKRM99q0X5ksZDuhqF469dIo7PHvi6M3lO
YKq8eUsebbzDWsUYXGHTqIUudhNvwG769gzZoT2LKZPb3tBfR6k2STTv7Fm9JVRzURrBuhjdYG/H
fX+Yh/Tmq07taVkwDoxwymd+652FcONjjavYL97CEhvOgsDjs2nRWq5ygqkLNHUHDVvCSRkdy4jG
LXuLJMgGCWE8J4yhWdnLyd0PGBQ46XAenbGwbqDztusyEmTZ2N134Xd0FSJtnNFOG+c071yCa8WT
UbruuRxT8iOM0lizGkANkdORRilPH9YjBaec9LWnwjzARwadMpvngJXPhq9iA+AIklMTMmoq7Xfh
oLM93PSQEWVTH+zQY+ZtuqsM8tw2aSnX054RyP1dtMtbud9rwCv7mY+6g2eKflJAkdof77JMiBGV
A6JwuiEFK+gTcEpGSD/uNqmHtPGtG1b6hI3htTJtrNNDcoAVihXFETdlI3LHaDYm0j6xNkJkt9wr
hWWfHFxRzK3BqlR6/F6QprGrZvrMIns/5jwbsXIBDUuHVTAKN2fnKS4duZ1DjbJ5FqfYRgJg5TFL
O1/tJ0M/NCSf/yDA/G8B+g8FqO0Gzt9WoO8+4fiHgVeVv9agf7zsjyLUsrx/hRZ5DxSboQ29gCrw
jyLUEiAPbM8WAeSLfxegTvgv0xQOmaOB8Cxu4SD8UYA67r9cx7WIcQf5QSnKu/t/IBpYfwZQOgEu
/gBuCPWvRQkMwYH69JecMhJfm8EA43sjczvdlK2cj1SJxz4m4If2X4km0l1D10JtElpy700VZBQT
T9vSy+/qAMBZy9WC4/TByOU/EPz+kvrBu4PduKAdQsfjC6IO//XdYa1zcipX5+bRXW105TzkIZK1
PjDcIyehW+VEz65VLVL/bCB0z0A9S7l9GGKMg35BZp6MIWZGCPTp52cXbLIhR5AP39CakschQqsF
0afSNPntKvr8y1LkD3zE/ymHAu9G2Xf/9z/uMIifsIj7l0ukgGmaQQBB7y95H23cy6mtLOdGEG39
odVVdm101sBHrhH7a0dgg0zCp8RcDfb0YY5NVA6WOBeen1zsxEkvVHJIl4Py6iMVCwxO70FvvQnr
9pgS5L0hQavYpQLx9EjSp/BFd45iiwtpkSHANoEbGPntHz7T8pX/+TP5whGAZliusA/+nmEi7DQG
Jp/bN3b0ct92uKvH1o93mPePg6BX7ieWC853sna1DIJDVDUA+K1kvpDqNu3TgMkXodBnv7CXmtG6
ElXBsAC7bgbBZzHTrWJiuFUY9//AylkOmr++dY4d2uYWR5X9295U1mU0xJhOb1aNHs8zsufZ2k+4
9ld5keICiEd8rhoiYDrLh3HI1ce6W/fBtHNdA4VMCpkAIEm6h0aodvbAGH2Cqrqf8H+TwJqe8R0+
QPpK17NPh4s40eQxIDairybznDhht/H9bl5nqQxPUeXnO/aNYeU5CWPuQNjskh0+3UKE24bkEKR4
8D4aWE57Y6qrAymBblwxn3UqJBKRTm51FC1+BcpOI7SOzRyjO8dgcr9BAOKPXrF3vWRAWkDvVTXp
0U0NiHdFR4eGpdoUV/PHEDMiivj03WhUw0NmwLXgVKH2nRmhPsgYcDuM8h7v9yY5Psmsl1uTvvEz
1N3qajbRsbLCfdCITTihNZg8+eppGuOtktaWmPueBWnbHEnBbTeTUX+dPRUei7R7L0ospFoFzo2E
sYNboEv//9hVPdt3XZbylmn/zn8NpsAelM9qxxDDZfSHAK5Ju6SUL84ZAi1gBV4nmx5VNXdvktS1
t4DlNWoKhEVaRBZ20Xo/0CgEGq8v+WDdJkISZAt+PJyZ/rbhA8bA8B+4cuLPSKflrOELPIHEvgPe
FPz/zyc9D6R4piB63TQp7py4k+dYeo+2LwvsQkWwa0qUOk0Us6RlIfPgJLiEMGR0IWtzU5w9M/0e
kN1wmKDX0dUPV4aD7NRuSr2ZkyHd//23vPRCfj+qQOLYdFKWvMvg93M0YQOlbKSybsT5NU8myRoB
6610yi/JAPA1CEAQZCVT0CUTW5dQlePsDdFq/fHv34j9ZzTP/XuzYSMCJjR5N+798P/lUhbRfuXS
xFYayvGlkZZzaUnwybwLxllWTsbwthg/yKp0XlItH2KhwnU/CfF4/yrnrt+l85Rf27JnpD8P63ht
EEOCeA76W0u2KHAv48LGQURZwktXhX8U6fg8Sqe6lkyqpshi9h0tQje/MS+GUc4IefL3mUyMf0Ba
/ne7CIR7h5LC8l37L2cy4RhEQ5qReetU+sUZpgwglgncDTvmJs/cZ3gp370quMFyX+jWKv+YeQy5
ZnpHAhfxrs56XJ4EgBwTX5xFX5gjzWe11yFI8QaU/Orvt433ZzD0fdv4FBdcM/iPlv+y7X7ZNlad
EcVr0wtoO0h+gvwk6OrWXvvDF4Bq/mPgoshoSJ5fDb6Emeyb1bloM8ilVNKDdJ+sRFtbp1Jf3CXo
wUoA5rhB9ZG+GlYIk40CXpsgOJE9Thp0h/BGm4TKd14f42llAnyCeM1ojL9wGKi+k9BzNkXdJTvI
y81qtPyCMAmaC+Qc2WFcnX3S4CQ0xEu/dK6CrLUONMARb4y7UgfjtQnGI1cFnBswcDdmKZ7KLna/
GxlWu7S2bsbgn+xsiE9VZr1YYWy/KZSBvwZo0MkFnWKXhXqIPNs4FUm7dZYPhfZh3P399+78tbwD
28ohYVqOa4ecUP78vWd5HA3BHFoARGo8cb4en2fSYs6aFTSaVU89G+E4rVPqi8s8o+VJAF941Uyz
joCxA0GI0W7onBPo871ToiAZ7B5jlwInZMKizrB0xkE1nwldGsZuHQEL3dUNpAzPZi0b9dSG5ey8
xOQFEj1GWrZReq9BgMa5FGdtD+IhqGqTAQQMfCExgJImXwdV/jI22l6HKNOLBD2v4jq4muidbQtX
hkdRtcM/7KEWxfbvpzHfxuHsmA7f118iMAwlhpEISuum6vKdQ6IhrJ/kvczZEbvGcoCNMKaOphbI
QQoGxp3xRoEgXklH1WcIxMzI6vmhtP158/fb0Pu9bPFMl3MaCweTtjMEld+2YdEzClxaFbeptqtz
NsnuiRgP3GryTdQYwaX1jYsyHJIbUJJsLMjHeEG0u6KNa6zvu28NgO/gzsybe8HUtQWiinl3NC9z
FD5ogeQ8XhaZjqgNIIkyhSak5aYfknkRRMWDYz5P9rvJ47poTJo5Ve05wHj6T0aZT0cLHpihkSTm
EGQqByqJyuv93OiQBTnSL6dbLAPLzm97CC7GGtEyeTMqSoZVn4boW/2K/oAjcZHHjCztwlSbybU3
tmURNSs/ZXIeLumA55lTM7UHrc9KvJVL722kP7wakWLsQnJU1glE0HUXC1S+FTmPdlrRzSjT/J/O
v6HzZ/4tESFsBw4om7MaDRlvQc79ekID/R76DdCrm0Ev9loYGkUjgCm0gwmeMePius1XrLVwcvQc
HPuM0addJq+9NlCPuIsfwf8cqFZe3XlwnJXwtUbojiuC0vvo+22AX7CHT+zGDlJY73PexaxtMqzC
ROaZ16pLd0Mv5ZNpfaAxaD3LSL3pR898GKqnLJSP5mhgmcp7c59k7RfgG/tigYjQ4HOT54kUr5ei
N07AUnDsZ4jMSmerxlTtAg7plb3gxsuZjzQ60EIrUMRDGKPRjczsPGRZvFH5s5/mtJmJuUgYoB28
pYsUgC2oidKAVDrjfW5JCCvQYKw7Ot8X24Ps+uOeGG6qQM8SKXsbL0FZ0IS3plTy0W3odleSdruB
JtXPobDRgl11LmrVOlAWIhXxHOopus1MdIdL6U3Rpm+yd9bkt4dMVCfVhtVWy8hB3oi/vMh1R5Bg
scobP32ECAEEKCOd1c868uFd+iRxlzHtmCIWYwNydQnBZWPSgFkpit5rk7+fWwK0BlaAeG2ZSkA2
Po1oVi5hjVuyhRsUUg+00aRu5BkzE8yG7DoHqCAJOPG2tiq+6EHOh7JN+Jyuc1XOcDGIjHkkFWyI
20cbage9yA5foj3BXfW9kl4bo0Qwz+vCHb+BSmbGMXXXYszNvRdEatMOEFe0gax3Yu9h8+b7uvC/
Whkx620yGw96atZuZI7XbAztJwBZHztbfyoDUH+ZzL0bcXgrrhnWcQy8J6eN3reAz55SOCpOVaSb
1mKHyBanb03eTCM9ktqr7quTC4HZBS1NS17QK/POY9WZ+sxmIwE2qE4UxhaSKTte5528pgZCjKzW
i2Y/r8/57D3VHCoHVYf9A4lTzIb3gK0uQTV8CyxY92HbZQ+5NaNM8GycGVHXXZENdBiAwg3A5Rb1
dVCcRThvaWc06zziehs2jJp1NxUPUd0xovDR5jiBujGfwLgqDLQVfCwPSuZjkCNrJQWr3kHxQ/xK
IvfKnwrMXvPgbcaIVVisj75pyeuUf69yDjCVIwKzzOYa8p4jSq4q7tQD1LZ4M4Cp3KSCoeKqoQLn
hMwsy7C9c++Nwx6tB6Yc2baPiY47YtSR1Wqo99ssMfNzm9fxtnKdegM9kF3NVG8dXnWBOcXgQRvB
O2Xw+Ud9qDv62RLF0VPe9+bTrOfpKTu6ZUGkRs+XBNUVm2lhAwYJ6xIELHmG9RhBjnHcS5F4JCfK
dOv6CF175T1a+djs86ojX8c13HUcaLAEvk0YYxt+mRNYbaONCygw9mPWRdNGQRpZ+ez5mNSlPtk6
5lyb9N/8PlPXcLnxaxMDWkBTiLWdD0Ungqio8q9zEaNc66f+aIjoqQqiNUMS57VaAhDbKIa+iuRh
CNsRRHH7tmikePFiJPDGrK+puffpPSCNEshE2G0/k8L4dY4Mf1/pQq6sPhwvurZWFGPMTaxWnWv3
TVKzFpIavXbhYOcgQOnpXsvEGRnOJE1cIx+1RBIlB0BdBH3C+cECalPfjY2z5kSAv6kbq9PElK/x
Iv9pqDCTQ+tBspy8ONKBIul129HW790ETjHTV+QBAxInCPjV6+Q81pi0OH1Zj5ynks1QZ4eOrjo9
kS7a+XIkZK5AtOp5vGyEz5eMxrekt+zj0EZPNnnNqy4cnDeWJd4YiVZbFUSI0lMXrejAkg5r1L/v
snrn8Z6QE8SxZIAC/xkabLlB/eOh6FR1X+c2p4AYVc7KTDiWAbJbBhqyxoKY+fHYxGMdpQS5hbVX
nZqFk3K/gXL6QLPe3ymDr3Vo3PaXmzY8mSnEM7902D8UZ1mmauJrZIbtybGpizw/IvAHxNopXW78
WM+naCG3gAo/NFa6brjcnZJpHPdCoAeNjXlbzOOnH08n6SXxhNzXCzzzTtAs7Kg/DWkh6Ji4jCWb
ojsVTrTxWdIfkGGgeZmNoTvdbxLL7k6GyU2fJ1+QsLU7L8dZHIUdSQvEi+2mMn8T4zJovaHdByPu
grAs8m0W2PTpZyJVGQkSXjZa6dkvOVgIM8SQp+cXkXCiLkSRUwqdykG5pDOAh0rJmvtx89tDPWXl
RhsNxuewy7aTU6vV2JVvhTERWKGBSt1vNLyvH/fuD1sUqgdiH9ZhljQsI7nhWlyf7g/v9+KJQeHq
/jhjXtYy/l3bfvnYKusly534CCMQLRYpvnvYhDOk1HnVJiLcDB482AocIfzIBIwmI+hRzk8mgW0b
A7Bs21S4Fq1vJqi1aUIaR2Ccx5p2ZOYTYKXqm2UQDmYHiSKRNH0zmZt8wuIwATjPw9cebvAu9pnJ
GgLxRtjt9ZQyFkbNtBpGdALRVO98j4FlAnpjSPA9dnPFpBB1KHO3gi+KfsVpas3vRmh8ChErpobP
4ZmwwpV9fmyzaYtujYhHLHPxOG19SpxLIOfy6FbJMWi49ueO1RzS8lNppLspwGNBIjewHZf5LGyg
i1Bo71mrM7jKjRfPhVyfoDzdt3HtbgrLB+iIY5nW0AG8JTsEjLAFdIhMXS43XL6OYdx2+/tT2UJg
uv/c/d79uZ8/++O1/+M///wNbkJzsB8xfPz+N4uOUyoKuP/6M3VjpvtwVudffre8/4xoRhBSJSMs
ePp/vOP765g1V9soAZjeMTlEoMGnqDg9QQgYe7aIZq13/w0/3/3Pv/fjw8S1oOZHyBnPxI61GYPI
Uu2yjCOkgr7P0ccCKaj6r1kW7Q2FWJE6TW9EGNkwi/5NP9NCtOsB8jfygJ4T/oxBbh57OCVBs1ah
JTBlSJaX6HLOpieDjQxHVhyOoBlWiy9Al7xjaqLuLMfGPTFtXIxfbmjujD55mYKAI/n+z/ebgXXQ
KfBDlM1N7azD0k6d9f1fuAriNM0ywuGgad1/7v7U/eb+sHBL52C4pAEuv+T+vJsHf9yrc3RsUFlR
AC6/6P4CKnn0jqyW10U9EzkQ4d8IjP5YyF6f3JaLZ2SYZDfl2oDnqN1D9j6eICxh5drSfqqI+HR7
vb7fLQuDfJSuXvBz9yfuN5Nngp/LYsrcqqYIGxobNf7Cz7rfhAv16ufDOy3Lv1Oxfj7JwPTXn/n5
uvtP/3x4v6fiLofUG3D2mUwNvcJf4GJ37Jh0EMQsNftrTGgnNpUWh/JP4tf9Xtl4eBN/PnnHgP2P
D+//8JNIdn/IVDnAnL9Qy+43v/2G+3OUAyO8etlskoFex4+fLrDd/XFX24p38fOVRBD3e5dLjovt
105EhPIh/a83//PHfv5RI4U69vPhf/dG7tOwn6/95YPf/+W3l0xhY2y1/RDa9VNL+7R3fnxJaiCh
tl7ffw8z6K5/uaPaokIWxeH+zaDZKouDNgmlKHz3cN9mP7fo/WHYCxZgRZVz++P+/emfP3q/d9+8
aTXGmibL8gJMDwZMCx/Rlp2lh9EU1P2TDmsEjbiVWIjfQXPtPLl6e98DlBZZ914tZ5LwfurwWlZH
VkPqo+q6lVuWxVF2FE9EF/5x03YBJqafjyM3RoXbJeCKLA+joXZZYXC+vf/SZLmiusKK6UtE59xY
yKoGUAcTw+f9W71vl5bCdyea6rVmVXeMlgpGLBtY929yvMA/WXc/t879uV82UX3fTX986z/vkk/O
bpMOw8dgiL/4RsoUy02r81xpVEMDfuiw8cvboKKzioxpk2tXPVckc+K7ZsVlBrvA6EjvympCN6MI
rOwyw3TkhIQeO9G27vtuP4ZDucY2jbJE6PaBEcSDakTzzn0yvAgzYHmLLEQZMpyPMVYLFE1xvBoS
67O2OufaVOarOyGtEf11QL10DgvnBkFRHGi0fE5BkLvz1fFljt0NRbDKmRJ1TbvFw04w9pC86hbA
DTHGr9nUZHuvCT5XnKxWQ45pOp3Q5KLL4aSchh+RI1lX0Nqo3xw7OppLCBlZiefOMz+GSeDtRgHI
pA+sD66MNaYffPECbgB5MPWj1A0RS+W0jsxIQT1jQW84Mzxs9bEkCRLQLB0o02TxxIRJUBuE3q7t
JCt86YMKRcx9DC31RTMA3k0Frh7yjuMns9vCs+pKp71l8fzW9Sr/OJf+VzRuYOG6ITxE7oS0xwyf
mzJOn/1OgzIdszdj4fRbhsPw3uY6RvSOmTgrJveTGGmY2SCGEXmAW+FgeIwrulUkF467JsX+l5nv
CL1zucRiPU0LFW/42q/kjsN4assvRmmWDyMwWy6N2YE+6BMnpOaMqQRxTJpfs8wbj7knb05oFgtd
nHAax/msxGwSunwwbbc6V4bv70LDrDaBmPeDNwbULmN2RKaznWbJpTBrMMnb9AzYHl+0b1/HsHbP
KdGtZaQkrsfse1HRp5Rm4a3NDho8kpJ8BazASS7FEJRvAzRchv2qujb4RJwGYiUxCGJUYiTyC9df
DRfpcVJwra55Eh1UObez9jlmrEtTIRLrDdTvRqRhIo2P4zw0B99S83OatAdYpIgm3eEmekULxZ6Z
URYBhvWeGFWfGG/4TlwHA/+qnQhiT8YQMytjYtvIS+xv/ZDJzTA6wSUf67fx6FtHp0qPDVLv3TDT
QzTdmjxJwu5huczuWU3Gx+GQS+c2Kxle8oTcHXjr4zm1PhsG8aXGyDhh7uJ55egeu7DXuEfbc/fh
0xiuNCYYThf1NaSJvY2qoPtahHF6xSLwlvkNFSwr9J1lTVuO7uqqGnaseYJFV7Tl2Wr9l6S2MbZ/
0oyc3/bhZ1HPcPrL6AaN96PdOOopVpFLtg0pMNIrrq6POZlaZUQVr8z1XHVvW9W6L6KRD7los0tn
qi9lS48qHhK0fEYxbYaJOVJogrlnuP4awIqezExty0K2h7Kr3k52UB9Znx4RRZj71FaX0QHj7qfj
sWZu4qG9Oo+WDrdCZLw7vmAYRQ70j1m/yXDWvUpMEpFQT9LexV7c3YICj1KFATR1c1rFTEUtOJ37
IRcYM2e1b1MHntWMbJJiE9aPEZuXALz5vsqZHzTlHJ/D1FuXrk2kC9fVVmLOwH7nnHsdvlOjyC+4
XPR6xDK2MTU9wtnUxK9Hjn2mjlLgUER2sICnTTVsK6scIJ5k78mXxFesA2MFg/W9URFSg78kejD8
Ekta+T6p/R0/Uu5sEbF3m0N9btQwPCM9eBFoh9mz1YC3oyYBlaqMWfznMNfWFXL/dUhkd5x944PJ
qvja1z0OwUQgC/VSjKe6gBcUfBFm9Rqq7hUYR4AQzz9UriZprH5fkVJFApPaEzS3MkL1wST3DtKl
BMgXttFmGT9a9jcTdL8Vtp+s9yICvmckBmEXxxpX3ms6f0x92z7iPvw4icE7DNkIxCb77soMzkDO
3ARvcA1fGtPG1L52TKhXTBpAaM3PQUqq0KiQ+TpeqV8myNXISNkAttftfVatOEUwuwnzAGtf5Jl4
TexgoxgHXNxGDCsmD/66MBZFbjDCwI7NYwW1aHTnd9qBs1nHXX91xzLbVmCtt6H/Yk5Oe4nLnkY/
yESVwbE3IlaAs+HH+2xJGfLgE5fpRNZlbjy4w8bph/pFdPBFE7t+TIap2ASpNVwK/bma5vYW0K4b
xPRCKYe6nemByqf5vd3JB9vOscpnyUsYe8neSjIAx11bQwCckjeGHY03H1BGqolgnLU3ECT2JRVO
+9lAnLypG41xXbLT0o0EMpsBrfN9Na/bMZ7oAcn6Nvdc04K8q9fDMujjgGgPg76NvTOc7s9Edtye
bVV+Iw0pP3jw4Yu58vamKi+B42Jf7KihhMbJ30UcMHWV7dOavwM6qiYTAeTL5E4cF0MhaQ2Tgj33
OGBj1L5zUGRwhyATlLpg4gEdYjOp8lEVoCfbNG+37BNI8MV56Lgw+Isqv+7nr6iPr3Nlgfmb008w
af1jXC6n7YJe9FxCwGgpKim9CC8kT47W/YzoYUC6SQ315Hv9/mSblXtUgeFvzZEgW9N0jJdcejgM
ne+EzU5vaxewvenBfony9LnLETB3KU6xKtNPoIs/2clcPXQjvvWOOfWpvxk+Q0APbHnGiX7P2IWl
POilZi5j+t0F1zC6osI7jpU3vaG1wu5r9JqINPClSx584HlLrTR9ojkPsSpjCR80U/jgZCHiIS0g
wEp1badbXH/gT+rjxLewmy39PvFanJYmtgBpjB2Te+AbWK4Au/DNrOvSf9NXkvLCgB1RtJG/sqR8
F+c9+lsPhnUyiW7XejOtOZK8d3WUYMTrkjUJ1zBtnPzNODlUsLRYw2gxKKTgpNNEvUoXmIzEHbab
pvhRtXQ/M483kRk2idhBfpjsmQDhFJOlhJlsep8Y3llX0x/2fJE2Oc0f7BKzt+fG3+KWydw9Ylwp
g7Kyh6QSPqkYeJYo85cqZlceU6g0ncXpnxKGvWLWj5a2s1PIWnnq/e5RWxhFvFi9TVk100HW6Wvk
DQ8xEcTrxp31XmM4CKBc2Vn4NW1UvjcJBtj3CIi2md9dDdm3GzXb2NIc/53pfKeqyw+hmPxN6Zbs
LkP9jWHOszsI86ttpDSSQ+8dVy+AhQj+LQddVZ37bxJd6E9J7EUrgo/x/9oNNeMog7Mj4TXVAhRU
6JMeZrhTeOziE5dQ863ZlJ/9uoZX202nKAVURB6JQZstGi46TsJLDbHN8nB348vNttjn0kMnWWm0
1NIXluJDKP0bRmoqryg/DNEAWsAKbropgW4u7RJTp0zZrHrxlTVElChvkxD2QFsYBllSTAggMilX
kcy8D2GcfwySogCt5jWXyRrJ2VXx2exnSGJyMg+9bODSxfZTUBbBk1tO+8ing5FP6ZmR4IFWNn0V
R39owqI6N5wMOsYxG2ugDVfZFo2RuI9OzWA/E1QJHc31+kNjdFTLEMCPDKt4tWJgl1PsJ7kNOi0U
F0QJ9IsdhcD+Te0bMB/NPt/2vokQKQyeavx2MKnMD6rI601ucUHxGaqWarxQKvS8g9o+1L762rjW
owJhOHmcqws/OjcyfEIF+igsmi1WUx6lJvW6x42P98h/arLqQ21JJOa1sTct0a0MTYR3xvRt3028
HcqqDE1EPx4TEvWy2RiPuDyh2RjBdwoe+2y03T0kSh+VNR09rm2P6J+ObTNRVYxBSQtXffI6BjCO
MaRvXFM+FrASlYoom7wOe36Ly1X2QKgq2+WgX9yYuQcU2YaiJPGMzv63sos+OdWH1DbVMxFGj/lg
f8AdET76Yf2uDCVp5MIhC6fusOSXE5SzzHUPhjWcUayDsUyR+iWlVTx4DStgLizILcfiihbrlCy/
s3B7eIRrrwmt1zFHUk7mJpM2HZz6BBJ5YAbPkvNvThDpOa96crlntHOIC4u9CS2csB4VQNLW3+mN
PydJyZdVAcDxQZZ5tTcfdGx9qGBVUx51J8xpe0Jo9RUmW5S2ZFcja4+LD40zWU8iCUERNU0NbrPS
j4otsaptuJOBQR8fAE5l9fY+mvunuQ+GI+7HU+W8eE3uPACgdzFYWtWDSMZbvlhaKi99CKMcYBGq
qV1uEd8SAjDFl0yc0CLPjNNcbAGMQZ0C9E+/pGPI4bZMg7CaVwlBNu1SjEtDXT+PNvOb4T/ZO5Pl
uJFty/5KWc3xHhoHHBjUJHpGwwj2lCYwqiH63tF+fS0ws+xKlIy0mr9BMkkqUxFAAI7j5+y9dgyz
SPIYzQipcCGCXPdj891wi6VgQH3s3H6nu8101Tp4mDgLIyPgiaisEIbgfI0jk10RnYBxKupfkSFu
QwN6F8MXpv0MaxaDybg6GqgpdXGo2vRnFQAzQYZDbhWj472DetTxM+OW3I/H0NWOTGkKPLJftRKh
pksn8oIgGtZVxfP+7UuC2PVUZeNTn8h2R+WXgeO1d5mLW4l5Ps7bGCVSCmAuFGO2Y3tz37iwOZPn
phZIJT0jwDBbksuDbmTd9+xB3sZOhdnt4963TrFfPf7bGkg16ypItEPBL4fkyH/XAYhMTpNdesec
/cgiZuO8SnjY7KA3/GDiv2MxaA9Vk9xUSWIcgtjBVByPBwxUfOC6rZ1wGE9LH2jhyhi0W9GPP9lf
N3BA7G/mkKerWMuhMIUFyEGNjbttPzPgc6/cJPQQ5Oo/igkXspxycI7Cbg5tGyqmFUROd0XCRGw2
FWqtv8JchkpXtGsrF/SFCnrwok69JYFpUMm8rLqiBWxeVZhC6O3jwLZwK+816UU83RKssXnRLWMG
H1t2xPUi4+YCKF6mh7zQ4/WYTRcnzSAO0Edua2Y3eVTB1PAGxEjrHPXVuunaHYMI68kufugT9dFY
9EfFbuyKOvyJa6Y5NNatoqtxkyTetVbSpVG6nkHdA/M4mlj5FOYbLtPZYC/Eje1pB/oLRDbEOWYK
a5MHGSw/nUA6toThZio9SgS/Je2TzuvejDVY82lDPY+sC2AVtL5GRE8NPcWTXef+0sZgMze4AJyF
0tuGJKdARRc9JGHqzBLV74G/bBQ+t9hYjTuncVC71cT9aHODJFUNLv3OJ+s9wJ7YncPI9x7hOCBR
znXjwHMXO3TpgkNkt6gjDNznwqAkTUW28xAKri2ZopOzWzLUkuo6S4tqqxLwR9oIaVSz4gHO8MLR
lHkrxvhn0TNjDZp82Ca+3R69LPGgL+HnyZXxqjWkM2PWAfFUV+e+74kQiKL9xFUK79FtdzkOLCbT
DLdDXJTXWka4TREeS0ZeDFcIeGE+NOwL6fWXcIqxvYCLDPtz3zgPZamdHGsEhCINBRUZQMFgjCcV
ewIKdNCeZJCeSfPTl5g59augsuPrbGqfpjYkGScxf/QE0GaZh1NdtOZDz5LoKSe672rw16KT11Vj
Vl+9rNuQ1PfdNL2A/bh5V9latEt8VBSmZwGosdrspgXd6BFssfE12BqFBy2JuFePZkV+QX5pXfk1
d0NKsBjFGCGpyoHGSe9hiVonXqGlnLcMfRvVjDwbEwGd7E7mQMBiXphr6Tv+ri59QS+LwXlfg75X
+shufS5KYsMgPh5P14bxJZP2st5VIeLLKULsWFr9vWWDFfAZ8zMw8M31EOPFUMneJw11Y5KFJszW
h6lptEwwsDA0igCtutJfPCoou6o5x0n53CWJtm9tM77FbOSioXNFDZ91tiS4LpsXXaQO92uQr7og
+CbsBCpCfBuwXFyHWv6akZVnW2zJ3QRHYxNCax87BJdNC3/JnVJ9WbPVWzJHAUudRvsgbiBc5YAw
3PGsjWATiwKwo0Pc19ZtHrQ4B2DmRtoVI3hrdjHJhfJNtXcLZvZNJuQ+UeMMTyLYWhWRwcBJbLij
c4SS3Kg1szxfO5s5WOiuFusg1jGpJSS9hKib0kughvCqnJfZfhRiqSTZ2kVX3SWpdBGBnyxG+Dt0
3hkDX7H5p7+mN7cEgk3nmvTh8zixXSCTK96Qr/00ljXIMRMOn0jL5mz1F55G0VFr5PNbCyaVvSAk
1zR2yRerSA1muAiCiFvhdpuIyzxYnb5qgqTdavXPqAZtNkS9uORd98POnIOX+v26iXWU+ngwySqy
7+wG91sFJvBKq0aqg8K76TxjvErKmj2rBQmS1OlXDvvGqqKHLA/mYEbHWwI4YSdZYoJWHV2UfpZw
hL7+VRlxvHKDREd2SzhCZg1cO2HunM1W30cj7N8JN2eJiHuGA00bLfSrnSkL2n+SytrCK3prGukD
3IpbbwjEFfyimXdMAeLoXbbRPSIZi8y+HhqJL5Ehgn4tCn/c26X1s0VicZw9eoMRQzb1UE9Ees3l
5oF/jDNtWAT4cFGmuO1qiiS8l9aAgebOBUaHxrEp7VOYdNkhTvxzn+sbVxb2S1+ezCl0jxYUkGUW
4z6xYyLMtDpYZnrL9VRP1VUbRT41d/HzTQzvD+43UsGapwW9qngR2q6/1TnIdcgNfwbPsbLNB3sY
+tfJKpZ4+6imLWKdO+MbBVd0VpNJ368eMHW7xaVzIpqNRWqRZYw8NeFuXtJtXmY9UdNF7x7twMhv
6dsSMxk5pC644YOKq4h4Hw31QESENoKjL6Is60MV4JFopQAXkvqATppUrccKGEbmDow+agdvrbMc
9QxNUlwcMCDrTLY9ZvteEN6PjCSQ6qIPyeFgxJVj4xe02l2jG8cpLcXJRxYNVa8XGHrTsLyywzrY
0Fayl2+tR3LkJzC0FzMZ6NJrY7IRKn6u2AwfCWN77HzmLy6az0NA1HkTzeJFD1OuxdAz741g33u3
JZ7Jw9sXkti55hpytaVPHHsifobsUREOo55b9Fr+MsbXVMnFMU+c4SmBFxP4IWmIIfaGHLBLKUAt
cyOAN/XWTuPNd3VCM25IaXEloTqjhGuAmrpbz9dT1nhIBrRdNUw20ktfK6/TSYaceJA15clKMv3A
kEVdjROG+rDAdWyj+QctdqzSNn2Ihji5ATHbVNs8KpIHns7GMR/DCEDZVmhmfKejrF9nxsjIxhDj
yTPqpTYlzXZoUhcRR00M09xbMOpbtijaTu/LaDtFKAxD5h+6C4pN/zGEWnioOlb7xNLucsVPZmuT
m2d4pzFLroj1kkjua8KDDPNrVLVEWhIvuylcoA69S5c3GkxYWrD8BOmVeBzoYYUmER0mKd8kYu9G
AoBZggx/h0IEudCY0VvKXHfZOXm+YjPiENpX3emNhTsUvKwKLQLm5bi1FFq9wjWuszz5qqZZQdOV
zW2eSLprfYHstI3B9NnuVZzTKDSiQpHcG26LwdQJtykeOQXlWkyU4KNlXKyQw8+ZUC4Rt2ebyo3h
WOcwZi0q4i0a3Xrv0mEJyYT0Ksc8jqn2Tes7B/h1OW0kkVubMnpUgAV3od+PC5U7HY3V6OTnxPcF
aadIOArKhT+0GYyCb9iKV8QZZy8xqymIR/JUejc4lYnq1zl2641tALTPnahY2QS0LrTesJ5tXP+0
Op6SIvX3aaPdW6Uqr5uAdUsKw99WtbEKB2+6qYcuv/jDa85Qft2F7C5o+YwXJ/Tj85DEC13mz7Ve
NvsCyxjSPB0ZTUQ2ne7n6tTmpbnubPYPeNaNviNzvEltyPHJ9yyo0qvCHbUzw/47L2X0Qbuuvh7I
0wMtNtEMuuOZ40GkyuShMdd+A2dRw6W567xb+t7Jnaa9pqMqtswMySOZtzp9mRwHOiOnVE9R4gQR
V1schUcnsc6xKIqzZ4DnTpuHf34wO64LJNlLLUKw9+Yz1ywEq1oO8jESgpPM5uw+MnsuEiPojhY0
EGDeMIz6epK7N8OF2VNBmQ07SkZFxdbVkTfGjnusOkZWZqAVx36Mn1ogV65u6BeM9BQPrQNRoNKW
sjRqOlHm7m2nyCGg+o21nWwUn2/Meg+IAIGtI7dmNLVLqZPJGpJSZwzxcLEDdpyBD3XVGM68Ayp0
l5SR3kzXiV8MazS/24IPa0lNY6xQh8qTM1UvUxZ3m6FFwlEFhrMRdfIlmNcTKf053U27CZouRp8+
DgA/IQ9QRkoc/aD/rfYmza3+xNxA21Y9TvNqHjuWDY/93kOzJ0qs5XPFmlMWI4kB3dzycKDZ5S40
/BfQGxLK0gYqskae7sBzuJrDkEOZr2O/OVR2662bEtlc1+E345jQJKpu67Y05ILBeOwKtmVV/50G
ZrIbxRiSk5a5S6OsJYkIyPktU1nHsjcOpT7FZ/bJZFRIchHIu2cWkZOilGcBDVdlG/c09Ds63fRY
d7bsx3sRi/gmYMkKxhFRixzv+sbmv9AjF10ZUU/lXJ5FQCon80hzAaNRDPh8LEbQLXWLLgcLzQhW
5F5aHCkS3kyY2Gss2ry9W/50rERcadTF13kPvSUCj65FzlcLj6J0YKu1lmJhat0D0XjeIpMkSJHU
UWkVAI1ydCj+jGRVx1G9MwtJ/y4jaJo9SiIJ/x4wBi1QUHtHhlj7IphhqPQzls5Aq7dRsdqXyC2Y
aUIEcVW0mthwHWvHfPKdr0PgKAAJuNF6t2deAUTGtlrUBc7AvlOHWB8K84F0oW/CrPpr392amdew
f2YDVPoe9YdDDkCIIXmot7ndll9Mqa37LLrLzD5fa62jLhMpU6KKwT6HEJrnyRxZfaTtkvW5U8bI
p2eSA19XpnFtivggx/tWIEAfi9RjgUzHcxEOCLSc/ovtWhyk569Mcgg1dkrHVHzTkONuA5gNDCUq
HputXDHBDICQOOFBkdy70IzEf8yg/7iQ5w+5oRgTV1O/juqIbkiAgjmdSFJpRqvc5hktWNUf2rHr
L/cBYqWDLUJydB4pnaoVYmY4Q0mtr1tn2rm+xahEI4PXzLMHpNLDwRMDMd5Misj0tvZtn1SnGsHK
1nOnb9IiIFw3ibh4+66wCYXqE+MxqOoSyv9MThB8eftumCycodpILyltTqSOrx0Ho62y0QnUhk/S
j4lsjEBdlNNtcdtjH2KSzMecQ7VjIOXpsB5z/ArJZNyPdVAvK4mNvQ5cklTzcDjVjO/f7GU549W7
Kf6OEOtcCd/50rBfCT3jS0ly662VRuVB9oBNVV8uSkeTByuZTQURzcCmmE5mp/obK/6KLNG+UyLZ
itGDHaNDrcgORdm0K6MA5Zao1yLKnkMq/y3jB7q6qNd5KE9yQ227Z2RG/ZVF+ygYnoWescyF7rDy
4HAukHm/vOkjhgCOuQ/56URAPXG0AdhurwfUXrkuubhhdx96sXnUQlZK2lAvLW8kRqu3QE3xaih7
DnrhNq51Z9arqEMnxCOMoVvked4qiIvvcUTqneFrkOxIc7En+yR8wJ6Nwr3riXYVRyMbQwIsasZF
B8/PjrBCklVfYuMVBVW3pVrsGvComRk/BPje95RJzkox5aZ7ytNBAUZ+08l2tXkdlaO1iWbhcq65
JeNASO9pmzWEwwT2Gn23u2kyuidRbxGsAG7IlOV9C/BwHbisErnuYzxnOgX4fVTLpM2CRTPQMK+h
mjDVUT629CReNxlxNm1S2DdR5KToU+2r+IQG0n+wmpmmymq/9BwUKZEksH3Ixxek4dVOtwn60JwT
rSzKfhPgeaObD24qf2YVuiiem9uMyUsGFw7VuxvhuqSnO4E/4u1An5/niz0ShDyk8Vx1O6vX9Z2W
fcPoUmy7ArwrDdkFzpJm1zTOunH6bdLG8jtxEAWhPVPf3hZmfXbDvl7VNtlwfUv/E7AEUb5JZxEO
7hlU2qZxrjp1igW25ax4zmipLbATSdYXYOhmKdWm99nlSUQTo5dX650H93XbOHLYDAFpzq3M0tOQ
t98H4meDxE+urFE+VAYjkkqC+RvmNGihsn6tSjJomVtgESzMleN6xokNCvBKo96Xdv0lsHRQ4U12
Uba5scBEnhrXuIxtONGoheLIQjjuwwBDvZ7rzMOYP7H/mzWP/bUmpH5VT83tm59ACeMegWdxpRR1
kRDxXVwX3W7KnUeS44HKl3LEpaL9sHueFFmYwOgcPXKi/B6bHlOnpZMa1hFg0ktQV+oQdeMsILX/
MT7/DxHlEyKKgZUeD/h//z/qyOpFvfyvn7nCP3P9kv38P/+b7Lg6+vHyKw7l3//nXxyKq/8XTD3X
Qc+Eh2PGnvwLQ3Hlf0FCcWyYH9jc6Ff+h4hiGRBRcI8ylAVwhlgcQ96/RBQIKsArHc/FLi8dE+v8
/w8R5c2K/B/ABXJYQB3CEoZtgwWymGj97uwLmGlNblmQYpmkCvFSHZ21GAZrU1ZnNXRA8dMw3EaZ
Rk6trxvLFvXhssADEpcXUU7z9q691lQCG46OzVLSFyYxxVxWaRAu0Ps1V8roTo1dubuanN6tF1Iv
/3K+L/+82V/BI7+bE217RscAlLFMHa+1Y75xSX5xW1dVMAGyGtRW56NagiRldoNxQvOxauSMT5YT
YQ2tJ39AdE8/eW3jd3zBvy/uuThoJXZa/c3O+suL11bcGXR81LYmg9jtim2VEuxcjyEZrAaZ935w
LnGmktyZ4xcG/PHxsf/19fnYPMuBm+MI6x0+YSIMoKTzRySH21ws0ScrozeArBLonEn0pnVyVUXw
7aKMhDebmMxPXn92fv5y/bydfIujF1zepvUHhmDoVJukNiffthUs+7q7DSCBLKzRNvClEUltWQpX
qht9x0MHgHUcBUw99k9ouqzZRVx/hgv4+zsCdzXfXIb3HtlCQ9T32eaqrVbgNTPiYe65iOr4yYH/
7qCeP3jb5HZhNCgcc+ZB/H7jNIFrNV3lg3KcDOCTOCDX9eDEj6XfLxNHBXs9yP3rqWEqaIJYb3ut
v8iaSJRUVuaxtES4TZExHWKwsZ9AKn63UP/z1oAoUV4aJpekmM/QL9ekXXWmFRowD5rqh/SRXTpa
+F1YbLLHObddZ8zgI1v6+IT8edptk8mCaQsX/R+r1u8vStpFDIGkaLeQx2z4Zx5cW5ql649f5W9n
HSCPB1YBSJJtzX/+y6ExSjVjakoOLRhcEik4DNR7DVFNBPJ+/FJ/O4u/vtS7D9gRelAFdtpu3ZEK
rE07HLPxjzJOYCZIwZDQCldROJ4+flVLcgS/31BsqKTr2BakVi7gdwvyGKJF7XtuaJOdIXpDle+8
ubUXyYwBnSmIGzuHMXmEZdnfKykYJVJxsTR4BLjIZAVEzVr3MQFdvYOFhd4k79vcdLO01m27foF0
9FjZSBmA/3ZrX4teazD6aNrMkz8O3TKvg9fGYMszJpca2sEySOx4YYwmYZOLNFA3Rqt9FZUdfQKw
eVuq3h05Q2zspnDDpPnHZes2gWMWihs3NVWyMYboxlI5LJOAo9KY4CuSRSrQ/MyjvPsmFekiFuOl
zzu5YjzfrZ38jiDzaqEDCKLFbCxAK/QInjE8B4gS846LxeyQCNLKxEyLxNXFJlrO/Y0K2utkWkdQ
HjFpTN+jjKlE4CJ+8Z9HB9WCGWNWNeOnjz9sw/jz2WVbUA6YXVumzT/vblVEdvjT7FRti0pm67ad
DmjTfw7FyJS2f5jiIlmivteWPexx2BKcDs1+JX3rWlfECdCYOAbFjzzh37r+xYycYlWXxhdg58Y6
wte+9Gxj47Q2DAHlbAIrlfde6+88/Vus0aTPBrjfveQ5SceNtDlWM9VlI102HVexyg40AOjWa/yZ
iLOboXNvvKJ8UO3RoCcocpT8riVPptKhNjKsI0NmCpjNhHKOLMBG03ZI2HqGKYdkIMmtyNpohTxD
1+0H107v6lmV4jkEKTl5u1YdptkC/1lCAHgtNLmZZGmtChNdeyuiR4S6rkFgoho2YHcfMG5cWtmd
oc6SWgjv1B3772NplkutJKDVCOC8I9FNZbI33YtcjU5GU7Fs74XO1KjXiNNBwZQ0IgPo/VBFbNdG
geKi6NK90MlKiyfaWKNdm4u0024RsHiLwvse1vb3QtYXW9w7RWMvssr+ahrOvZjEs8zoAaGJvcoM
B7GCRKsCwgxRcNc+OAGSNqQk0bbIyhl/xX4sr9U5DcdPrqo/Fy6XZ4AFwFJQ3kFE+X2NHNhRtnbP
fdQKtSmzYTZ80raPhnufQfYKZ+HST/P8k/X/r686b8ls3Zbzg+D3V0XO2bnehBdF0x8bq79pi/S1
rZ3rYSJTUyRPiec8f3L3/Fl7uUCrXYmAhVmaeOMG/fIwaAKvy7W0pfYSHToEwvLGIb6rNdWs6xdb
dtPaw1WniFAp7eny8Yv/eeO6NrRCynPP0y3LeXfjBi2E3b4rOFxZPJe1uYlHgtsF09RNqcw97FCp
/aALmH1ymo3f2ULzw50XFo5LnWtZFqf69/Oc6b4GrJPzLFp57XGHrZFXdss0YMye5NFLxp5haXd0
INJwotWPJh3r7IvTPcZ2a3z2bv586vNuXJDepi0N+QeyMIm0CS8TrtdhoAqiU77QERqvvTmxL3Pp
oKd9Y1w3EsEhDa9zgv8hTV3GTGF/XzhmziBYX338yZh/+2ioh0G9GrZlGO9BaFUFDCXqZLM14VAu
01RbA3BBThV1j2UwvnZN7xA4WfgLwzEDnnvpU2YVt6P0dULSjC/AvYLFrhFqj5xqXCQt2SaokWly
K3Ol9ODeiM2TilB6UYp0W9qbvvKzUzWFr6HwiT9N+Ks/PqS3sub3R+PMSSOhly6Yx17tXS0SCJRM
fmihcBeTt81XKmivDekTIN7NnDcjIR4gjiq0PgIbZjokCLWhe6T2fOMj0Fw1SHLNidLFAUu+TBoa
WaVaOR6TxymzVrJP041u00RMAh9/PpRCne7zGhX6hPGZXlztHb1Bqp1dcMDzWNzisTqk6Q4n+6KI
kI19fMgzdvRdHcQhe4ZhoeMBUGTNf/7LzU2jxctGt8c1ltBFCcNdKCEzgEvYTZVx7FS1DOxQXIU9
FMwW5SfqvNcYATLCiHDdtXg+KM+JEPXRvrIBZNYwh+BOHfoOBsvP2VARnjdvZtFIbVT6TXP7hzpM
3X2aG8267ef6xyE+sqwZa815XraJOcrpkr0b9AGYsWZahNH4gtOatI8EBmDqN9bK1Ju7vnB+fHw2
3qq+Py6AX87Gu7u+V2kvABg2dL9RDIzpWKPCRydVSEwzkCezNesCSc7YoB2DuY5nYr2V0n7oYnX+
+L3Yf1vpKcB5SLMKGfL90ueOHZo7u222Xia7bS/c8SDM5Kn1mWJjnTxGdof4K2qRwQYBC0JqnLOh
SGZtKq3VdDfxxo9+AdUeFSAxtvl4kF4GIH/S6OvNNU5MwBtw+W82gh+CVYsXZbTobAMGT37luBjw
xT1/7T2yLDRJkgFI2BUgr7FDr8GgvqY5cdm+NM80qv0NyhPih2xi5T1ixK3JR//FkHG0dAhqLFHQ
/rIVLCpvM3hEQEX6kyX8FzBND0yEebaX3lqq6qkFiWNVoBoizDqiDn64RpzuPzm3f170jq4bgG4d
29Fpafx+0c87g5k03WxdkbwEvipW2qSHEFup6T9+pb8skg5bWMIihORv1ecP+Zfbq8EAkdO0brZM
DV/jkuauLHcsnRe3D4llKqHnZyJcilzcf/zCfyl56YWZrmd6QjhSf79xhj/YltK3WZ5zxIBgVxat
O4irRDXfTQtNzOSCuTBbtXDQTSzsQI8gZbCTJzGPQNwUZ5B0f6D5Q3xQEgIzhjVenWjjO8jsP36r
f7nQHV2Y8GAsigs2tr+fIxVElenHerPNIXUBazgUTfzS6ellACWTRdFrI4vPmllvRcu7O52On+m5
BtAfm9iN31/U69D1A4httkbXXuuWjkxcY3LILM+Rx8AlPch0mnJDuNuOLsMturgrkt0Q7XuJjwRV
XAarVqswJGK39ik0p2i8j4z+ACr9kxJofuj8+U55dEo+F6G/L7+iVnV22LEm9XAQVnpJtz5lSrlw
dHK/7DB+/fjT+OsVyxaJXjvtNjp9v58Yx4vRFLZDs7XyU6/MkxC8qpk7uLUIpUq5fpfeNKQr7bML
9s8dOfwzuqRcrnwgMPN+f+G4MQKoxiXBlJN6QmZ3Y0h2h36IbyAciHlOiCgK2H8miF+WDkODRWw3
ZOug0+n9ANVg1jhLS+82upvsp4moiI9PzDuY31tJ6CDNNOnBCcm46d0lA83JnsIGpY6piRdWFUIk
kDVtEvhQ7Bt/hhHVMSbTjQMOymXeXTIB9cWEBb02Jzpk6as1cgo/flfvmHH/vCsqZD4pdreYw969
KxXMgKlcr7djG8QbPQOZD/T+Km2mGOcNxStjf5Lio0DfBJ0erCgcrxi9E3kfu9llJCXetKM7axh+
tnHY37VGcPNGyGKwSpjadKjc8HpipTlWXkXSnw+fOaLQvM55LnixccKeDRzDC2H+lTwm8o4SLtJH
oEeO1z011Skv2SFEAx2eq4bpSTrYz1ObFlfohuWjWQU/pgqidmeE236eoqYGjzWrnsojSQxNRQ3w
8Qn7y/Xteg7OL9ZEauk3dvkvK3KoudFo5w45pYTUWlMUr1sxdes+J/6saO37KGxvHK1+jftPm9h/
qbU8njrS06WhQ+9+t9BFsUG7H47r1oH/tUNiKnaR5vtbEznd0i0c46qv632HG3Of+vQ3rVkQF47W
JwvKX84AeykbyO88jfjjyVDm5aRKV1TbJBrPtcjIJEt0fR31c7hjaLwQ4GjgBSSBXmDM+fjs/6WR
TiCRRTeXTYykl//uLjcn8jgKkHhbJUcb/lS4Nd3iW1wGwRERk7mONMLsgmkiyzNA1lWFn9zFf1ll
PJ2Wn3AMxxB/cJCplHLlhTa0snbKlqV3hSkndhu07zFB77X+6RGzFfrLXpKaUvc8CSzVYh3/fWVz
gfm2wWTwml3mfStMGeNCVg5mvLLfRKq+S/MObsBQefea7epchv4PS4bhQQ4+sb0Q/y6x9pLHerhu
sxH5C5w5SN5EeLamOjZGRSxdgWIGWTIzY2lpD67PyHtGc1InJ0ctGeRjQ4sJ4wuO2TB9asYOaVpT
xy9q8DbW2KQ3DdwfpgiFzRNQZ9ubD9FDrko0HWWG+8wcrKcErEDnoI/pMYBwp7fuKTDmvwiN20sC
EyrulliC9Vu6Odq98CkjZW8/Rl6CS1m2/smP8HYXhdAutt7VN+CwkZj21g2DjepBvSIbbBfR0DlP
rvXYTkb8E3ET4ZsmoU7RvWQHcYO3QDv1td8tyyxnz+2GvncbS1h9QTAeAFFfpmk0HuETQP0dLe/Z
b2LSbyQ0f2UKcc699JFKpoX3hBMKySE5Qy3TdOV9ZROUnEq0YMdZf472CabBMMb3eh20qwxqycYz
1PglpG7LMKpjDLNT1g5IUvA3CaidRXLj2BZ3cSS/m2E5fdcT4yZ30y8qizQICiIirLKNTu2gfpQj
+d1YltNp4WZFu85IO2K/l3b7qMjZgal0qldRUo+L2MgGZx11SJpSq9lPRUlV36ZPCirw1ph/evuV
xDVGhpXIGIzL6Jone3StikLtR9okb78y3NLeK9fcprOJOp6/FLro/vnu7Xc+ES9NV/vbaHABOlo2
wtXKOb59958vfRYg40LMBfYTROpIBtOCsCIUlf0YnQIx0OsMELgFflIQPa9rxcLTFJZFWX8dEJ6v
nQnoWhT07f7tuykDkZampg4GOZjOWlFP55bQ5sKvzm+/YfI3nqM0Fjt3SnYF2mWV+/blP18q3PwR
tcq1BDe1sptk2Oa033fNmA/UuKV4GBIr3Cli5HvV4pXofeEvErZUpJpXj1imi00oZbBOifW6E26x
McbceNLCAhYJhDNLo0zWcZfcqtLQboeiuulSkqeKONcuRk3v2IvU1h80a2UHtn8foB7Yh00T4Nzh
x4wS/zRCI2iJUK3RVaOAkEl/oUyoe/SqxLRE7aVJVpjODybUm5sKRcmi0Yb0qisrf0lcLUZg3Ylv
RNHFNzSYuvUwkoEzjQ7td4eEAUuPugMcgphISek9pmMMu7MoMQPmpv/oxMgycxQX1FYuQo1hehyF
QQsj6KZTjmToEaXQXhOGd5PpNTSNr+n8S4FIFIsuhmwL3gwm6uqBAMTxzkHuVUujeiCBuVo1CalF
JZLstVPM+XBsic9OE1nnt+8oXQHyu2SSApc1ekWNFI9WfZQVOiVZJV+tGX8lXeXArE4drm+BNMQv
rmGhBzj5VL0FtrDKOJaHuUdJyKYrUdoH3SbOLeNOR2a80DqgimWz9iYO2+t876HDi7DSB1durYQX
BmOIFcZA4o+XbDoMJYRLE9hGj2yKTv2N6rr2azCI567tEQzmOeJ90wKIy3VSmMimtDpTp6aHteOU
4Y/QycaFKQKbHoRezXH32bprYMHFucruQIrejO7gfCGFOsdeVg5X2qA1z/bwSDh19ggubG2VGo3j
PO7Im6vcLySBV+bofGX+i4amntSu0YLk2XYYtM+/B+ltrdMSkFc3sKziFmgeHAFbCQjFuGtRl5ek
iD7mY/SVhST9mpMulpbJHeza+uKSHPkYxhsMatnj0PbtjeVGp3B8LEVl3LtA3M7E2D0E4CIfbCj2
17HSvr/9lIooOuUNALLMR5/T5xqfBr3XGx4yC4kdewYo+HcjIjX6QpM4pIxAV2VsIsPNW+giNJd2
pWmMD54PGj2KSot5WzE+pBiC1qnUvw39kOFLiZu7doD664notm665k7NX4w5DH4oXJJ7A7JUi86m
7Zx7/b7PTWZU849xq+K7KMc10sMMyupuW7mD3PWO9wyvAjZm73AvmpiwkQPtjCCJvjU/+aD7Xaf1
LQ8fV1x8R7IfJ+uV0KhrxnLZIh8Sl/QJxZiir6s1C55ztBGUrW0FkmGIgvEcuNV4fvuuCylkCuDL
9qTFm3GwmOdBEbwMWRmenfTRq4Jgk3W2R2sMJ6ve/V+uzmu5bSbqsk+EKuRwywRmBcuW7BuUg4Sc
GuhGA08/C/xm5p+aG5ZE2zQlko0T9l7bQU9rM7EJ+mDBl+jbZ9/i2gtxdjlGM/psh/la2WX3YA7a
S2qV3cXtanM/DEUUI39GeeY1B1a0w4udk/LmaDe49HbYkfHi8i4NluzpcbFrXf40wyy6Y+i63B83
HnsDq4zM2BxEenWJIg5Tyz65SfJ7yceLn431vug/W0P99ROLaw5zNn6AS6SGk6xAeNBRR7s20Ei6
CX60zDTdeQ3a5Katz/a8HAVtxMbDeGKoKMbn8y8vy9eyJPhDVvMhXfJPYxaxAFjpGQjDm8HlWVD3
KT3s2yA8LvbC8jUBW5MN70CYSY4W/wp1xUxJope51aP7U+X+q2ngbmP89UI5v2s0kpQAOipmAy/d
9dSQRu1eQzm+23iWl2ndKndPVZCuV102S4mLkiTAjFS+h8Da3MXDz5fF7pADPz0nKuJYM74IDrsT
EPdvGTVZeVh4DMAH7DyBhQniw7Q5dtjj2DDZaav2gVywcqwp9ogmz1a7/JCwibHQLTur6k7EfaCD
q14IZXYJ3s5JujvpAsJ6oa2D0yzxkBv7Wdlxmfo7r2LlGMyfdJwvMB4mYrPFigDEbU6L5/Bro2T1
+LG6hlrZLC9qVNPV776XZa+2PmkNhWsuWzmQKW6phKrAY16b1NjG8vBvaMEizXNiG5dqfGmi5NWf
l35naKJrhoLKxDDrdcgYQIEY+HiGT1WBhWRZJoAEUX0aB/K2HV+xmzSewKRC3fJBOS/WzhQzP5Bj
/Wo6886oBDVwGDemvSNHmUTtYfmHi4VUPmWfRmxAGA9ZqvQGAeFCiPAwGz3EfrPYoQhpt33nPJvC
cDaDVxFmTRhuZX/YMrzPA8If5fFWLQET7O2yGPZ91t+nwGgOprbEgVWV2iRwmnZpaxNjTB/RiC4/
DMqOLrPPkeAGn8aI0bwNnS+jcUwIka2D8TS6l2p5MQdSg6XlraHF/t61wcOXsGmweeIcYvBvQg5F
watyQ+7ngKWFv9yCTMmzzrJ8uzgpiv72alv593EB0Qzr4swk8KthlLzmsQ+y/gyL4ssZcMRNSwNr
gspiEyhxKGteY1T9Pwib+NVbHQIDLHjeq/tEzg4M1Ehx1hHSqoHibnJA1Ch1TQQMHor5YrygcG3L
oduZk6xuKkkPi+3/RsWB2rj3SqAkgIN7qbjsWhi7iync9PNIDrKLodvUH55lGHEwTbgWEYTi2oAp
3KPdbrkudSo41XZO1g2MWCc1l9PQy78NF8Cim/OXcRZPeOkJ28hBqDV9R7bdBE/08dWQmzuRRhKu
LZceLdx4WtLu0mnk43lAm8uc0UNeeqlC3F7hnF0QlpLOZQYCfkfU7FqTmXEI9VbVoHOg5wlUBgOx
6q3HCP5xpyyc/tKN6dXRUxizu+kvliGYKHZmvzNhmlxs+hsSs6fOjqWJHXj9D3t3Ro7tB5yeFtxd
aNubVgM6060bbh/PPas1AKig+MtqIL8Uqc4vPr072n6k2Eoom+MKjj0x4MPF6wsXed8q+xBgygGs
3PHoH+1UGPshqf+otGv2QVoCDFeyvcj1l1DCidvhG/XYohjyknnBfGxnL85YtpP3OZ3qkAxLzTVz
Y9AEnkMBy93xB2MXRpAFOmQjE4JcQL1EdT1u2AsegsGOjsLAzDDU+UmMnotEra5Iis/Y//cibC65
Z7wLIEuHYf3ucRct+DVvgmK/iPqSt31zWeqsuYR6+RUC4ds4EmEZg6gOtb7fEwq2jC0QWX7L/TC0
O6tbmgtPD9Uy6PtgrJ1TEXLhX+HkYyqqS7l+ZU1ZvHgZLIJGfoQqaQ98l5wfN+2CvNhtrB9NRbC2
Kbxg87i/qCKOyseX0FmBGNnB8YEFm8sSK9wDEJYtRywgdEGEoQ6uNR3zlckvepwsSvTvWTfow3/f
GllUXXhLya3reAtKCrq8Fclr5AVQSG5mw8svun2v2rT+7+5wdMNN42MIm5auag6j6wz0GgkCQCmN
MzSRPxaN6Z5lRnh2JMjcMlV3p4z0OQuGGzbNEAgbOzRzYuPJdc0KePuABzCOFq84qa95ebTo4Pb2
RFjnUhn40MzwVjGxulWaDHccCAiojc7mQ14i2BgCcUizzyW0kgtDvjVFVRCR1ZwKvzcPHuAoEuBC
mHrgBqYyDDcuuwejp1etSvPvJAHZWSMH62xG/2Z7POgw03idct5NY4N/DBPMdlj5wGG9koofX+Kz
wTTEh7g5+497o9RYQZ8rsPNx7wPo6fVWsXcSRhXGbO0X0yQfZ30gBxgKH4r1X5u+DMlIfdz9uHk8
/OMrc3LcLXET4X9/+t//89/t45+2htUgkjfE9r87H/+oezzd/3k4PEyAjqaCnNf/+9z048k//s5/
z8Sbq3fPXoL/ntL//EVg7j4sEvcd2EZOzb0+4dLwjoOnuUyn3f8mjz6+qmz9/3774JA+7vv//h5S
DmiDsvn+uP9xM6Xi/5BLH98H6eAdep09PR5kyatlL+r2zzCCKyeggbzfCOPj49v/uVkKGmlQO7za
jy850+XZjUCZhJVzbi1q8awfvG00AdcWbX9VpuHe0FD6u27xBmzGRR3r2kp2nQ7CjbnuAnUxu1vE
cV8I+AlNTi1vm9f+Xy5EHQ7UOYtLkZ0IH112QSqd53G2hkOVNPrmr8zKjiV3Xa+QPiAmsduN1WZC
YGWX02dlajNeMlj7PuaCwiPPdEVhmn9CWpcnUD+aPvtbHfykYst2goN809dLQBiwgznS5ewBZvQ5
6PEuPPsFwQqyT51XO+IB3lsm9oDgF3gjS/ArCuAsmIdW938STeBhMvdyH9ggDIBTfa9AVhgSa1aB
6TqugUFmYvFjM/Iw0yIuwn15pLV6Bvx1yCMFTJw8aGxnNs5FDKMCW0koTVjAqP0cPyGM2CW/bWIJ
nLfRDnuS2KqAAPS66v/k0PP6l9zFht2BXsNk/Qx89Nku2q/R9fbYK4C7zvmnUjhFs5HGI3TGnSIf
qVh6ugqCURK9msMIKyBUb0afNQkqpJGm1FB7q23Da+10P7V8kmbzCqFjAjkehjuGkdFzoNo/YPYy
6Aj9P2JP3oyxn/cSV/E2bzTcl+x3XRyIZQp4ZVdZonR3tiA9qu5lHLRNdEkF2oSc2shqJuMo7U+/
SSxCBr5nyLdesaQTvJsnVwN9ygWiwAyNDVageSXaAopXVBC/Ldt8Z/Z1s8M+b3F5vhfdv9ZNNRjg
pjgAo003sAgrXHwW6QymCuIVhL6pSziDc9purYHg2kGQa2MSomFgyT8OyfKJxrG8B9iTz64IL7Ui
p3n2FN4phGc57BYDuMIlcKVm1wEIynL79ob56ugp1zzNZX5k9PQDREqBIc1C15lAVcCepPeLW+GV
DorkONjdb7pbtWOH08ZpYKun3N+YkpKvMVjLdxJgYaMDsVOsNxGk92wU64CGsKV3ZwRGmAvTAf4g
f6OhmeOcNRFoTIA4UAbRMUVUJtQGSA0uvvC/KxsMSzmDxqmQuJi7QtbGaVkjSHPduKfab7orUWBc
iWoQk3PJyDZB370wSUQVlf0MCtKQqsXJd1iXxXVkPgQgkbikOhTbzktRp0/hh7a66hz+KVspCKqL
i0QU28Wz7xLo0XbNtDiWJjGMFuoP5Vkc/VmmYU/BZfC9IYrRvkaYhcBKViZ8ENfPtqCuzLtkgUtb
sV2s/N3RiEvzBlN60dI4EXpIHn3aVNuqrw6GUQ1MP8hrClpS4ReiBOK2k8+eDZ9w5fhFzLlOUuIS
MgdopXkFzLxp6SBD+17ZrIVL06W0931vm7QczJX5e9WAdbBcCwA9a1/HRL9avhpWyZjhfxpt9yUn
7Z6ltRjYSVNIaD5yLaKWD6kHfQTdIfAOPdrES2Z/IeQcdEPyFCV3u8vyKLhlJGeif857bLrIOT3B
Tpq53xWdU4hBzfa4dJJr5go9HwUMrbgYCQBI7OlfnrfzCycgQhhFvLsAGXrOywKP16TKrVhq/2TQ
zZF0Z11qenfIfO3FUhRgjmn/cI06OdT4WojElMArFiM6zgrCmiymXUpUw7dRO/8S79biOC/Y4xgK
/iF1RIFNFBxA1mItBDS7s0TNR3v9FE1OP516bT0FqaCJixQOzQCgtDMjy6RQvvXrDSiNzGU014zB
eQwiN4accx2irrz9d2NzNo5O9JX0GQUWS4i9GU2s/vAZ8mBBn13bBpmKlxdQifx9wAqQ4WDf0LaW
8jIgnL/QUOqdHbK/qNOEjFanyRmuc1Kt1aQdeyI9RYLJip3X6BHwQW/GFBs+Dmp/hisl8v70QF3q
5rdrFRaWYWABU5jZux9wJP0DAeOshfUaCAF3CQ5YisyV09qYCwZD0XR0Tfl7bpbsFCSKx6q3BmEe
e64r9p5792GXd/tO2uk2HKJ8awZjdcmdst00WX7w83T4O9Xqr23qbV5S7DQmYH2hoSqQrf7Z2s5p
9p14LmefWWiIn9forqicY0UF+2yRflzQy2wk0s2NLR3UNWL5yG3ANEXevC9jccsSlhrpVBcxuxyD
txtGj1q2hKexd0Z5Jea3YUUtVtno7Vk3/2TYCDcui9Du2ES36cVmmxOJS1PGkbDjZrQ5o4j4OkQ8
prOyZ3opwNI+UaZOh06aeEADv9jWpRUcBpiAxivmo+ggG+cpWsIIZW1QMVIn/CzopjtxMQMVQxTu
p3rtscIKqnCFEd+Q+jkbLiN0yNYew6eSCjCtDPEinO4vUbW86VxV3nQ5fJR9kcczw5dDK9XBY2q2
p05Od3mLME7MHdGkJXFgLl1ISwruBKvgErBM31cc2juAW8thEorkc23vZyb1cH0lwTwRFxdHvcLd
Rj+3xo8RXsFcqcNwPv9cHcOvigXSrigbMp2bBmA6I69D6yJgC8fDFcjvclJp+Q8cSbd1LN/d8Jlg
wVM5f6oqsmN3EpyxzLqOllgSmHvYZ1monZjLzCdPivIyQApVY5ecDIAyqKL0H8OLnEu/mqx1FKVw
8RjOiMVm2aajdhOg+7szCjCvZdVvLZkUz71LD5vM9pMVtRrTv2yL5xcz18umZL16TL1CARW1TLhM
BIgdcW6JZyd5VcKpv3VVin80tZ/RKDTf0MaXhxD34s6SP4VMujevKORNZ/lPPm792xhKynoPTmmU
fNmqqD9yqfqL2RmAItdvUcbVu5H0nLOjQKdnwG13PYycSU9AvfLqEnbjXmD+VL0XfNTAsVcRIFMS
0pCAoeuncE20suaRnoBRkpcUxdHGAL8LrGmBgIQY1Cvc+lQBO9jOPFAcGdVh7rNfngZvXoTqpfMz
uK8pLGXd1W/gOiHSKws5WvUFSQKMoARC49bmVwnTBRH/tZ/+MJAYbmWBTWvE+x5lTXQuaglcSTr2
vsj1ybQGQkuFiX3DkOpSsMyaUMDENaIedluUnXOP4Z08S5YkNC9NmuRHB4r/LqFMgaSFCNn+m4dy
783KQYWXQkrLExrcZPxlO+3dt+v27lmMC5N61CcPSCHhPQedY1Yi9+UAQNB/VoWHy9vxTyxtj9i/
Xz135fEWwuQKYsE3aUF2pbiR88RbgfROFjumiVm/p4admg9hw6myGV6iqoyOdWf/CUbTOUWFc9MO
YwSHTDx/kiI2Z6nOFfumjTNkNPGhewU4/4m1joFoEEz7sligaQAfJaPSP42k1B/g2kok/j7EjNTl
gpvMxOWMGuhrCzYtyTbsUYonxalr5dZqifa8jZlgOK+7wj3YDRMRgxUYQpN57+euszWnQR4XwEQn
pDynJavsXRVWyKo4KSbhHxxGVXAoze4kSoJ8/GT+kfWWh00ey1ttI2XOdB0dmlAAvhry7ptV1fvB
Z6Tcom6JwboWGxZVoCfQOz5FjMc3dg+iM2DxZpkDyQahRvrhKwYfKnsNoRGYyKoHL/q03ESdlMNk
eHAItgSEFKdT0e1suuxt5+ZUCyGXUbN2jb3tyhvcn/lQyx78Ku3yZaHLRe6asCTw8l/Ed8NpCKNf
gADUTWBAz4oMejtmkUqG1Em+WVNcBExUOro7OlpxNBFrO7pv4JycEU7T+EE+Q5DridgBwIIIE8W5
r09JKXB/DpiWJ0Ck0Luei6IP7qL3t4hP9HeT3NRCGO+WZisTkGYw98nBcPTfmVrxCkWuWodr17AA
uE/SVxvzwgCVc9+T1kuIaEiMX/70Lwka/90q/nZznewjT8/XNVT2tALnbCTMXNTL7Aa0J99abgM2
TA+3BE75q5reOrixFGfSuGVFWN5r8P5bRvlxieDkhfxVxkNV7t9UdfdCerk0RDUd1ikM7noYXxIq
mK+5EsHdyMkUhBvOjA4yaw5A9Vx1jBeUl4gNySK4idabwU3HgwiWYEPZGN0j84W117WezSPQgPIo
luWty8biyopifhXuAnMJsqmSBesnz/3ohyV8edwwtjsWpf3ZtQ7LO5P0TVcE+ZbaHTNQOr8tSaFv
XA/Uq6vMc2ZnvybGxEytwUQNGaq0wIiG2yKTmr7AEDvUQPxanealdUprawRyYjQMYI81HZjqCu1z
2E3hiYqhYyqXiGd7IQPwEKFd3LuNM+8D32xgTdbF1cmG/ViGy6VhULzPbRNuKUHD4F8U6xyPdXPv
gTMn9valRDcysaTsCx1e8Y7qc5Qi3gYi/pn3YIMdvbj7vmv02aNhbfMc0FDWY6utU2snMzs9WCFj
RQuwSNp9azyS1VBLYVqCH4L/g9TRA5DmZGPnHvV7kpF6bSTpNQ+b5zJz8mPGgoEJKHmSTvfB8p1T
xG3ygy6KGt4joYlQPEcg4n5xsKtE7htZELQ6swyyvD9oUQ2QYhC5tJWf0RuIy+PGEFO07TS/mA7y
xQt0kr2P8OZN8Yk/F2qQuAhMRZ5d+LNJ0k8D8+Zz5ThIJZvuhJgKjFXiTJSMTUeYZ13v5smRMPVt
Nse9n54IxdVbUfdpHCzET3gd9BqyHShPZs3sNVt3/Dm7Z+8wwteJiSjq9n0efizDcqtki+zdmcRF
B3nHUqQhToBIENCG+T4zrD+za1L/ztV0Bm28UhpDEsz9+sVepCCDM9dPSUIQzGzZu7mGSNxwCsXN
BGFPgZZDPZS9z4NhcUhWwx7OebZNwoJSqCCzAFpk9eSlxJp99SvJNGondH1+9bM18Idq2C8/mat3
24S32OT6Jxprn9Mbw9+UOT2SAUccwFW/1VYBaY6SwqvzWPoj8HbO0RMWGKYDcTmq/IjH/q3Jsm6X
RODCpmCi9hiJaiEeR56KEv7EGJFrCT2xDj5DaSPe7BNvZ3vzm+vX7kmOhAOYA2IFGxFy3TS8ouNI
3xGiE5AI3pDajN4mN/yUde3yz3dR4bYsx+ke4ZCRG9LHrTHC8FEI3zGDjKSpQK6tBIYFcsonuqKS
DFssJESB6xrKO/MKiINkxezK3PrdJ/vBAruH0+Pojl0UVx3QkyRqjx0gHYQGmQTx5Km4Spajajoy
hTtE7yXJomHK9rOLfbd1vybzhH9kUzLp95LceTYsS51JTj6Cx9k/aDy2Zv7jJ/ImagOAtv5L4nLO
3JK0uIbIC3L/XOvUGvPTooLo1hmluFotOeaoqWoWmixRe7KIG8fOyUvO1o8uOZy6FgdHfxQt9LYi
OPcjaSyB2++E3/dc6gOIklEBSJpyiuD5fTtBdxsdHPJ+YiO5ZCRDLYG+DjTvuAYyAMgKN2WRfYAC
Y1LLjJ8mFT1PN9PK6ZCIVBIWOxPweTIHl9Q7WNaAdtwYAGw3DL9sLxqPRpTbm7FtAEQL8skAqIxn
UJP/mIebcej0wwaj9LSfWLJVZfubNZkfz6nDWMvAWkMVBAszcza5b15I4m4IeJHJa89wadbsayXu
hYuhxgzKzvjalxmUgTJFDiEN99vY/A5stzojg1WbsZ4hPGWdd5RrX7+mT6gxd44z9l6oZLgWPEbh
eG4Lxug9lWMdvGdGFDJe7Jq4N8md6LuFnKtEBwdOwwsvlsbXIOhNzN55Uo11xn5XbdiqTtSyiMQF
NjI4xIu7zbLBubqock71VD9HwQiQsCmY/AxC3IOAmtMfNQEXFO86KaMnonsORs5sLS+IcdTD+EYF
Be61cRDLZMPJCe1i5+LlZ/mZ7tNRRPFiEtlFlRP2bbAz6l7cZbC8WWzK1olUcLbsqt65siWXMeQX
N3Uz7b+/Ut0T6w18/HjmhDu7sw/tq5x+y8kG7liAPxocxnvZ3k0ieLQ95VvaWn+yaqzYcjT/gN42
MQHmMO7az6YcsisSu/AQeMW/yVtHXXZaHQss9144tUTzWdHBDZM/tt08JcVjbssge7bZkw0gBq+S
dzVRRP7JaoCc64j9C8FiwzYdO+MyeAWFLNbC7ZJCUmU2/cmelyarpnxJFjAshmJYFBoFg4VO35zx
FzOMbUEh8h5Mp3kUkF6t0dpaBAFuRQgVrsvqfo+B/xwtzm8RFOYhN7PyrDt/RMhv7e1cyVPfFJIG
naOEOvKlSb6sQLQvpusRt0L41b7piiL2Uz6ZQaSBJnJuRHQbXYRtJCWTBpEk6RjV9HOsRE4u0fzS
NYAoRd8B1DIMqIctG8JHWsKADIsgcn7H1AN5xTBoLt2/RHK1O7cceZUn79gGk9r4niZrlaTlsxca
fyqMxCae1gMjR64Hag6BTPPjgYAnpKUhRqJOXEF0ZR4+RXN2dAIkXUxo053bJ04csGwpM/+c1kDG
p9lqT5Ddq7hg7HdQ7k+yt0KibQgzsvIpPwXuvWXIAiSp1AYMOwvE7GRHvAPsgQ9yJd6dIJnOGPva
uFtMf9uyftKuz0Lf6TtUJB3nvjtGl8cNENp/HbM1Zn95f2B4kUPPhIMYdu41E84fakrzbyXcF7Kl
s3s29+HByvJboABl9rkC41fCeCSCi8+zXFG+Q1LRa/pH5i35exG192WSmpAG71Z063psTN9G5KwU
TFVxtomM68uhOhN2Jk6N9l6cJtCx3XNoLWXPem/LJSNL1YYwZf13pFyTInxPKkFxPjllrEuX7N/I
0NQBzvciaI61HH6DJSrfOkZCMesyFB7KgYwtxRtF1XzScKrLpalAnCWMV0bnpCKAzxjB97D2aNPI
FOZEgvKrSgamc4jBvk/mTTba2VmYXEWJgKM3JFcBSFRJK7DgwoDFeO4BGkCs9A6rkH3f6DR8GTII
6IbuTJjv0a8A4drW9FOM4xrvAdYtuQXXeewhvF30nHobAt1iGHbyUoJFYNAwWQfh0NMsrXmLFovr
YNDFNcTMzVwaxYbRGKjDqIyHNqLVwV/Oa5y83snE8A9FJAH593zKwV8xocma5Fab+mhqNzpX1NIn
VeEy97sBvZNd3TNVGUedHnge9OVG8TrDVENvM2f3CMtgBnTqYKdWFdfsKVlB6eG0dC6tsnEr2oF4
T9MtdqSpdaexGacDqFJrtxIusYMoRpr+R8Vn5Rm6qqBUyE4NCqqnujPu9SzUiZDagVSuFPRBl1W3
ic9l5miwZDWhAb1OACGghcvKezaSyDNUXn4tk46XR412LJoHysssto+DP1R0k4HRVZt2JL6ca8c9
nykVzb57btPiybEZ+i6u2lVGoYCjscSqeV/u064zj10pwT4y5RG98L+RqEJuiLC/tSBtiU1FfKRK
NkMqt/405HA/5wHx0G3v/gwZtGyxAvGU8Hfsm752fpjqOKrPsRvdt94xx+ewGN/IrSgQA0HWLp20
+uFV2Wfr++qzJeHJ92YyygR6WM+gFc6X+apW3t5g6/IW2m78YHhzGWzQINrFvvTb7CwdwXRczsE9
K9GUJGlbk78id6kFd9RglZ7k9tuQR69ZvfAmMunO59bpthikZySLtXMfV5B9Uozek+oAjGaACFpG
eU/9ejObJB+XA5kUsP5s5gOm+31BNQ73/Ac+uWjtccFqTNXz3Dn6OOjuq+4gpYVF0Ps0/QiK3Fk/
T2Qm3AVoftYNr8TWkeRA/3bxmHPuQswMjO+zYmubDRmEKVBDWmvv1A8ixwSAt23pqPsFWtqCohYd
XAtDYaSpsydjBdKVvyxSTnAnGzG2zexgC0RuHPe/AmvxqMjb8ZS3U7obc1HuF7v0cVBlw9HF6/St
rJevjvc3eTvNmxtJ59jTR29KPsuLqcynSXP8FAE5xuYy4X/My/ZG8hLCFjeUrFaX5FKLji3Lkl8x
NJZ327qmguV2O8I+JETqZSRO6WnyW3EuFe86HEPDhVgK86bcZrjbQ3Uy+/ab4xmMn3HmnEIhKGjg
rJKmhqUzSp3veo5eGfaPZxVmOxeLADDONPmGRviHu7IszbIvLySYVy824Vmb1onyXeDkTMiY5hFj
2DL8szHo6jXrgh0tPVanjjWY8YMsRvul1Q9TsLfrZeVfNbFwd2maN4szY0ceqL2v1quIUTG69YHN
3me0TRMLLK9aWuaCcnxNjdZ8ibLz4MeYraq/xNI3QDnN4XlQz+1YVeCzXYPGs7Q+ECZi4LbEiBds
md7pF9V0Szo3/OkUYG6pzJ3YYvxDdRiwXVrxlkMqfze6QLrod+65toZfdATmxRZcE6Lc2ZvYwYMJ
2uaInpxXhcOprFT2PGnnrQ2p9VwrY0Ky3oQsqEBuyJeC6/czNogXC7CtDyPkDPwOFdGacKxmQtLG
Hr/R4IEKTdKJdy036Ui/bSzTdKykjJUqidiMvOI1QRjnm/0+4Fzc1o5aLj4DjOPspxMjGdKtDWyB
XeSkP0TO2DWth4QYo7bBwdgzgHbL5leVUIgA68hf6kba8cB29Ae7bWR6L0z2fLd8ImDT2dQQToH6
/6jl2j1DFxDqaGAburmp+R26Xv3VOj2XwIAsQMmkTw0mj5qEzp2t0Es5UQyFYzLvZyhRuxaycruo
nPqJFr0tO/NmMusH0i6/jQiU+b02+XvWM97pQ/xiZLcdXGt26GhJmaQIVbXqIDBXZG2hymQPFXEI
F17yLGr/d5iSEpj56pttpE8iQ3ArS6InEp989TLhvyGr4cWbw/DCnr5lEzwVzEmqhBBuwD/AU9UL
OQtvE76DD18w+CzL/MXCbciixPY3fCZxeSRw/+XBH2z/H1GUpZ/sy5bZ1OOmIM/h7qaueYPGtEt3
Bvugj8rtxcWveMNbZWN+jEKR8VFn4cWZkPfJIQviylD1rcsJb+w8T37PeHMz7C1/IKYqYsaHtFRL
GpwgV1owOaPuz8yKaM4t85oVoA+6MPLOtgPHeGx99J0Dq3qndv6GSIW+D4xwqAa8fhsQZY+mYtKv
8+y3F2NMPjXjoNc8KUiZaBAqRI95VYPGtOkyh90N4ytfDDVJC19BYGi9cxyUnUBlrC2EOxn34+o6
yAvnu7dM2Ta3lXMeEuV878Hb/vet33G9gxY3H0RFvIrZIguvGl2fZmLjgaWkv2bp5N+r7jWC7flD
2Un6OjkTmouieImmzHgCfBB3WfLGVGcmqy/KkOdFJLA0SfbDeuwipO7OCshyhO/zLauW6xh5AeOU
cn4rodYbmMwuokKEQZvjXKYAS1Qaif5jSVhhYS7ozngzVSwEM4cINRtgARkdSkkL7SHCblZ5+eKR
wDjUU4i/pGru3owPsnHY5M5IzfcKsOCB7S6KSm9oAVXWX4waCGizTRQMoKxPVOR8JCg2NrpmwZ/M
xkrRRclrjno5yIheltp6vvkU/AS5TIr6zrCOkeWOT2qh5e3K1P4xs3sYZShfeWJfsxDRbkEespdl
Nh0bZGgbMZbJFdn3uGeryYI1Ef5TiaI4JHJLyeSiUgreepBfvJwMCNOBNJJcEkxDNCKXYst5ptN1
n2krJZYf71Ibnt6PmiAD93326vKtTw3xRv2WbkyjymKvoz6aGnrsaRmXu6cZlI1z8C4dU35HYkuL
G9TzC6sd674k7Y7ABvDNbeexgZx/CX+0bo8bQxEzM+OBZH7BfazJjgLefhzmy4XXqjqj1rNeCTsl
MbmEjJ04l6TWnGkWbY0fOG+L9W2MDPvd+lsN8h7qiHAmw06fIIq8az8is8wLWvxtBMRIMUxPdbhc
ccAm0RnkTeFCj8VH0hBhwH7DItQwIwxi6MXwIBoQALJwVXZggXtdbj9Lt/pdRGgvddE57+ikMkR2
30ZFR1L4VnpoHSVu2dA8Ba4ynmgYEAFlihnPUoiLlRrnoeOVB5ry7i+WPEICB6EYqJ90FtYJ45hz
YWSXHrW26kOk8cyIamn25P0oBiel62ta1SzY22nS71q8c7jNxI+MqfiWZffvyrWz74t89sesJiHG
m/bLID9VN77OnRXutNtON0gVZ9U6HvC49Hsa9Sa5QaO78WZj2XGdCOPpf7F3HsutY2nWfZWOmiMD
5gAHGPSE3ohG3kwQ0pUuvPd4+l6H2V1Vf0b8Xd3zjshgUtKVRJEg8Jm91zZF/6fh8v+Ipv+KaIrR
EXPr/59ouv1BbxD9v0TTP7/nH0RTV8CchNVmIv4QFn7h/2Ka2n84gPk4j7D1UEhKvsT+tA3//W8K
atMU3e2u/gfkIqimNqQ3OD3m/wphCq8Cn+o/kQgE/lW4zp6t45wVcNT+QgX0TA4Rv3DTHfOynyKu
MnRHC32ufkOHPIyaCcPMS56jrLrTEcBPSgkPQro7kIh7mm5brLQHtMxqOBtR0KdKS++aerAbtLhc
Zr5c+7VnLgylvW8G497ttDOuTDUq4R1QItSvJ71c4c7/mZHw647mHWOrjzZpyB68iAXSMBT/jdL+
G8oFMCo/QI0xwFIOgVR5BQblGpiVf8DCSJCZbwO2glb5Cxry2EgosK+lhtofjw3FltWcNPA4m1o5
FPjOHjleDNkGeA9eXm0REhrFRCFYxbOFY2QX6iq0KDHPeSE+DOWFcJQrgp3qZor1T5GGVz9FgNIo
AwVGikk5KhLlrSgxWfSMvaLEIT3dyNdg1uC8SttgM8eANw7DR+qg+8ovQggrBd5BjBwgCxnB4uzQ
lcejVW4P9u8zjxIDiHKC2OVzp5whc3IkUmLeCywjmfKOzMpFQpRLtmZOLJZe0A0rBGT3GsoVgfkk
xoRCcvw2yQJWuDOWUGMzKLdKqHwrFgYW/jOxsyQOk/C5QltuzADj3auO8cVVDhgklwdHeWIAO/Tr
WvlkBuWYqdiFdzWKMumEqKdRh2GnHYngc7/ZgxDCoaFA8FetdiDBbWthy4Eb/svDpgNO7TUPXI4H
B0KP/SuRjDk1wuBRUpHCXF8lhh8f40+JAShqfS4SyhOEvxtYO4CiArvQrHxDceY+DK1412Cqi7rY
WuLObLvvElkfewwYO/EdPkEk/hiSnMZi4YJFKWM7JZRnCWvDwp/qrYZqs8XU5MpQcCgkDyZ2J7xD
WwJU1n2FvcbCEFVgjGpVgu44IslAMBAcB29ag/vyVq1yVLlYq3rlsXIwW9nKFKNPvyz7Z+rQ0I+h
7q3BFCwIrCKuxudZT0mv2UgDp1cpyv2EewqEOyHBsFE3XJWMTZYz1GtsxyPbcnqIwzjbRI0fnjrS
okUydfAbV/DyVMC6m90DXGnRMIO+HJ/GnlGuRsCJ1TAyZ0jj723Pf5tbRD3uhBuGmKe0QqDnxpo4
uuZ46nsY+JEG2SduAiBBCHOI3mUTH2HzQYnFchI474IXswLlsW06Min0jsN38hsCD7twH4bVtAKZ
/2EsJz/I1+QeuWQOMWUl//vUJPpHrgXens3YczxaxiKSDvMqJmHDPN8RGXFXEFmPudOZYbnM72GP
mi/sa1DdYto0/rh0tGFatpi/iwQRJOaWBKFft/N9/FY+Z6lNJ5v73o30nfFNop23b5PAxoE0OlhZ
qh5nI7tvKFVHcnb4o8vx6ubxgEe4BwIfVbuA2fROc1wga0QfDoahrfSucZdmOARETFblkgprfmIY
yWEUfkWI/dhiVo/j5CYXOEWM/TyymaVdUjH1xEqMOAtidnsswkhuxAe9ceRbAm7zjFl9RfL2htbb
vqvt4FfTJlhIC/MFOZKzKwae2LCr0M8FGFR4V0CJFGwUXUSKm4xV35QVyOr7akBJB4d/NMv3tJP2
RmiiO5LxygjcXM7jLzFn0ZM9JisgUhh7hz5DOkEbLEanWkOEU5JseTdoULtQXPP3KIOmlhwJM+gr
XOHZjHagrteV4WAW771T3PaS7zbx86ldHRMektZoF+rEecFKQcIEJ5pe7fkaM9mMbVg/FIGixzMN
0Esi8rzBIc/dIb2mQkWKaqa6OLWxa4Ic6H7ob+iltxYZG0fwXXsRRh9cQDFSzf5DNGSE9MrxHtrk
iuwokuKcsb4bRIO3ZEbOq8159tLmrJL08RRjDr0YLhcU1/N/ZbHG76+TFeaNkFHFF0lzDYYAJquk
s5OEYhjPZhO/ZNjUNk0eHamjUZ5FSHE8fUjXmV5eXA4DEyAcdA/YOeDLdzb0+FXYE/bc2PCwzKnD
YRNgD/D9lqGvXi6i8F2DTXidMJOQ9yg2GNW7BXMngjma8T2UXQGZLnjpp5a0LDJsUDlMOG/dcGkb
JAe0pvZgzw1ZxoGOeqx6wHbXkUnQDG/CbOYzmoaHnjibw9jyUI3QZ7Esh3BluMql2ETzc6HpVxcn
0xEvLFLbkcxZcitXhHWHjLj68S0sjRMXtIamzYoOU3nNizlds8swMJn4zdGhwWiULimZWZYz+CLR
sdgTU59wJk3A62HyTmP7szO7CIsTXbbV1u822nbVkugQZXn98mm464ImvKCEPJtBOa9bm7kj0eVf
XGuc11mK58l8Stt+PLJ5yclo8h77HImm6davyZz+6i2qffS8csWxtJvdeePgtkLPAzc9s7e1Lr9J
R8CT6ThvcWjidyvj84DV5sB+g7C1bWhBl5gEZPagEcuinOZj2a2tQesfYN2yrUo9IhVKsr69Md56
BhsFl4txmnXJmanjifWTR+kvTCoRNCRqkonSR3vSeUNTwrfvsZQEpFV6vkWpAuHJnSyeWHy1uFJp
TbFJrwMCYfC3WqhFya5ZE3PirTKnZjAbh+jFSSOL0aCM9bB1Cm3rc1SRfMA1sNfS6Eysza7q6301
K+EElxMTzPZxjHyqk/fbvjspynfdS7uzqW4mvfp0mQ4YaKBhCDDUS3A+86YtEZYtHVGH2M41Y6nD
1lCpluhuioxnxjPH5Vxm6TY1CC/RiKmbnUJdl0AcjG7nLEtPJmsrCWv6JWcNYYCzJSzLLX9D+BrU
L134u2k/Jg8em+41tOayegqkCeADX2NosWGqQTgUhTLchkawrhNiNSEotLvSCZKLyLaTI5HS5AGF
3GiBH6EU0XXGjD1kkmwatQNivBOQqXlZy7Y+JoX8DAMWJEaoXuMkxQ6InbxOj36A90CYCK3MgENT
6iWp6mX6QznksWyuWJckLgyJmidjjg0umrP5Wpt5v24tu11ZmtZt2pa3igAqUwPqb0t7j2rlAJy/
/22KfGXIXd/k4ZvIRmPrZJFYwEmixiI7eeH7Pe4vux/X1JUEGQrqbNMfyk1nlvUqyZtfsWsFO6u0
y52JWAilzy5CB1J19nBKh7NrONMRCZ57rw4ZJmc2UGESbVi3V3NSrzQHnbuDyWWNmO8ALJDrVBc5
B8+suTD36UNnOS1C/IRjNghOo6TUN0d/O5QOFEgD0suUFChhXLkppzy/1nm8Stzmnm1Yc83Muri0
mMJocu0d2qwn1+qeEuTSuCBKFrtGVS1FKMedkSqhnRfPiyIlm4qVq4WMyGm3joNonexuySFQfqHw
SI508+wtI/4ZNh99LcJkXZI6cPGcjyxs5covzXQnM/D/YTO+oQm5mzLz3VZi7XYI82XcJ7h0UHi7
euDi0uYi3XezQXh9LtZlyaWAnd3BcMdLkcHn7Cf5wXiWLKws2c6EXwVtuuoNdth23VlLL9+PlC5a
Fq9zth5J3n9CKd6Tcok7f/JPoJF/0AjuquqlMrwvWbP9yrttx6YoGdwvfyh+whYHfPROqvlliqBt
9rQbL7Vn42j97CN7r7GmGgNrH9neidr0ouli75PZ2PvtZRyHXR3qq0AiiWkT7WRRRHQEIrgMA+qp
2TDw2LaRuyQAfqvN9abV2m3rzC/2SNJ6EZsrHUkWimYPHve8E5b9YDWIZFwpv+xuJtizvRubEnzE
CudJH25Ks7x3M+eJK22Lw+Onp/DGmtO8wuLc1F1IWhpjJuU8QlspecaxiuadcSpXpV29qH9kMpWE
RLobp+LQxsMDuUh3bmZHK6KGHwujJpQOGWZE0AAkSq60lndMJ3g/k3vgyP7d2cRqB0SPJSzA1TwN
Pciy1zuCcqNFNYuNW5ePbRG8DvV94LHIqbKnNrjabPuRgeFcD46VJX4ccW0sC1gFv7Cymp3R03d4
AEH4Oqk9uEdE+lIJKDP8XhrqRWIAd5Nc47UJ74B4rCfwn72RbwYtNNdAPhBGDWW2kKQqaa6/zgZs
P2i41RuEpWmmFFIrZ4qOMor2ReHREAf5ciqjHVyeFa3HHvVAixSTieUsvK2N5mo2I7LOmvYXKJTI
RV9CiuVLj7y9zY33sWnehrpBoL4ZjeoTAeuzhs0/eZC+YZ5LrdxM9vhL86b97H4IKV/9MGRYnD3l
XUQIY/PRiPGsUV1H2czyvdyKMdyVTfFlTfq1N01GvxQsmAJcJ4THDsYuH90n7BbWVgvMN6zLJ2ey
drHR7bP+MWuVl6y8UNCvXQx4i8EiIM+QaztPn+w+3YWXsubiOvvIcTJrwrKGd1zL93Rk6ZIwpJj6
FmsrjibeDXG7Qf+omdm18TlSSpPyUC9pHqRdkcPkXbIDcbRrWTCDp9M7isDwlmgP7EFbaA99qd6Q
5rXqFFBDX0DhWXdFAuhkXpdGukAK8cAolyejHR+BJj+5c3Ynm+jgJN2G/dTG7uzzkLdqLHzRoXvU
psxYnWu71q3OlawWJMktCKuG2WHfMRp47TEng+9gS2mj+hXWIWui9y7R7+N8ISelFXHaQ2yLB0fr
3poEdTl+n75vfgAMHoWWnzyHpKl5PPOX3gmu0iNpSLqRfUzSOmuTe7ZF9ZOMT7WRXSsUBXhiDsH8
3OrNtmbwTn23EK6Lqw89p2VcPSd41mSzj2S88jLvQIgsq2tjQe22iTNQW8jutmmWXevR3QVs/IM8
cZe+mN77ML6dMnNsb03avDea/uC44acOu9jPdgCHfuG9WOuO9Zhh/52G4ktHojhp3arumydskWGS
Xjz0cbr0F6wOl22W7V0R3Rd5ohpGNgXNb+BK907nf5D/67njh2yrl4AT3Jw4a+JEn+rU+W5DHCiz
6T73mXhGmv/ttdoXappDLtnG+vqq8IirQ6vtDMjpMtKeQM2qgwUrxHsR49VzKd5CgdyYbVIWvoFf
yhscbBaAxLoX+7EKTqIAPNAP2nIcQCjMNm/7KWvQ57oBoq7f5sBbTlb6az4yn0psVQErGqrx1rbu
c5bY60bzziPFBLnIb4NVrTinLYOyP3eJRQLie6fFnzmvie8lj10RrvFt302igEfh5duOdGJNp0e3
u0dOGMEiILtXK8e1V+YHzRmvToJsMAu3jUVgWDttYxoLK4Z75PmPcRzuY2FsA3M6dTaHNjNhu7uO
zPzx4pag9WVMS2QCR0+jneyrNSQqZghac9TEhzwzaLy4JtUIwzEsbNEALwXgf4VjrkxhXCVd+F2j
/a16aBPY2WjbBSiS0V4grDpWab8zXKwUokseKs6uGUrtpe2Zy0kbv7M0filBq20DyKJIClEbo0Oe
YO8vqkR7qrlsLvysPE21eah0a1MY8mUuOaqnEq1qpG8I88Hi5pxb776Mq/vEZrHRlPk74rSNjGua
tvk6C6EAUAiY9AcSGPeVVW0ip371xuK+sqA22HFOZypgdqV4lZHjkT/KHjXQdkzkSB4YOHEwndBj
RoRjOcCVb5sPo3DuwT3PYA/zKL1kbbZ3NH1rtMMlV5N8O1vicF4bCa3RWK3s5FkMxXPulMdJ9ncd
kZMTy4O4yd/I+36KM+NRlNh1qulUzhopycjeFxY2JzIPaYkKm7UoRDlV6FU+oaK0gcLZtZxMnJgg
RtaZjHNwNhERJ++qrH0LLbjvSLtG8WBbw7WW+VuYXbQoP8aCKy7dnw5lYBqQuaPO6aw3A9gmmD3U
dAmlgbOpbP8Qh/UbTp6nchFC3wg4R/SjPDF6PGM0521PoF5LeV5HzYfrBCcKYCqtIUF+COnPubdr
v12rn5Xr013IlCKfSNlsI+3edFaZLL6h5K1j63bg44XaUTjxqrCyHWzxo9PRBn73uzHlIYfenczF
2vSm18QY7nv+uo4LhZEfR7Nfu3r1EyREzUwmXFF7fq2rHGHrvE5nnxKnvzqO5HnTSnwhoKPikMjq
cbxTr1fVFe+90794ZvuRNekZF8kWL/q2K3DklA9myYYerRA5c1N9yqfvVAS/ozhZtHr66UsjQhWD
qdSzOjzUtMJijqOVj/pD1Yjsm8nHy/nXE12UI4jqaC3/EmjyMR/8e8MkyzSOJSwflXxdFI9t/Tj7
bK8nY5Fq+Psk0h5zbHaJyNOdEW0aJtm4ypF220DQNzmMZQBUFYcA001CsxmoKM19d/KNQV97+WCv
aNAfY/GBVuBC50rBlBZUbNN9Ou+llz+iR+N01c9vNeGiC1mUWyQQa9vJL7rmvLNoTxZj268mK/tO
mukwdj8B4DxO4C9pD5zLSjWTQzbdDhb2vNFgblp1QOu0mDWqz1yhczE21nT1mP69lXCwC+OWM9q+
uBZNfyo4lg+pTYOejKydo949CFQNWhbpJ6bOVHXFtB4qZydnptsFnowipj4CFfo7bfOb9G3XeJBY
O42EgJnzp2NQGdl5sxFW6F1bYFYMQDjVNTMu0YoWHvRu4C88G2d9N+UBZ7VpTwewcFd960k655ac
5KZ5HAuT+EM3CNd2E+w6B8tSEwZPdARfcyiSTdXE9b7rGZkHeDJkzVbWchEgmiFEfoytT7HjXX2j
MreDsK7OIC5NXeAJs7SXyksh9QXB06whXvLzF98GkGy3oP+tsdNWYVuJXVxCJExBiSxuYWVp7kEb
VQAQ5LaOARQkGRpUCylecJaogA+BDuSgArlu1cJ5szWL8odWD1tZuPDrQFuL6sHW9A4VfNyuzK6v
EXsg5g70dFk39FOuiVsapj6CSdfbVlXDMxRNG8bs7Xnhl9JbeWG1B6NpPRfpL5YMn/VwFh3AKCGf
67IjMyVyd7nkJcT4o5so5dCZ0iFjQrKdO0/aVEJqh8MSkX+LN5ahQQI9FiVKUMSfYZnxDs66vW0A
ZWhlCXgcuOIyzqq9lVako2j6GsrfdEfEEpG6YQckskFj5Mf+hz1QngYRwjutqcHgkM7YjRxKVoKE
q3B6RJM9dAl7DMgZcrKjXSSPRK//xD0xQ6nXbDyHh8dGmYuacw3r8Te55VzuXpH50QEU8zK1nrVY
vBQhFiUgOI+NOpLrmrVI6ypuqIGhOYU7hz+uXRDoy3Ajx2RZowpPONhqJLoLZbvPunBFp4obTWli
cWBZT+RzvIQI2sUVhPFRlvmlzN11YnDI2j2MjsYf3lFPf89i67jZjtg/KDoa6bOzwOef/sAlQicc
LzrD4xm0gwKLQf5SDmCbNHvad6YAcVR9cYk76dCVloZOhyvqoVkEDd4NA1+A9ctAfSCuBA5+ZWaz
ItioQp/KiQmOEEL+5oH+Gpl+i1RGqtFhCRUDZhlqPutbeat4fhRREOQgWaYR7nrId3kmV3qobQU5
Z6y8kWwnSLvM/cjSAYHzdhjlE8Kzd78Bax8Vi7lM9sKx92imn30CkxB1gzf2kLpzxJwHtzMWLAx3
Jvggfxi/aatUUhaO/ASbRoGeYEgBVOpJ/m54/d6dh9WgGw9DHH3rAzndU/UYxNaXWU+nGOLFCvjI
L320d4k7vFgRTYmUa6ZDz/rA1cerf2nFq9WLcE/M+6ppnWYpeCczkga+ycBuw9EYQvfij8VOSndR
JfHB5qoY+5aDn0/7koF+aOLygdzFJUOQRdiPZ5Zcrw7TwsXsjD9hWN9HTP0G94EdyqrS/Y2u1QAp
5voxGNMnM+suBgwRPQ7viy492q1f3g2tvmfC3NMlwhVgXp2z3W+XpeYcsMyyCnHqPcPpb6f1d8kY
oMmCZxqhTPKGlneCear69DOgvidKyr4fkmE79gis9YEfZuxHB+CKk7zbfvum6/al1epuHWbpIzbq
xIm/p/wniBlo5NSNomWcLu2jzIyT5jlr09IWyH6CBQjxc00uEH/ItEPQ+4lpeVw0k8TnH3WrUo+J
xe7dxwYkMbrhT/S0nBn1mToGpDF5kergPAUDXmAEjUdPN1CilOUP1ofDxE6xns2zKML7qJXvXu89
+4jSSerChFFEwGYGipG6WWMUubqaqBdZ3apwZy7HkB6f0ShfYtm7S68Od86cKtl08ZPm1d4Y8ytG
gXVktGxlBd7s1sCq7iEh1lBcM+2FFOvrEs+OuoEyMPx57/ahpj78y+f+8uFfvu32HX/+vKjZEufM
6oko9SZzHglaNkDS8BTWFWhz38jyA3yL/JCzK2DFPD/kMa4ZkQKgMtXN7d4/bv4HnxtZnqQLn7GI
HKIEsl5QHKZwdlbIAlK4LXl5cNHh/Hlz+5AUnHYv5+da7/oWpplZHDD88gOgZwJ0DAn2hBWdzihW
LfoS9XDFiHpmfbtbZpIElNvduTUuvnDHje9GnJS9bMwOtxsspP91rwGi6vg4zlKP9NCy2rt2x+O9
Pcw/7ybqt9w+LqdWDeywUZaAdSnh6sMIuAFux/CfN7fP3T68fUG6Qc/r/vcvN+qeTKFGcL0gdh2c
r87Mkk+W+Qtw4paNZlQe2KCVh1bAz8PLg8IgCasD69TqcLv3j5vb5zKoWXuv+3LL/uprw3ea4k12
asggvpvcuQHjOISwXzPrmzO+i4kCAC1WNKBAFbsEpuciY/iWopHs3YZZlTn8JK070KVyA08JWj9B
66UxTSvPAwYzc5q0bGSx2QjRK0kMfx+4+aUn3vpQiwnkgM7JderPST2C7rDluES4+z7aJR4BLoJ0
y0Ds7Fe9n9JDTxOAzaM4I8lC/dz003oukPMHYEfS5Lcuq4M1uuLgdcOEhGp+cOMhOZjCb49hQb7m
VH3VcVjt+twHHcI2vRnyc1OV3bkVlccZ1TmyZShwz8h1Yfd7WfU+tmyDX2Oiq9cSXswiAzIUsLmk
JpVcqlytORcTVtAMnaGA/bzXBv3eGozm3Nv1yShQjcz4z0sT6S91+OIZ2XF60lFJB3lrnXvTss6w
BHj3W+PB15zLbJW/ZZZEa76lO2MjW2W5ONXkcysn+zVqR3cvDcu/S0yfCgjzmTZ+GEgNl25p/jRm
m53ygvod4tOpCylZ+H/sjj7TgolnNfEY/4Y1Z2qv+RxGIusHq8gvWjPnlzn6TXCAjex4RnjNdDHu
9WTdOrwq8OEocfUWj3WS5edQyuysa09sl8aTPQf1KixTViqM23IiZje9gZ2f/lyekKzLEzPSfRDl
D2ZQSUZZ1XTn7AgM+m0xIphZsS2cyiNw0ZwD7APkTE1cmChVs3mFD5OS0WTeb5S0m2E2nTGCL6bc
IzdIPRJ2TxrbOcobQ0cq7Eu3294U2QV08qVXZjVXIi+FhWm+cb3Td4zpnihA1rp6EdkooTRhoZKx
k+NfhTlHVlI51vr2uT+/fPsKSkq88F3BE3Oco11eWin8xezV8tzvzpnvClxsCxIBHuHmMEKrz5DX
DrHmP48j7Lnx06msH72Ln6YsOCVkW9BHH4fReIraIFu0wnjBVV0tNK/8kCYEDmNmKlvND8Pcd8cs
tVZC08lJplI0HHDnLGB2mlxWVXooreiuyanz4gpzNdTKyAKzKbHNRHpvLwvZv4rC3PXk5UB2NEs8
dLiEQwSyjk+dikr2oQrScUkml1jmbs8GxeifPK5V2ujeDyCCGTZM14rIBwZaB9pbIAxYhN3Wfhn8
4eROyfugCcpUGk/daa5GhnTGqA/pjtU2ZcnorX0bbskQNyj0rPKSyVPLGhUsZ+/BjqmT6BHu1gqS
AFW+JEgR3nEL8qD8NVQUYTLTP7oSI4/MvPWANnGlGUeX6KaFP1u/bXq7RWUQymgH44MfceafxoJJ
H1nqGAz2hnP1UY0SbBltNLMYj0Myu8sx6986x3oQ88OswB5hHVw7zUzvYg/NRgpoxzSTRdmjM44i
HK7aWYd5wYkQA9VMBljVa69+yebVDHN2u0mxq+350wc/ReNaP5B4S6Tqg22fOeM/eW3OdFjmzxNG
LG2y7qrKQDptO/euEe7LFh6ncQUTNzEkZ2dRuO1HjuIjKZxpM0lav278ycvC26OO1a7aCJS07Fip
6aZ5NBCFOkG5myF0rWz6PDQg8WWedYH9mKchnVBgm3d6TEXZmPuORdiYG92iacGJFnm5NAjJWFg0
OVZEHpJVIIIt4e2G0XAqgqOkiltFjQ6KKyNIngGFubSy6gd+xpdEm7no2FXqmGq2dew94ucZd6Ft
4hXNbeNYBZ99aJivnc3AxW4OGWT6fdSN1go71quhnSvqs7JAgSLq6jutDE7T/aEow98GYVoLqeNW
rtOrR3HWmz2dcYBWTIsMjFzgZgoaaC1MlmnNFThs5oMqJRtLP042KztTRnjqa5TeNSHLWIibz9ht
mdSjFF/4Nm0ZeVOL4NttnPwINgepGs3PInCs4jIyTliYk7uTDvQ8ut38oW7KZxRTX72If+LumwA6
e9Obk79y5mDHeVdcM54s2CMLE6L3ZqTjZx8wPsNdmlapN0lmZ227+SQyr9tUjJdbR2AlrTzi5Nrx
YoRjt64clo+Vjy4wUYkF9mdIas3GpqPk5b6UyKvffdv4qcL54kSZCWihdtfx2CxzNvSLOvT09Tzo
vLdbZoWOSdnM0COcyoCNZqfhhPDFKrRKQklD0fF4mnFFQJG7cILqnnDbZK2ZWF9xG5nrWk5rTyNf
qwdVraXzkzbH4E2w9EHJO9tFG20D3XgMbWpmE1jGEm1Pv5SgBjCcUb+l+c+oJcOiiSfaYc5sjHSd
U2wj0SlwcrgCm0GJ8s0DyG43tWB3hvbLDt21NOuPDo7n1inre8ay3s5yjUvEUqq2w4dUQT0tNhUE
dQYP7Kx3TIbccyAxSDdtqe9j0iqgznXZzgOSsXZtiHFFiserGYeDZXW/nWp+yYgA5mc7B8Lh7zp/
il/S7hKK5jsY+6cK7QGFGhi8QffXta9vu9i/MmUB3xRUTJ/xgXG2EcQMAhnzA+Or1sZhkRmqW6ic
n4IJ8IKidFiPikQKkVRXaNJeQUoTaKU46/kT4JeKXLiLqFWm4ZTxhIKcRgp3WuX7hL9sWbd4iCaF
RNWCn7wBkco5zwIehi804rq7SRRKNQmBqoau7p7IX1gZCriqK/RqoSCsBK9OrIoBs+qyweOmYK2t
wrZKBXCFMEYJA++DkSv5CWemL+nWVtBXXeFfKziwuHa0g1Bo2AZ1/qq/8WIzhY6VCiKbKMBsosCy
Q/FKxhnpuLfPqJtZYWjN8MlSWNpcB1ALWyM9OnXFpSooAdh2kGz//BDNybYWYG4BfogNTTbLRVX8
TQEbC6C4t3sOQ+QdVob1pBC70Y2ie7s71wycMwXZtRRtdwa7e/v87QasD4kT0Hn5qN3p8HpjBe5t
FMI3VPciqL6OwvtOzFN5C+Z7XaF/SwUBjhQOOL+RgVsHSLApwQWbChwsFUJYwhKeFFQ4VHhhTu7H
UAGHeYHuSsUhhgMOjFhhiUP4xLdPJQpZjLIkX1at4hgPDUjjCrYxjhxv50I7NhX7+HbTKxTyWAJF
ltCRscER61Yj2vcVOnlQEOWUMcgqVWDloAfjCGk54BVHDwh82VUYZiAlA6EuoJkxrxRHtCXwuRW4
GbrBlxGAa8xhOnewnTsFeS4V7lko8HOiENDIHfVVp7DQmQJE2zpKvEhBoy2Fjyb85xdta77JUJEe
B9oTMDEsLuJaBYwCoGa+zXpKQamZLZTHFk51OpTm1rixq3FFVsf+BrRWzzKONajWCnddwL1uFQC7
U7iU3MY7aCg8tryRsm+flNCzOaQYgkcAtbEu12tXQbYltO1EYbfF7RdGTNwAchcKzd2rJyEYWRh0
cLsrBfCuIXnfHnus4N63e4QiyFWn0N8NDHB82tF93fNOM+pfpsKEe+x8UwUOLyCItwolrsMUDwVw
8UphxrW5u7QZDyDCOWWygl9hub8r88Zd4I6EUwuvvFLg8uaGMA8o5yao5jzRG4zf6Ym1drlyAZ+j
Ewo0QOjSZZrkjMHK8AOFyYcyGLCHj2o92oh78eAP1HqTV0HjdD4sWOuxgq5rerMhwBL/oAKymwrN
LmG03zT+/2eH+Bd2CMumrvrv7BAvP3VW5O3f/u0nbwEA7b+VleH2Pf9ph5DGHwKGqudYOpmNHpnD
f7dDSOsPgepflw6JnrrBBejvdghh/6EbfNoVtiTd1vyHO0KYf6AdMzy+gmBVt4X839gj/pLSaOKx
YAomeYCIVYVQ1o9/Dvp0DdREUeHau8DxfrnMtK3ofjYG6pmg+leZf5b6Yf9sxHAdw+IvFR4xxSzd
/5oqiquxMi28ubuJHcHGdDuT6IDRWhqVFdH+oJr4bhqdsnVd6dPJy923Shv3aQbILuqzD1qCA5d3
m/gh6KpDC/4AMAD0CeI33Tx6hjv+VHKmXDqOdYwU7LVUpD4cVEs2ZLQBChQd444vAnc3NDrM1B4W
U6/V/yKpTv4lrU2oP5SEVlenrDTwuvzlWcXNmY5W4nq7KRC7sYWNawETAwhrI32Yl4mRAkiOzF9C
T3+nkF7Ksb7qUZ4tb4ynCGligH4h1LPfvMHv0rQfVm5Cjq0DjC3JoQBNTgQchGUOOAdWAJnxmnRh
cSCEo0vF3nStPbsxBSMRJiIF66T0Lyn2r4VurQ0sWwfcnsXGk/FLxFIQp0voUlbnGW6+EM8K+thV
WjNe1yQgJlvwsFsAMsx7mQV5iYZOJGjfpop9ZxhQBrrGcx5NaFdykp5dL95hXYCGSzWgRsS/jXii
hR6uPTJHincKRNwy0/xDt39N9OA3bgecHaox7GDADOCc+bPc1SSS96Ji/eR7/Sf+EPieTjqs/und
ev3z6Pu3vMuuRZS3zb//Tf4He+ex3EiWbdl/6bmXuRaDnriCJgmCIEhO3Chda+1f/5Yz017ly66u
sp63hRkMwQiCIFzce87Ze+2/u4PWY2WoHCfNEjWu0PXf/xKsKDZqpeTdYm0jNleMzYKnREnfEHPa
Q8ECWWDdpMBhRxOqgL8HkHnYZ4GH6XDVBQqXgIR5KYMTiiserWsEh8PQvWCUZVeOx30VFQhfa+DF
LSJEWcWbS3vLXt0NGJfDTVPRQQDMHfrmfJZu5MdCnQrjH42cXzZttIBrAzNzUnLeU4d6zTgSyq1a
H1mkTnu0Ay9ZVBxVaNq2EOP9MWEkRlp6yOXquR+LB4TzJHRN7B3n4RhLKXNYECYtYjvWygH0DHNw
WcrukkC4X2P5NIOCOCd6rR0wYRL0y3+YbAYuP2ohamgnrbPIaBcjCY3pKEnuLQtCoZo9kR30Yzbp
ngP1mFucMf/hOP2Lewf6XgvPmKka+t/jZNmR9nAcRmsbK9VI4CHGJjPUZn+deXXyBdj1y7//gdK/
uohNE0GQampI/Fav2l9PDG2Q8ItJ/EQolIdK1xlMxTkDGH41vehvVVzcKXQJ1zL+JSU0zI5LjrBR
yui3CoTMcfjTSl5Yh9uhf/337+1fnbMkYJqcLZRK1t8jXWWpLYoc4sDWkI9WW0YbEhRzh1WJ2Z5m
aE7PuBFaV/4fjsG/+LEY+5BVGoRey4oq/s9PBBSvbGajYG5zLfuZNFLgK+4HZpn8tHUfeOEEb6s1
n/797yqJ68v+bdnQZL5MmgnL1P+xRiUEPVkjFy66Imlw4vA+pJOJei07BhUgb2NVyal0vBz1GrTG
U8pOzK4RZdANE2kuWCDWQXdYLEtcdvlJTwj1S7jJBGIK2JyXySRrgw8D7WcyIzcTmdwygk2xrOQP
agvoJpvjW9EI50LV94Qrcf81GJaBGPFqfq6XTRjCMhWsDNIczs0H+goQYvW2J5E631k6C0CITRY0
qV2+hTMQS6MI6bBGq+QAgUhd0l/UzQaKzzWt0tENesQSQR3giZ4ISKiNt26k2QTFmEgM+Hcps39u
i6nlYMD8mXrtIAUkOiYxPFn29Z6ZZr1d2b0O2XlebzzZtBzVkMVAxCk7zRy2qvYx/8Bbm3QQidn8
BCD32kvr/2Vpta15fjQ61pxaGESm8NYTRTxvDNU1hDflRZ8pvZERONpMZ3ysa3Qili+aEWqenDK8
Zxw5kTxjwyP6D1mokqz+LZIWeaAoSqyxhmyYuoVB/n+eiQEJnH20NNOWxg65jQpF33Dfz8uyEQKy
NwfrbIoT4gypOikKUyqk1qdlBFid1eFuBvLjDl42mNDDRLKNAhMPFepRO8uT3s8TFiL2Kg4bcGfs
CX1AshAeS1m69kkr0QIB4YLphRu62/UUJ5E6UDhComPU/Rkb8HHmfAHLkcsOaLHQzbNOtGFOeMHq
P1JwSFNFR5AL55+u0PeGTGlC5OtHKe6aaHyEgog6bJAqu2y7jZyqzMcX9SsVSMNA9/40VYFgc89C
jEKlnrpxtVwUMTpmWvFo1vT3cAkpdlWmml1J8ovVZ6NPbJSvAY62M6yuXpcIrsZkDfc4WyzoYLtu
kaCNQzwRClpWEf1OGPWMRiKYZblybZfyFSaqhkpDuyHUDqjAY2R9wurYcmCrCG4SQGXN0sqhcr2r
l3435UGMoMU483OBuhqIHfsGVrk523U0XhRwf6SUIJzKUaam46mZk95dHVpGxkelPncjcLWpxq1S
az9zDdEWlAyCo6bH6mKhOjd43wFj6YiNtWNoGML1VPJJbqhIEpD53mh2pkBmdVoml8/KzWbiPEQK
LVuNl94LFAu1OpsvRv7TBMlH43sdWZ/f2ZpRwlnkInZztu5OJZ+oWHcOkgF3QATSh6lbH+rDfdsS
zjUs4FxS2iR1opS7CXkMZwOnRFzheYWaEONARXWhKHlFUyhBU5bKB3qmIs4KFmcFjYUJCt0DdRm5
qZTTvRBXRVb0vITZJdHqQ5xUpONEkHNXXnsSR6C86FXWiss43h8N1CYqJ8Nc4O9AZswmd2KQhH1G
tNg9mWXvyLN1JvQQu7IwXMK2Bl8pNdecy9UeJOUcjYZAxlV6kFp5eV9zWwhZII5A0zdVoD5rtXan
o5TxWikSuA0pG3QliJmmmrugHMobMUJups3Qj+NrkU6HRBqwuJQigMysuk4yiMvFAgCK4BFKSy9t
jFxutmrKWhqlsCAtwZj8CNkV8jH28jN3FByOzrAY98zTD0uk3M9D72Fxfs/L6cymFXlwajD9AILZ
TDki52B4HeTiMRRXT3YjigcYGPvWEHfywA5VY7dSrrmvRS9clIA781Jwi1VDcFFIAEBLn0m95Hoy
x8dWgHpCLyyyVUE+Lk0LS4bkOaeTgNakBOvU9vSqcNnYU0p4A6BzxJoJuG7EUWmObKl8bRQI822M
bVDPZzBPATy1KVPerW4fRP1Xzd1m14xcxxaJ9a0W3GV1fSlMbXf2Rys6VTPyIxOltTg1vo5WqjKi
5zQfvpFzx/YgBugOiU2YDr1ev0LiebJa+S1V92m97OtZju3YKkFgzfiCAVgRkmGMtwxTVg9Gpc66
jZbWd8tEaMZSGJgHhgLBB1ImkINXwCdgpzPrPTUJitPS6ZJZ6ClygwmSkgOWKYfBz7jVFxj97jtY
D+4MAdILAWyh+ZE2gow0jckQnOTsyPAVRA12AmZId0PLmAq/y2tS8OlE6nOFJuaYNwxhIReJDlvb
myWzmgiJmJ4rErW3RkmECt60sxrqgr8SIoF+boWpy91+dgLqRkYts25Hsl6xAkMY5DWvmO8xXirD
Y40kDoAWMuGS/n+tdlcUh+fVeZ0qHaHv5uAmY28hnzK9GuWy0y7G1aC+2WGtxNmE2cxZFkZheR4A
kjN78EDYYWEfAJyPkvcgfmpaq8PMxU0zUs5FKIoUXb1NfgKkcZglUfJEVwr0RqPvUwuXRFwF+L5K
nNRdipZsqEtXM1SinHoFlChocHscr5U1I8+TEcJbS4+GYBePzODSmVbTxLFiNP8hxG9c5a0XAAZy
Nct6Bh99niTW6hCYAcgOHBISh19EmX4Wmzzc6W2+SevY8JQIYGxEpLtTDb0v5iI9eio/9pE2dloa
T4vyUllg25hvVAwbzJJ1M2YyiSiTAWT4qcjukIWfuQpBEuBd5rCbunZVHjtdViV4Z8a9HLQ3nIKf
NNW2erUKtgPhGSk0I0hk8NT6iLzLiW6kqL4MzfyUc3ux58xkMj4VjLGzLaoaF4EhJ1W27y3jJ0lk
mLVmwxsdytuIitE2dMkbi+iuVKKXIHxp5UNWREQeE1zuJIq1kSr8+V0kb3+/lwgi4hlY3lqksPOE
AFKx2BqMkjY7ED2XOsXaH463SF+TuwU40kOCRbgxVBO04nIV+syPGdxtCeOGxMO/FyL33C790Uhj
stFujFtplm7lEhHlKWqeXKuSJ6qEX3OPoxchEnwIz2lqrJ9p/WGLyeQeCOlzVHXkwuIYmevwCo/e
mJSVFAWVE3AYS+cLaEHthRiKJBYfifSGNmZ0iHOFxYI1yC2+aPL8NcVCKbHmErXKqHsgD0irMnTk
lvQdJSIqlPm96PSHEWqFCzxN3iHff+kM+q902Idi8K1CAEehCVc861gOxM6bxwpNLRseT4IV67IM
kAZtqA9Eu8pdsVMbod4LVK6IQwJdI5xViNq1AGz+eIB/0NlqmQ8kMGhntquLXyrK5JjpnDv9ItDX
mWDeizKSeH5dUijHaNj/PvvnAzLGfp8naY87HdbyZKDXHUw4HUVmbnTNRBODrGWv1+y/u6W8I0F7
2Ud1t5CYECeOBcVj/Sz7vYlAAcn2tKm1cAve/hCaOc3rrLuLJAv+XF08N2Ye+0j/yfkOEHfII2ri
yEDqmCbShuiFU6UBASsUtxhlBOmdfErkiDM0v3KKs+yqKSrDUI9ou7Mb0QY8BEKeuqLcHRZQoPVq
6QiF9Ltv4odxyRUQD8U3IQtkcJ6ZHbLTn8OHIJhObJMmxzJgtJGYXLTppU5jsL7ldzNOh1hWXcmU
381ef1P35lp+DhYQk7z8BnX0IHeiI8moDUvDsByAbUCq09PQ66zr/XVCccoeCrv7uk1RI+IzF5Y+
mmEmyu5mRjEtzDDtM6J4XRTLBLRY+Rt137xnJDDvRxga3oD/CG2UlKMOxUPUyWQ8DUI27BncT2tu
Xb/G5ul4L/F5lM86O6E/ZFIpBzpttUOYc4kKMfla7WwG+9+HYsyEvRiTlkUspB8InLIwxjcqGFbm
RUicGjGFgxznjW7XTfmUpB0cAfYqv0f399nvuRIvmuTGc8A+Wwn7aPOrXIvQqu1/n5lqTyZYrUNb
AP/eNtaTLjemC43/Qy5zCYlhtKPj/homdH/GAWm0GWyKtaEhJulPMgRPFExbFWIfdkoN/kZ4RXsP
bF23eL+ito0nVrcCBYEt9eHenOnvhN1I4Tp0jMWsdJfkbOLiEvdhzdbNURUQBGKheUT6fanzuPvt
YXaJadqA36yQDHSzxBhWxZq/NP0LVRvbIxHtJ+GtOgEMCf+gcN+EokV5AkTLbrrkB0Qc90tN+J6G
BA1fwy+Au97Wqglr1QLkQ2WLuTcoLxvSGRBMzkhQ9J90XdbX1t9vkRiQzF7puDXVvNuapSqhQaLk
XgZeW4r12c4RplVyvoKa+FIcKFdS7z3LRKu4tvB+21xCbj1BtHyrESrYSZqjj8ySzzZIf0C9ekaX
7fSJ3y9p7iJRAM6OPsWWCV/04k58TGTAv8HIfzLme2EY1gkzq6uOMgUoXiwCubOFKiblYgpBk6Fx
GDqILpJuRa4uPwTA31me2cIlcfUO3O+CFHZLTqDhNEq6NbL+PddnJAODvMtokR/l+Igo24RKTD6q
WcB21WVkcvRTu/e2pIJaz5hpiXS3XvuY+gJgJUIBRfeg6QgB0rTJVYlNc0LR1Ggj0I42YaM6SSFm
u0njGu/XtuJYRtaqID53RvMV6Gue4jgjpQvZr8Nnw0/R3gANb4yZj1sTy2epxzQOEpkeRjoeGlVG
QtOxao8N41+FTRM998IlDw94KqZuTxe6BxJosL31Ehf37+GJuNMQ5NahBUreOg6Ex8jomfgdBCt0
BketvE8sTIApNE+XSebjAtcU3U3F5ZFi7VPMs6jROImRBwHzMR+RZ4A3t+hKwPl+MhK6GJkev8Z9
fBbQZv1x1qVwfnJJxEc2sTsZJ9Hhbz/Lwv4hGv5ohKQAkkghCBl30nFk/kAycGA+ZYnaclrwb1Rt
NScUCkxo3PwoJVpL6rUTgwzj3DTqJwJwejyEzNNI+o4F8a5QL9FQQvkkB+r3IwVYPnpKjMYv/SGd
j31OgbpkfbUyfWdvW7LxGaKjka99XAGeut5i8+IE98YuveQT8X9IaLyhpJbD945QR1wTYNac5BD5
Mbn124Jmg62xUHgLJzy+FY7rb3O7oBlHZ5sQh5E8rpQOj6CjmiZcTcZqnrNfgBktTzSGS9JatuSb
Qp2eCYMLc23Xd2O9L+fkLVTpwkjCcZBoSjQJ2tecoaBZpz7te5bjiDz1UYq8AigkznHTtxjlwpUq
ui0uvKgFmREFCxdtTLOm2RZ9ufJvSqyOI5UCAN2dFM+7RtBeQkYPVAWVVxcB3ID0YwzTYZf2SAoy
c/nJxSsYfgsNB401wUrf4hEKNL4Meyn4ISl9M7Se57EyNrlCd05MaCstRKrRF6JlwYlH/0JzCvzx
60wG1vAP7RUO82gSkERW3qKd24DTlg1Um+WdZ1SQBIR+nWxyji1qATkHU5oU1Miohkb2xL4+t0T6
2VGJNnThTts3J7Qjpi2innGDWaMbJskHWVYFl4a9mNcbWY4tcMCZm4stfTUBKFE6pLaIUICbTPsZ
BAFKzPAnSI+ETz5GQ3gTcy7qSZcFZD5AUeCH0kdjFxySLqMHWuTOXM/8hu13XaF2nOPooElVQVWi
SNtEpUFqJeNW4J4CeH+R6D8wasvDARaiVQXeGD/CeHlHcL1niXXxuO4o+I8W2i1bpGNoiwa7xIky
p1XnANM6wElri+R8V9bbRpTxdJY+8uFNWFXljknBLVY7QsHHbUlHSpITXKpm3DF1IzMFjj3H4xk5
BJuxkOH/qL82WPCcMJuv+mIArzfeB1P4bDqCchpJUMlCXfxa2THhxxiVxLSiyOwDRElVl9yqDH1W
POOQXY3N7ZASSJQd01yirikkotNgztqD3t4RwbHVOvmpxpRgLvEd3PA7hSTuvhRjaGfxcbESHVlR
s7UaEQN8qX9IffaCdPKYx1AtrEFMvCTjfDREwNPiAjYt1l6kYCHXq60Riar1hpZtQixhYrkCrHu1
g6jKiVqCEmeboncEm9LPtGOCqEGKebKmfAeLjBpQDGq8YBJvNUAet/99CMUa+cE//95YtDUhQO+F
tjQPsB4JORLCx4Z3sJfybHYMoHjwo4X50C4ksCw4PRTuS/a0iOK+jBSU1bPeiPvfv1tRcI/dCMdM
b+Z0F5XiGDCQXUazYFZneCLNArwpcugVo7jRx0whZlOR9qSFYBZmxZT2JGSS57U++31IU4RQMWu3
l3WzvP99CPososZFR9lFqfLH137/YYniIz3/yQuR5sHAMP0kVC5hj9C0ckNCd2BoCCl4JZW2yLYI
Ki+mZUpp3O56liPtIFr8IAjSKMFWrco/HzSrQvyk9pP3K5nBB7H/HQ38f1HCfxAlSCqS779MUdz3
7v1P/cHde/79v//X7us9Kv8qSfjzO/6UJEiS9A8R5QHDeBXvKzKD/5YkoLX8ByJ0SWMiqpsGsoM/
+Yyq9Q9RFNehEzhFhk6S9d+8RlX6By14SxdlRdPoxYvK/4siwZBWgcVfBz7i+hIi7wudgKRKivm3
ORO+gbrXjEC/k+ZkIG29dMYoDjGRLaynVZyt24wI6+rvQ8XMw9fDCFqB0e4zKW7XzQ9Pfx+SFlZL
m4A169ey9PdhWavUaX34/Ws5JSPbryxiGZTjrbIWtb8PPXLePR3GP//6x9eIhNsQ+kk0Zcj4nXF7
DeWVh99ncjvxRbUxySwyAtIQp6baVwmdMMCOPA1qZvfjYBDOVd6WWmeKJTTAbVZ9mqHB7CsBLRKC
jaqzvpusERpXlCNuYCLqtAamYGJy8H/oVjj6nZmfonZN62K4K1kYFZSuR8FV6KxJlrFr5/TDKujD
4Ssa9tFaRc9reQ28VvJruX0QNL7UrAWUKhjoEcO6eiTeZvAFg/cUJua1n62dIdOzgvOxU+QFf3wL
+gRdSsWty2LM8/u0bVqekm9HKS5NpBUJtHbX9ylUOhnH6zNow8YOSFidhXQo1wdpqaONOMb309CW
27iZt+FaoqU0QlbLWL3mFa7G6qwi707Saby9J3F6iMDhiF1r7GSigCrYQrswHGGEG9MOlvUlz+Oa
HCXIhWsBivir2EsjseyINqkGV5fSPx9CLS3/8td5rVsp7JPzZEq9D8C43P8+iKsP6fcZo7o/vyab
sr7NVFy8qy3q953/PjCTwCW1PgiLDnsoZ0eSDMzift9PlySDH6YbWdhmF3LEJRuwhsGMLEyc+qwc
pZa63q6vsnYxUmf6IkYR0z84n7LDv+4T3zsIvsRQxc58MrcdwWGiYM7vHTEZwqUmOrXvH3lm9RuL
9NznAYKJ7LZAPMV7aJr22NKmObTGIZVONaf8S/ojufhDb+Upir2ENADwRSzbuENRfrfkW04gAb5K
zTeZ6sG5aejCzDN9Ylfq9mzeR6c+TDTkGBCySjgSCb+75UO8Rmy2FhiCdvyI+9lg7UdcgvPCOEDd
xCCOH9+C0dO4S3o0VNKFgBrt1cLTv5MHDGcgfWQmS3AcqC46u7gUjIt8/Vnv8aKvHxueUA1pvorB
1o3VfTZukpzfFfaTtcWEm+HAArYwIZ1wmvCusj6qr9wDnTDcD0/xWX8WLNsKve7YXWAh8kkAWVvD
qDdq7ZDSlsqneQWM2PGhPJMI0z7ydYLKbcN7p3q3qwPBHBNKALt6xaSPaz3DSzHgQXPhACZQsvFw
souyVYj/9jRs5vgBgBQhkPN3r9tj84n2w0CPjpAgZefmLJ8iZuoO/77Np9tR4sAXtRzxnV0vjZ06
89o7ANhQmCfA2/Ievkf/qEyH4kG+KrccW6HGPQQ1Bqottz0r9IBDp7oEe2JMGk8sPIWRY+jrXJuP
lUn32cb9yWSYGEdM+tlFJ/LJ7m7Fh3Etni0vu08I3ho9oz9YzSt5lMYWUojAUWRqEmzoRBNCYXJH
Gj6pNuk2m5v4xK5HfJhrN+9cIG/mk3IUXgjY5pfhtFXf1e/pCZdqeND3ZKBgjHWY/Qn0kamgvsrW
D7kcSPT+ZJLD0ChO3PwkK9wptuozQEmsMqHdn9PyMhzr5+lBfsOD3LzgUx0th5NtOJoV2z4bxXcG
BwcRBrZsYgg9LfNl3OHoAYxDR1Cj7oRvzcGLdyLwlie6tmsF6Uyg7SCV4jryujMtseWHEBiHTblM
a9MznHSv/1ifqJsP7bf6Ra7Re/xlnbnvzK2nX0I4XDZ1ab5cA1g4gy2PrlgeqocW/kXnSDcq9dqx
9riQaMrplq3eF9tgN9zPhVexHNBDXmyCeZhseWW2NTkfcr8ife+rbv2RrZb7NZzAFwwncCv6TT3C
J8b7O5wsF8Nr7kJ5ReHD7uslDmy2fKeRISxQtQNShKf61C0IyLlnQDzZmj/F4s/PIhksmDS6l1Z5
5d5B6Yb6a9K/VIzAxqNGolbuNrhIdvL7vDjlHk8MS0/Gy01kES5e80qtBkzpqws3OslLNlCERyly
+czbd0givvRRfsOkx/ttEvPgo2MduEVRk77MV+1Ij4PbIkWKp+5G3BOg2xztGr8utTP65Ya75fg2
JP6yqx6SDtYVheWGYxlREAV3IlPTp2Av0ZPrttmD8AmVjeM7Ch6HnmuveJoid43npgNDqXTsn4Nl
B4VEXI1NriX4Jr9HadOLbyE6TQeN2SiFOwsd9x1pnz0BDxuAlghe+I6zhCJXItudjG8soMk2DTz9
zOV9zk/JB6Es1mf42AV7DXY6NxDl2wQCKqOSAic0vZTDNalPKa72C072SfB5GaIM4fbNwtEQ3tqZ
BJPJL9tj8wkQ/iU4Wbhd5od0tofQDZ/Z7efls6ZjTWq2pBCnql/mm056JnJTFM/tdI++hdi/HuoK
sYrcbXMvUMHxenn2nSdbEbYjAJ7z9MI+nL4uv7ZxWS7B8Ca33ys3jasXhq1s+AqXEC3f1rKTomJk
+cBrqKgqxckDMsXNYg3ogPBByDDjZ/TbFkfGzYK3aLiR2pIDTQad+5Pt+MPAwA8mj1+M+7+4YW+2
jz5DbBT2EwCIc5i9pOoJ0jRvt3OW07hzgpdmTz8yZuk7iLUPdpHsjyn8HPQjjpM03xW4knofJJOc
bxfRl0sSaR/K5iDEHjjhYUT+hETPaWeX4FqpPDEYXiDf2cC+OnfVwNtXfBaUxgm3MVdtz0Y6ISI4
pK/WXtknj/ph3qp3yv1yH1zNPWd0bksH4cXovJpbTEozFIw3ydJ4o8nFg2DjRmvC4V3VZmRVe1Kw
hf9cyBcZvoi2pzEZPGbe+FT6wE/8tVYkM86nmVIALeru0gmG6wnn4XzAKu8/ozTkCGpfUvSpRn4g
b6fVw26X5Ko1jkk3l+aKHdIfiw/6o0W+YXvAKlDDF2S4U4CUZRMJgsvBlsbgp5Y8RD1yvRmTp6X0
e+0kDdtBdc2MXrHD/5crL8zO0EwZU6YCIFu7euRGdF1fCmfLfQRDjd2tbe2ApZPQeBUeKKclciZY
enWM1eCQ7OQ7Ts9yQja0HU14ETYdXEO6Kwz94ez2SKM2IJjwkNU1dJ2DlT4bpGTI8CgIjrDjT/VW
naxXxi/Fma/CpA4O0WECm85OwzFvdeXylh5lhPz2fJw25od6A655zB7n1sVixSz+RzDc5g7AMlTl
Tde7w0Z2rY3iFW/dWdgM58ULCbfc97v2fjwor/X2rDMn+27epjtsreZ9xWssXnRQt8VGZxzaMwk+
5W76IsIreWpKRwSyeOAzwh1GA9IQ7PhCO76FdMR21aJW2AHIGNJn5QEPY0MIg4y9wh0xsW3ED+tV
vPXtbRi95grafTjnfgbh/UJDAEnpd7Nhz67NGwIlaU5ke7wAhAGeiTw+z7fx1qChWHv/cX+ozgLt
/DsWDiyATrlrn8YnXCGcsZVLjkXHFDG7K/bGs3RdvqOJ/uY2L04Y5PeUAWPldlyDDOc/+4fqXfUb
RIqrW4xziKEUOTPkxGyjx34XXoQn44sTp9lIV7G7QUbRniWShmBO0S5uye+5mcuFnD1SqoZ3WnrS
M3BjUAd1t21gdAI7LzfoyOqDQVvOQudC09U+Ng4nKa1fQpmC4i05I9IhELHtvYzJr1/2npg+xrrX
Dwws7TaHCIpXzlfeSexAKCK9e219X36xTlvo2HJfeSYfLdqUXxj6N91d35FP58jBlaqqvu+u4keO
zOTFJCnRTwufYRte5rY90TMjlS4f2d0+DI/NYyOfpNgZHpVywzgmfY2JcIVOf6gfZtkhTKW+pJ/8
8rXijff8AMi1YeZY8b5+QFSIMbSFAsv3G3ey6Arxvjft9h6oHf+1xOIobYtHtduRwFxkDNXAk9jJ
24wE6i69D268o34euZidIrwfys1QuPADKZusH43t+Yp6dSqVLKJNE1+M6mPKt+hFCr8cXzI89Yrb
70hfZzch3Y87PnOmKepxXPBrYTBnzxlBfLYbhWktZRkwyNXhpYwg7StybkvJ3P8+GBGJ8ivG0DSb
t0ChJTZEFt71npj132e/X/t9CFX+1RJVdhgmYJ6sY6RQ9bqjdEHiNnCmyD1FdwKJFXpDtE76fp+N
0vTns5xAUwze679kagvJJRsOkyUyuvn9j5OmdMX2//rdagU7XFtH8p22NRLYoKnwUjfh4MkFO0UC
bCpXKKkz+/UHyuZabCp81BY8C/L0kGvC2VWX2W2DotmTOcqy//tUqajzZ+IWHRm9Jolkblfewu/y
O5ZxuTniiRKN6T8tzZDpxkZryBZ0MIRDnkEjMfFTuZKLtUoZv4H3HpqtwhDU2JuVXXyQNGQeqXiS
zsZMTCWh2uIrQeo4jQ2UhH6LUHu0KSZPA3OMyRES6D8bXlTV7/oTUxFHvugX5TRLuIMOguljemNq
JBte/l3c5gfB69iLolDjZ7D/vOFNDo6RE576V/mVAmk58NvfJViUbMHptrptnefI7X31tT/Vb1Sd
4YjcDKq4G4MsMQG52XSph1uNru4VeMKD9KZfug9hdsPvDkWFYquv5cagQYiLQXfm2s7QN2C8/R6+
kgeK1Cp71D4YE51hCsEzSqNH7Q5j1fRR+MWOjYeEpPbYETTLLslpfwQ4ZC/EuX5HvvSWsO97Nc44
8/joTHu+I6B1LZ7tUXeC1/a7fENkiBKDZFRQ/NKBDw++JPUO3xbS+0ACbNnyc3MhfQFXLyHPWKC0
I5gd1r8zDG9c8OyHT9COZnaxkc/hrjp7hlJuF1vt3O3D0win6W5mHAQZFxMMA9zZFr9GgEYJhge2
7F2ynQ78NOzF4Nit0iMQim/ipZbH2m1fAr8KHAjQiAxswiJKRDGzPfrhkbOSIWrxkaAiG73htgpU
Rj5qwfucnIn7WHwMngwHts1O3y24C04BTEGv9eO9gu4Ee7zdb7oPmUPwxavWirPMTrEFLd061gds
M+HSMWDj+7d84VF4rNH6n9QK2ynr+yP1s3KgjyIdJG4sF4jAKoo/R8N5PnqJyXFtFdt4FAmkAMMI
z+Wr2ma3JqDCZ0+FQMHGRJ6xkF/Bukquug8PqhcSNevC7CcT/hG2FxpITiPkQnxJHx1lA72Zm611
QkJBfsS2vyb3xMQat3qPlx+m2H35Fl1wJyqlO38ZjnIOBs9InPDaBZyZDsfF8oYPzM4KR/k2j5SW
euzJX6RRVFRUAnnM2DHwvYDbsYOLvGu2042jUW8sv7oPaAi9yqqdXqFf5yeql37dBG7jN7XyLQoB
tDd96QvKTnpkc36uco8MCA57VbpoTmtktltkiNpKsN0S1MmTrvWRE+vqI2OEdeHMHRpmgnTumehf
Vlbmu3GiHMjNn0l1FOGkAUCidv9k80d5iohytzbLyARcrdsec6IREiEdA3oEMMiexR8A+cOROlIM
nfFtOQbDO/gREA2Iz4uWN7HRa6dkW8pS2vr9u/aRb40c+R7a8D29EUP2gvCywmtvvvg87Uhyp800
sYnZTkhYmO2ETqGQRM1M21ZuxSuWknDZ9Fi1RRee9vQhQQs54HVd+y2t076tZ9Gb+U0XgTiRCydG
mq5aXxpAHPD+TFdAeKH41j44SSKSNuxJcOo3ZXG1j3Y+58A1Eh/1UfJCmBPT3NcKMF7qlhl7tcPw
0N5B7TNgWd8q1FkNN0neF82JnX4edZcuV/IwvsGZp5Whhw59rFm7gVAWDJS1nvidNV77NsMV50Mb
T0ysF5bv0AFLa/609L8yH9hi/oa3GbpTvhFo+4TxfjxZFNOG234Eps9oVz0pvZ0/L26/Se6Nzk56
e7nlb9bjrN0heRp7V5KcLDtn6RNz5eIWlg4TrqHZhOOpndY2y+omTu6mgLWX5lB4DARfvoiaw5j0
seSmR+FA04E+QU0P9bjcSHvcD9vgMrsdhxPa2Jm2ljN1Hke3+UrPXCTMXki7UvvTomCG9/N5k0d7
C/+nbhPVcyV64WzQSdvWYNau+Zn5e32qxme6XqxEgfbAtJsLmyWn+TA8444OGg7eG9cuA3PAnvf6
w/xQWjYaJcTOxbFls1Da+h5Yq8vZtL7cGegkx7HGG3Rd7xTkGlw48lxywg1Tr3leIYDcYVENVB+s
Gi2wV0TNCqkAPXfeQ3lNT+OD8aa6veUQHSN+T+q255IjZuOj19xU8cU1vnJPKLRJJzT2J8Mu2UYA
K2QXY9jcu+gjlsL37+fNgVE98TxwEzBfXfSVUbfJ0fIeqLODTXXfVr5GIDVIE5SiBvrUfVQyEnUY
CksUn2rr1jM0oA0tLPObpdYcGVJuhOxFTw6sUNxFObHgXxhIf2CzPP0XW+e1m7oWreEnsuRebrEN
pgUIgZDcWKnuvfvpz+fsIy3p6NxspbCywZ6ec4zxt+FZ/mm5zVceN123MzgDZK3BHxEcWV77qLMG
l/+hCgfLWFmcrzwosEwRGzzh+UPvD4m447Fe5R8h7GCQgAdkKUjd78ORJ40NG0u+mCQGIFRYA/FN
1PbYN6bbeoveH2aQwXIqtnSoXCsBo0MZgrc7ezy1Akm0GxXL6GWjV+hvee9cb/UKwMtzoReHFPPA
vfJODJ6RE+XglvO2QoRCtt+4NrNTx2r8jlza47WWrIkiSDKcHF/0yTVqD8opiUF1Z4uA69vyunxm
dpbKZdbJcoTtvQr5xtM+CVxh+MkN9/tjWHqBcU5I0mhZCnSVHNvJUhgJvh0VNlZWqeyi8V8WCmlD
1rpNL+RFkSS16oYjx0ZduRF9sm/r+dp6YvtdDa5+B38NqaFgdFprnrvhR2qulrluerrLJ/HGochQ
ED5A/11cmmBbbOJ1pJ25KcqregsuwU391ij/n/p9jzHXK9ZvuI2vAs8iVYTZryN9xedg34x2X2yx
yucZVTlgkVxsmIv4aPRuBQ8mzGmWxOvwQ+1FOk0LOGS3TH2e1cCuT9Ln1JPIu5o/Ry4F5dylfdHw
Nr3j34ZAMHD8S8NGsoyjE7rFYhuXzhp6+U3fZR/JM/ytd9i/eojz3ar+G+h3w1Z6JRfh16q9AMB+
HdrAOvlWGL/Kwms2uI98sP2qLMsbhyT+8eKVC+t3y7Pb/FCL96SC0cVBgS+PwgdHerKDNrQzj+VD
gvf1S0oXMaWzeWvR+MQKsQIbJjYJ99D2d7gD5PxIXQarIiNLUk9/syd6/ncD5Qj2Nz8yxqulU3XO
cBvc4J7xBFDgDRx8pDd5OGVm+1xe6b8hO7AFaXiFZJAZKZVazStX8m48yL/suouid7ZhL+xZZe01
/1ZdZJZ57ZDaidP5YYIX5fo/2Dmyg6NaKJkDxbsZ8GP4wVBmF5+r58BjtX7xJgkaatoDw9ISR/dm
Ve38rUrpBsv9COEtejfv1ZPqwpvcpND/8WFdwa4X8DS0u1+OZTRM+BzeKL20PZRs4ISDdNLm84T1
HzNyW3Eozp/Zo2rFk6V1CkBGApG2lBm+BIn0EJb0PeuWZJHiQGvXf1qfPJwCVpWvLBb5W24drt8K
R/67v8MOjdV/G1+n2OGBcrh83+/py3yor82NTTFmfsL85iWiTHDlrfo2f1qvc7OZbklgo4HG3lg9
kXYSTl8cNJT//kF5J1kx1PfmF9UJFN6cRJZ4Gz4TbhK9aJeSgc41wU4bCwmW20F+wfAufe297gcq
AU3ZKTkSMvTQ6hV5xfMqO+R71XBxRaLdIy6jxfKuBm9ZydvStY4BeZur0BtdgqlyKnDNje/yGgfx
VXGIXMVDGXC29qM3Pg8PaWMeMNIuaZawPVsqh/bESBygIlxzN1BeIZEipoSiHentJ1TS/soeiYJL
HVbppwSDpsdwB84s7RMzZxN3MLoxdj6qydKtK1IiViqZaQdtg4kMcMCLGDk003CXGeorKHXmtcmE
t7PxgiLVVXBJ8MnMbZGuzWvXrfI9GjA9x9KfUGvbIPbccuTTbJteZ+wmBVqvx1AnX6YNu44SWfZS
yaVAJJDvS9rVu/Z9IOp1rQ2O/CCxy+GmUzF3mPLTHJ7o+ihMn7Fald4x/dgWNzq+PYDAlsbCuFXs
RMf0Cf//FPEDAQo8I8mqeROZtLLpBx7xc6wd4cP3hsf4K/LxUEocq4fQrruv9g5D0SJr+VK1dgdp
L1xpd3MvfjK40noSUIVdLW3C5/E+1K7Wrhc95HdMhcS7YpoPIYtE91bZ6fMa5100IwzimQ8VWNER
IBaS+I6NOWRFqB62fIBTjI2QMb5roS0emPtM12k+KK6xMa/VI2CiBARFMY6VEHSiijHJs5q893yi
aDs8ouGqkQU12RNLh9n8gUn6F/JpZl7tM7cNoaNN6gL4BWxOU3ImRuRsIx6GssJ3axu/yh3Qww/c
LNhoQGySF52V+SilTsOysIPOrsxb023KZo11UUgbjGwrxlWX98MB7eAR4uEJLhJCl2NHZTNR/IIp
aAcPHDuJ9JqZTMvL9Y+IqcES8Fki58qn0ljxFNDDz8/TCWNu1Js8MGfza6g9XkxfkE7w/t3kyK6N
zR9oRvA9rTE4WoMtnqsnXKKCFSYy63KX8fBQKnOQBEc41evio7trn+0h7hGXOMGHyCgZSp5iJ78F
DL3f9s0cl4MKrE/fNLtmTw4ejlW/ygthTS/NbrB7Gv7pHfUnsUKRPUcLNhqSBetpJmKUFfSoZ184
k+XTVQvGOfsQqM/z/MRfDKHaP/zFuRyJKA/Tis067tBO7sxkh9GwpuJuuAKkQ1+T9rY0k/W1ipYz
6yZ94heWmx6SWUBL8jJJqBowOjM3c/PA4wb2lJbawET1auw2ebCRlzoCTBT/hQ7Tg1X1rFKUY1gL
RvdQ+h2oKRFqhLA3Ai59K3yqzA+KY/8JdnGN/fF22FEQgBfS+DnQf4Wv/C1jtiY47Ja5ddG0TZTe
Na++StZ6MilgVvFXiEMBR5aD2e9Hy/S8XqWik4AGpycADhT0MVYIOCw82G18nsWneF3TfB2Dd3j9
pPeRWYtgz+PuUQEnl2gJlFvewWyusgu0ROaf5Gdka44ztzuGp1g7NlhIujUHokHyjB1s2LKf+LhU
xvGDajkrD/kIRlR41GjWh3HLFDu/J9+B7rLUs0NiW675xiTAgN1F68WYKbuMh+AJ+LR9IQfKxBnc
2vQv9PAAitZbjdkwA5P4tUqeeKSHgk/gCj/Dl/nGISdrznIg9YS577J3JMYc35xwme4s8tgrrtk/
2aWixNkaXygHKzcJ15NMUs+hpTnYaA/s0hG1csLyJMEvBdWZcPd229rJpzWLdtmrufmUvS9OVa9B
k8HLEG9Kq/aLA1SxMeq9FaZL4BZlWnFcZBB3bLJOAtuRDDI1U9tUAzItN0bJoxANjDxtNbOuhVV4
w2n+mkDelFysiczcC99TEjjP5a0oPEPwABdAHKSYmR0Rc4hHztNwt2KX0GbYQijRCBEzpHX3mTDn
2eiMdxxgQda66jbH6ZhvYeV5jI5YC1R2ZIXdmMtOkbP4iV2NM3km2gniHCXhnaCgdfNKmEMpeAUZ
ejcZl7mYue0hYmicMJYiPIta7Brc5ytcx055j8x1yxsEhgDK8mDrA8wZrR0viZPFglQZ+hYBMDqe
AUJK+K4/6W6zS7hSsV0/IsgG8a1a3mv0Maa2j+rX9hVvwoVsOgOYAxgNpLobDiNLyg0V0Fc9AJ6S
k2T7LjDWAzG+fpPOwjY7VS/pM4c6iSH4nTrkkn4DGMX0o2Q7bAEcSHLxkquonuLdcNJbMrzs9Md/
FV8nel8K7231lm/inezMLlMd5YNhd/vO/L/cFQT4oIbe1++567vCtr1FVz6O6viQdsGHt+goIBiw
XWt2eAxO4zHfYBYInoJWEukmmescQ4h1X+oXHs3xhUXGhidXa+2qPJAJC6cRre8WfZ0iH/riTWSE
cUeW3LabYXTxokLLI8a20aIFXpU/ubKvE9dkJgRWxhHNtafcybxm8kL6qxbMZT0hSGF7QZyfrItk
F2OuWh4lfEiNbVdiIOV26mYewTIwGXUzf60nrP4VNnTgD6O8MTs7Jdo6eU2hqbfGvheepCMHSz3t
gL64esYfHodPCKq7hHxtuqS3+ie6Zp9jbuc/AMIX/jwrZrkJO1QJBla/NEqvzb7+qUWWCEf6yjjE
t1Jdmc+muHw6pf9DlhhtVSsgQMy/SMcRXrg7fEYEcjNl2Ku87xzjqJ+gCdni3nwGOxzJHPrGQo2I
WfBu2wAoxJIz3uv7/mP6SiSewVX8C86xbZ/qcdUia403w3APuidJcRWKtMTNL8Gjh3rPZNc4GhsM
664ita0K0LmZO0dBlSXZGZhdSze7mj6jV5oKP9vU2KeC6ACeuN0OWxL+uPxp7svARul0S7MV/pxb
dgcR5Qr5gQerwBPLq8KV5PIYVIgrqIHVc/AjPU/gzV+Yz7Q2tIhb+iMs4nbGEo78yv+vX/PZmVkd
0Rt6CormleAUV+FNfx6R8HjSVtY2rS1/NZQo33jU3xncaTch2GIXuwFbvBnThi2juda7cFypr8GV
TUEXFyKaRsJatzQpT+YRBjWhYAiVCZeSbPT5Z2kzfCXnFvBNOHfiihVf3pQ3FZAnuqaqU97Mz4kc
CIY/++4F8GQm4pScEkLiV9MLf6O91BfxU90nJ8xw5Rr5pUOFBx9lvM/vEIqDBWptGDQwF70CMmt4
Qbiw3+SH7GTX8J1lF1xFhs22eVoIuZOTHT4+aKsTJgzeuEmowX6MYdXeKoZCNl5pJ95jdFXZ8K7x
Dc8AaUVqVMcOXhB6tsXOHVpy9Wnxb6zDb8oFtQ7pJrADNk64C2Cj18x3gJUBbuFNuenPdNXX4aXZ
LxXyyMELEWAFheTGwHLfPmUn/UlwuKXxe8mDtY/W9XN5sbbaOXGq87hRP7EHUoYVtJA9hPCzabnt
I3rl0Q135Ktd0qfBAV3ErQ1aOLwXxvKUnRdH2uabCIugtQClw/Dg4TFmYTD/rLB5lMuH6F7b9x7B
OvTuVfW9jGyRCx5AKWcn3AukAnGdadfRv91UL33WA/eg/VY4DzK+9vCTiaot9/mbWUwYuETRddoK
egdEN5YvxBumDoCIxm6+KPJWP1FiJtWLtRP3GdsnR091YF2Wu/SGvM340D/5WUdO6Q9bBAtFeouh
01DZv9ZH2ZGo2CIqIqeSz0PrxiA1E6bK8Okwh1/xCdVgo9DZVri7rEh3YYmIL/UF3qcA5EZHjRdJ
/EH1XiovPUXS7EryBiGzpa3Er+rAX4Isayr2ErpxH64EGvB3ItLFEfDs1b0fOiSZvmQvWDgyeMkX
fYbAZBsi5rU9CrvkpdvCokJWAcpP1/gsH8LJGbZU6iVbH2+RE5MGMfTMVyBssjTyo/TGXPdnpKo6
BPf8sFDEAofgLH/aWqfqI9zyaM3MUx9wQsBtEGxhvHEQOO6hz6E2PPkwYuHD3esHiVxYGmKsx749
PirQXaZTu+AOo0M46BemAouk7p2T7iVJduYFYtkFmuulfateRaemjk7X5Qc7NmLZ2O4hzl+UEycI
J42+gzWkVtDQGITbFJpSdQxw7rhQZRtnCesItLCUx/Vlemmu2hnN1SZNtpFqG1S293rDBnPq1LWw
t15SxNVPIgQSTmbGH/OXgNmmAylmH5M1BHltDeeRMQtV7xQSHbOZNpbDTvCoDWe8g3XX9/huEWkC
qZeJ/8q6kQ9jUn65gdPtHql/zEPHoK5lYsxPF93NCkh1+kW/Yj3iFxqGlhsZbFKaJrc6108xNQdt
TWXj/lzIVMpu9t1+0KlG/SZ+st79K0JztkRxceRwQtHDVoB60h/2efkUi57+pX8lmHRxqbiIB8NA
AOYBo0cPeqrugV/xOLk6wJV4Mih2Mzs5D1ifesU19rBF4sHsbONDOHPSZcopC94qOCwKi0ulnxo8
cTq0g2flz1F6GRTPD5HGQk+yMTgA/3ulhiDOhDKjYIzlVMxWbsHXmLho3kJ4ErQ5PEGmmxXegEJJ
spHVdKTmkiZGq6eivV7VEmxZj1VWF0yXwV0ZXoE14acNIepY7NuNnb7zt4gERAs/sbX0ro4Vy1sm
ueVm+IzyLWnXELLRvNshhui9q+RACcuGPBNurfGZ3YzDGu9IstCuk9f+jBusWnmC+gVb0F6a1wSK
auCFxQEXUMJVQ5XQFY9k2QhmRrBi5xOA9SHxGTRttvQ17ULMI+1oXkpYuhvmloHdkIXGWVVBlMH4
gCJ3bE/G1gQ27T285LPxwDkNLL0O2HACb5ieg9lRxl0FCULfyd2aioQ3nKXIY6CMliuBgPS432Iz
LHGoAEZQW8vL5a9kNzmVwzYT9j2yxOI5Sk5ydsxKj6R7abQhGc7CXRi2Q3/OJ2Kj7AwMsgCY2I39
UUk/J32nmpDF7pPJuCb3KEuoy6iFKBLwoqsZhlCyU3YjNY7W7JXcjjmGq3ewyP6FVDfhUuL5vaPr
DrS79KE+W2foSV0LN9ZuAawLTxBWFEZ5uZaKj0DdNuNBG+Fw3NmYI33b3/TP/vwH7HcL2v8P5//7
VlLY1fWMCNV/vwjNYJmO1PDh+AdYyRMOlNX+sMFde/v3s8nX1bXRGufez6wtxkRu1jEYixuehFJg
KKfPPnrxAIX531dGCaN+mCRtW9UHwj/oFf9+9PdLGV8Jp2kZbf/9TJpzfk2EXrf7+96qSVmoKmuD
3y4jg1huXHGMvqVh4dr//axeflElUO3//jM1SA/+vvr3i7/X/fdPTLVbcitRHju9Crz196IsNRV2
vOUP/b2UnFoak1hOdgT91Keg344l3bg6QVTpfE/hzUp6ZG7qoSnWftBuJjhActy29jjok6PnbnRL
uulYB9Nl9JsW52HuWpEp2knPo1Oahh+Wkj0rqvAhi327VlMV6TTwRpRM20iI3ZrntfNPYz4qm7Ag
x6dMH75AjpARp+M6hU+XBP24mdsmwJypoMljgmCRHKil0GInJRYdQ5BoaUyDNrmDJ5oq8ZMQJY+s
L4YtKlFY9iI0bVxJIOB2EcBV041epoNsR8NHIRbyXkWEy7PsTabqcle2cc410sR+3Ugmxucto9Hh
nLWytMfiE3TD0L7xjmMgoKxLLOXRajpmPb2jCmlW6UzB0ZHxhEXXogyjMEojIMsIfqcG26Lpq8Cd
OmiNzcBBmDQMmwcRp8sifPSxvCtgpy5CEh94oLPKEmtncnMivKm4ILmt4VEO5buCeGmRrq5FkLxm
NYZM1/fHQJd/GhE6sx7C8G+k9TyDl5fhINrybHzHmfZB7hXeZpHmY/aAjbwBM2E04b5gkrnFuMdW
DaC9XpEkRxJw/EGcXiJIFoacjvVEajGPc4X9wrc55rE7NGBv0XNJ/9DAFqt72oB4CtCDoyHWcDyw
hcUJOgrvUd3nz35BUBJ55RfyG4gCVbTpYIRFvskzBLciWs9do32Ok6flwm4W2AOngjg7LrnbjFDc
pSid3SjrHr4Yltsy+xUxeUDyDmEdJfuAiaS2s8ACekQPESpZp8Ye/SluMeBvl70mzT+iCrWF9BTj
f8LQxIS0MLd05InxTswFflu+/mmF8xGTNoZSpgTzWCQyNIJem/CJApXZpkyAJVkdmA6lhe9hZE7R
y6O2NZTOLfpx9Npphs1NNBXuD9lK0Yt7xUp0pUFiDokFAipUB5EeB4mZ/tZDWO9Lc8LHn5mIGU1s
0DnPhz+EIjwNFZAnpXZdLODc8lfNgu8Yq/tNnnK2JYvuXGbJtszQZKzaDrM57YxZ4SmJqQbUuHkT
sBiOSiZoVQtAVKu6gKu1zmYgpx9ahVmcXMcPI5Ip5Hy4zkZ5FRNagl7ImSv3oKoic8Mg5mjDU+Xa
qeRQK2WiOTVbWVxmGvlQMPmHs89CcvyeYQTZ4w52JrBzyUJe57+DkHQHKWHnVmXFsbqKijzKoo1O
INuuo6SJ/WDc+DP2XBWk20JW4RmSKz+2qbiZbV/jQC36tMDpW9/rXIC+YnqYERGASTlT8IDoVM+U
ofjPdXzoIgqVrKHqy8vkMgQfUTPuJBXelwjJgC0W9w/NtCcVGCJKhu8Mt2w7iYJHWAApF0YqrfBw
3EwKJlFRncwbuVPzdUPeDTMwwP8+Z/hfz2pEA5y81vN8V5PzWAJNtWCIYzJBfu5YwWFtrlKBIVYB
8BlZgpMlk3gxcFI4FTItTDJ+iYb4No7c60LDEAjfDRda9mdT0NvjE0VahjwpJ1Nl5Cio91yXOKv/
KEATgEssQrbNMHfytfp5zAT1LWHcKCtglQaz4CDEpkkVdgNFhDzqHDiN2e6SPnoneSN2EdHtScU2
YEXOoNY9AOmIF5bvwxKJpupiSe3K7OJ0XyjAxHFF5dBKCgHjVVFj/TSdZCKUZZ3QJfLkaXtqZcmy
yyG/MzM0xsKgZIjwY5hr5DdGeMqlQH4S5e5Ry92tINCr6AjTbEeRNh5HFxqtJnzKShpQDdB+1nAm
FzFTKejmjKEs+bvsb7LgPwt+AE5RCckOLmLVavtQo76ILUBy6+CzRRbmQ0wYU/pZDICPQgH32dZr
xsEV9PRmjYtcQe/eWzP0t6JBOTzonxg9/kytbm20cehtXWQGjz2IbshO4kMtkeUsdJC/SQRGQzW3
pCJxTJV+CYNVVOSBvsHz6RKVTUjUinVXiyXPMGVOwWMGU64ZIYqYsxOwymH62U2AvgfEechjfZua
6z6Ab5iLDbEb0XAXu+eJXMWmeF7e4s43QhZVqAsbZfJXUqxorJP0HlkKDoLkbuzkCIymzqcBGAeO
B0nkcAtbHsW0mNq11VFM5wAfPWHOUKBFm4QjwcaiyF/3vXYiYgFys6YWrlXP204KS8zpU/ISMix7
gXkGs9ngnjsTojdDbJgHcnAykjCiLGXGaEzaOksaBCL8kZEOp4sdKcNLPWDJG3HTO9Mypm4oxNWI
e2qJbYYsAe6KUEorvWa4XM7koAkTsy/ZFwEhWu01FRkaZOZhboWZyMjFamZoWphLpASUfYzFO0pK
LUjdgswAoruQ9sUBU/5S87tV75O34dOFJWS5gKDRwkA8GaAsBCZTQ2Wqk7VRXxSpFNxQEwEJSaW3
Y5WpR6PT+/WcsCsD4Ck0rAkFYgqGKcDFhjlSTX2/qvSm3ATEKuA+pWE2xMy42FlTDxbbge9HBip5
tv51WCOUSYSiwcJdiz28qSFTYyDlQ5CvQ/lVMpkuC6xvt2WgVsRTRJMo3DDJMx0fHTj4vMb4Q82u
ch7fBVxkyYZrgbqagTk8zYiYyw4ehCnJtDG6JQ4TzD9em0ST75n6NCk1zjIETwgdA8xJTFBstaTd
1oCupUkAoKkNj6kzv/w0u5JdMT9lXd/sh4CoYPAAWY+GvSZjyKFbNPV9xhSqtsyDlWcfmu8vGfag
+EV8HkPT2Clzd5tYgSxWyhqqu3JoNihbGb2CNMbky9kZtRc8rhntDfhTpqsPorU22P6RhYv9zLpd
ROWKiLHWXEnfSqLdC3T1zliK7jgQ/uRD+uzpXxxMlVKnlNRNnkBdCJvn2TC2RGk4UgSpQZaqDb51
jAoDND9KgE1+MxCv3GLSGuEwmAn5U6mNLL0ZwRjgQZnJa0uQ8D7m/TutFtQEfBHnJIRv02iGnj4s
EdUTRvsXtRW9YGKalMnWvKmM3u1r+D9iA7KNkTdZx0289aOZCI3hXKVFtMmVcBNGTK9wTQQ7jCtk
SFGHWHFpgYQ6dUNqgabnmI6sp2CQpq3RMX3B2cNJhB431RKQPg0xqlOPupDFth4Ar2o6QkZR+tWG
9ssUW14WnKFBT3vqOy5YefOz2dxWB2ts1ess6+hupVWZIUmbKU428z2MI3WNAnz2LKwDIsAc1WfV
SrN2GEINMKUSCHmFK0Q8yzbSmNKPjVzR55zLIENwOyElxYvUMFvcQcssxCLPgHc1HEeLU2IA+2kq
XbKtCTbk0N0VRYm3aZqdISKMco3gEkJ9hQW6Q7qZ4opC7eaofZcwKGM7GdVexTf2uYwTJ5BDDJqg
KpoK5l5q1b4bVjkcMsvaTxbtiqWVm358z7WjXBKLhVQYYzQTCGjCkDMyXnEGvba4Wdsd75XLFMMm
xMiPAjJ5mQLzM9J6zVMmxVo3eftMJHBwyFS2spyQKy0RCLvjgmLoT1Zvvw218g1jDp+arnlkcgSu
IRZPkV9pkIDH3cCT62Q6+Qxty1UgnpWmJEXSpFxx2HPKqD8F2PqtpE0VmOLaLHCraamcqnw+DFr4
bQwZRkbBp58w2fGTaXGL5aRty4loPukpCwndEog6V9aqVEI5LhmqdXS9bP5WdREtEJU2KppNuTB7
46rbWkYl2IEC/wvBJs42DDECas8GhUilTXcVx1NvXMxAAkxtXQuX0UrMXEyb3gqZcxgzrk0iMTsq
8gSmUMPwbZqEc4204EUENBui5i0b48YOlQHeJK7EGw1ifrLXe5kWWu73usL5gfseIpM846sJ7pwY
KKTJRPDTNKV2owiqRh2RstV/ifMc20Kb80kvbYUGekBSFkpT4Ooa4tChj6ApTkG89kk0hkSeXIlc
i4gRA6vlbhQ2wfJun5KIJGUgRnTRzPNxV41oO7YYwZwlo2Le1awTcdoJ8CZGYnUZS/aU51gqllE2
uxxa+AwMuME21nNTHup0HU7dMnGDK8jDA8epzIggHrZKIWOlUwMrT2F7YaZwE1IsqNRM8BSfGyhI
NTOQsXtPujyxddXEED4U7KYVD/4EWitqGSxIxo0TZGlNv+h0QztJuwwigFg83eOg86wkZnSAZ9M6
CwQuGA+7TATU8KotViyhL0GrtRa9bHNH3D3u5RK+1UnNc4to4dmrUrWDEauFG0UfL30v0XnXFDO+
EjMKrcwnRWf2GgjBcfaXYllicVKXQshpjqzzzDEDC3zX+jTrrmYaFe8loT8TuXnkgxMI19CwCUOD
hr2vngwxfk+UBI9MjSuEE11EPjwsQSN5lkfY473SQi2ZuL7ict99+KQKWUeyb6WvIsY5SNiI82wX
nWJGDGM6ERWFs+QmbTWwPhHcZbSYTXMr1RZgQ0vq9Dguc76GsLY6/CRoeVdjxbi3zIbVYarAOnWA
ygdKq0lbEUxYRPczattBMbZh/Fyk0BiCsP0KyR9QsGuF1U/TY4Grj2rriAba/nzg6pYMZ9ZBB2Gn
jQC8hYLmguAmtNzTWHucAgigawWeLnxEvdKHY1gY69LShmWUgcZbhhQXyX7n6qMCYXWW821Xw6/r
1Dmn21btQYFNTmipuenguNQQH7VC1RFV1b8TW69mhdMh64g0jadah8QI+2iwNN9RfX94apLQ6/v5
OItyss9NeH/jXO6trm2csvbhDvqRq8X+JakhX2MLtlcWeEcjpRVHt+aupwYQnOjow+uMA9AOQ5B7
ryqQufrGWJJUdfzistBThRlWzAjknmvZXsk7hFIt3OlpYl1nwlrR0DVMdyUlPJfkHBLCSphVDcdB
wKof5kIkhy70HbrgV6gZpVjLX3N1DeVIcpdd3+CGIjC1m+hJjiK0waSQFBA7ShmGYTlVXpMQriMJ
/lWsUYjM4MJ8sFRKX1NdwX95qzRoKwQl2lMWXpiYzJAthk0uyr9slN/hXOGzntPd5d2AhZ2SOX6j
Chi2KcBrMs7PuVm4emTR0JrWC9FKPIQ6C9UALMS+lkEomw3iLONrjiI4IRDfu0ak29GHNxRUGMCS
wnggdEqwQxjVVZmPa6GKwTmENrxM+qcZPCNxKJlJYc/aWa4xyO9iC5gyLOjR9DAGOpdUb97xvSP2
Yd346sMv0JYiwdqJLTwP/M4/WpGhUIxnQFzETiQPlFUxIGVTVQ8eOQZMPll/iqhiP9wNK0mBeCrq
uQzNXfxU9OE612AarU78agEVoCEe2yKGKx2S75B45vMMVV8ugMqKpY/VaOEkarhyCA4CwglzYAQy
ptLBnyMTFz0AkQHwamL4FSiR9GQUklMQFufg/BTvknLMr7MifpqlFH7S23xrPo+0pL8sVoquqDTf
nG9vmc7sRWsDqqxTUXU1ntY7bQzGdVBFbyQBwMvadgMHaqQi5m06xmpsDYcMhsuUo9tvZScioXCj
BRQxBl4NtTKsObqAJtRiZwwpMVVS/+nLmELLMMULn+pk8msf1XVPwHIqrUeT7S2fpI/Ut275HKNf
Sf82K8Anf3yKxvTNlJphM+tZc6hGfN/aVJAcPRILCDnVRz+oBETxlBe1NrsTSX97y+qhclC3FHOd
r3vJP7LRxXtTtrCtLnOGG6b0UloVvWE2ClA9EcVp3YPDK7okY0sOr2ldTSMgSnP2Yf1Xzc3Mc0ef
KhWDrwpZaqFc1Zb9L5fU2kkDfAIFUdjAUZVL5E++mWacc8x4RvY+7AZrXEd6fZ3V6q4uct0zYB4o
qdFtfIEi1ETJqfikz1CooEegShKjAp08rV4fsqOYrbrFGJhc+wAD8zy2PIXaYhcU6leUCdYJd/Lz
LCLqHGRlxHOObm82UbxkOYW8qrt6rK19su76Ccdp1coJG/4cIJ5kbPw2HWEFtxe7cqMBdfBflTx3
zVmBpN+DZ2CyXJeFcTYZR9M1TCu9N+4W5LsMqR+aF3XC5Vb4zdVuM+gm9tSzcDK6+jtg8OYWNVyJ
oVRmXNdUMEeG9ZVP2b1M7QsxK9aBQeztEAaGh38dIcIjGX8GGKnmTxRyFcWBIcAo9gU4CBPOcbC+
FCeYaxkq60heV9e9BYFwjzH3JyyCLjks84eMo5gna8ne9xvRngbkh0q3kCzb1skmdPwCfoJuITFs
VpozRsNYMQQ4qRpBqK2b9444t7qZQJPmAVGHXuNX0HQNh5VAJp+ElkfM58bRohxsf2YcMXLC2bFk
pV4si4ZbyVxVYRS/9E57VppMe7MEOFZmXL7HeMuJrfAk1/qBs/Y8cGfvpa/tRlFJ7ZDYwV3c8Axm
S4R8/hjpij2/xkdGgM2QH5IBIX8M9T0b2PxbZFkcJOOKfoTzWa++0iCnIJVM6MXF4rzz/38ZTvVl
aBdBlaZlu9HSivj09/KgMswJoHppIvphcmj8891/L1pe+e/brNLxRPj7/r8v//75//v7f/987mve
17/vDROEcdhIwvDL/zJEI0GU919q+N9Xf//5Swqvl1Tyf9/+ffX3s7/f/nvx//nZ//n273U+bjNl
/yWRtzglSIX/Asf9pOTTTMtH/O/Lv5/+fT8rI78SMtw+ZKu40p/8r40uqwvF7b/vhRnXuv++V/+H
vTNZbl7LsvOrVOTYSKNvHC4PSAJg30ikJGqCUIu+7/H0/sDMysy6WXaG5x5cxq+rjiKBc/bZe61v
zT5bfDThm5FOxMBOAnB9kVg9lVbmNonhIoem0GxUL10kBbGn3qBAy5kDdtOO/LxADDSA1Z65skxK
mseHTTn99RPx/CWGTtwsF9X679/w+LLHhwJNISB1we7xv0JNVbeDbOJka8Fy41+G2/P4usdnHg95
WvHLOXQ+RaGCcZtgVD6cn8bj042saZtc/hpVWUMwbHW4W3W0AiEUsR2FA5StmVZklAzzYQYC1S2Y
/qpR89xEDGi6aqyWeq4328eDPDQIIoK8mtA3TihEoM4YefM9CGgtAPDT/YSYvIvZwNWKiVlQ14wL
BYEgFzji4UyVimZQFJhLLpf5w8dDmvZIt1ujqtYVGbq51GFveHym8zNpsr0i+0l6uvJ//76kDthQ
x1bfesDR3PjxEx4/u/CFmTwidDv+nND9++/7y295/Ni/fM3jU0PDJEXqM1yhf3tS8d+e2eOrH5/4
h5/9f/z0339CYUa1a7X15u9f+w+/Mw/NdRhXu0SiAIaZxfJnpoAUNII5At967lWEi7KEz84Ymz2h
QA04KegZEHUZhgkhrcuPWJXKtVF6TAXyYEP8fLbRg6jaC23PVClmjt8QnRR0dgT8V/DRrRCToy5B
rJBCI3x0lfirq0EKapxBfJVQ6ldULpw4NU7ZkAoEXacnxsxS9jh5WhmYzrGHQdRZtesx+xB0WgF1
U9F4g13bR/kx7lnSrFJEOiuKtt/E3qrwO1IBaob1XVYh/DQ5i6gDUIMahkeW/nR+SCZXgQaKWmDV
xuO5pUW3wi6PukjPr43OAIEYAgulD1gXumQrim7m3Q1+xTBR/U05SM+ykZ0ob8ksSUSECGG0TtiC
150uVUS4wuCROJeJXoicysTPlbfnRMrZzEKvPQ4Sg6WWCaakMKZrZzV44lvbLh/GlRdj2ooEtMTa
VEzcWkBxDLTKcD9GhJJmQfRdzmzRi06AYZNlOllIaKTmW/Nj054iYjtkS9rlQQ8nU/UQo9fe1jcx
gIiG9Rojq2yYg6x8n/hZv0XRk9U074WPto0Tp8rqT9FwYgjrDBo1JvpxfK5LDtuRVqChDvDreo/s
5dDbqRrYUOVDjlvMszXNNHWU1pqOdhyg67jMT12M3JBsnVdcBunCMuGcVI3vL0qTPqkUhxpbYD0B
5GB9ENR82JQGZwefGWzchNXO6IUjc4Kqa66lSF0scTJtMhgmpFgvGQYf+1ja9wp01zFtI7sx84PQ
KKXTa96JRIvPDBAm+n0SEriEaY7IhP1ELcjADGNM7GW/RhLuEq/HOO6XwiHI6KGxncEUCgVeE5i2
PpQRReyI+q1pB5RIYMbCl2HgSm9io/zosbDOfMwVfOuBdgA3TDCdU0F/7vRqONN7lMlmtmMNBZiu
GUR/waMpaYZsBVUccU3F8UYyOQVllrAzvOdY7bRLk8i/moyLP0xuPgUKjvoM3a5670g/XFnN9EqY
hi9xTJjkaK2SS7go9OaLYeB88OsF2yw56zU5Jj6lTewiYlVTUvDaXkrNqmSMtJHA1pkhrhhjkS4V
G19+VwUvOe0tz7OKVdCHTtkDbvPo6zpe6m3FONzQzLzJpeptSl4hwVIEWp25dpPyZp+kFho4k0VU
TXtsdaq27pTAXDeFd6iDsNqqasY6kqdbWgIHERPWUHf3MqnexYJnkBaIYFPvUuTSuQ4Gjn683sTm
dRqloNKO31KsC1B98QnINS08IZBQ06DDikNk4JHmvcHHZo6ciTB1SGiCVY1UM/CIYNLp9XJ/QI8Q
vjiuoagQNxnRzAu/3ako7HqMPXUFUonl3FF6aHyFkPpoatPyM9VpG9QQEleKDnxPRd8m0dpD/BLX
jjGp/XPaVKgMI4QyvLYImJtAOFLTA/CTEN2O2a4xQv9stOzJPmMhVQ19Z1CkdzOyRNQwGfpLOb6N
ati6dcwxXAoM7dgF3ldDC62ViJiJZeRdQ8vzKtvoHDYF+MBJwT3rtdzdQ9chixkXVkdnSvMRTZFI
7GgT+eCF0fTXNu8ZW/bXsq5FtKXBj6y0yrKkWeA0GprfQZIlanh+KFNiNC7t7ETsLWtZzantddrA
O4lkEjdPPEWiEWuvQTFK60Md6tLNYFQyxkcJO4z5LvP7BnQealKEHO4kCJrdR5gqoAGlMUpjvdbS
jawAFtKE4ESUXI9GayYhML1zvMhsNo0vnsoJXRjDqls7JZiaugupMNNSNul9jIWEvVD01W1vtl8R
pFQabdn3EIEk7Ksgo0oTXwSxrHnVKzxIGqTMshl3omZibGsNp4taWvi5QoNHMWYMaIbZohyeIX6j
B1dDusXCapKLadcgrkk0Pz3MIjOuXPJzwn1cTKldpfCM5e4kiA8BegjHPSJ2eiyNym0b9P/9MMXb
EQK1Y001GeohcJqi82gjDHcjRgOSDMMppm+/7QsGK6mJjQsqNqbh3NqIQ3zvEbwaw3BPdIbpoh4d
yNxAHz1itSDzAJRWpSx9DSn82I37toqSbemMfXqBpc6amlkfZBnTzG+w+OrVS2yKIZqZ4llnqJVN
IRRRnZ05FYxvfb5VdZkRTpzuq54biJ4d1d40fHpieezFsQCaw18f4XiXRCzZZooFuQyuklVrElJd
EkDQ5aQlQgQooPw4UsZ14HaMmbFBzf/v8YnJhI1XGuqVaDR/ZwXaW5hANowqkZicmWDTzw9SH2Om
8LNbIATBNkgrazuqw1tATgCdfmXcSlR7yEt4AHbu21qKnCBCB7UjBETalNYEHp3uoVfL7pB32VY0
OByUnCPNOpdcceZ7Ph7kv/3r8eFfnuL8DYQGMpizH/+ja2TKuWF+5mYvXYWYmAvZ6MWVibccXeRr
OjRz6HnmUj4Sa9mPcbM1ZZN/MkjPF7lO4IhkCQBIKsvNYCKmFfFTaP8lC53no6R/PKgml4I8Pzw+
JM6UDjoHtpXaVO029uDHt3PgwvxqKnXdw7ke60swX+Gxyn7QRPG00LlbOFxyiChl0CX5/PD41x/+
X2cSntHqGIwqOaI5OR+fBKGgpPWVFvVlrB39tuVAl83v5d8fgNADZg01fykycX4kGqRraSazPhCp
fuxzZslEd6gbWAnzQ2RoSJkeH4czlHUq6cZYibLWhS5GV290BYoXyKxp9dQ1prTRDYhF5vwwJQh5
haaE7i72M6kKWOy2LXCdVbl2CIycBUKX5S3hV8r28a9KFORt0ZPs2Mu0Yv2ZEVsSYU4tpnHk4KPH
c3j8S+eou9JVJFwgtAutBMldm9IWHXsX6N5GK6GZyDGiX78IMMEnEjj3QHliLJJvM8ks3SAygbLV
96mnzuOsly4ZG5S8hbm48nwBy45RK9tClpRtrZAv17KHLhod9QEJ0XiTQCfDurSMDFoAxJvEg6ZQ
ICgtmNaNtSovlY6zDHPMc+F5oQvPncvJ4shrN6Hw28/nmMcDwYkzJ9dDTD8pNIb+A5NrZKG5qhIa
IlVlZrusk7AvCWxoUL0KomWGKEThzAP91U1OhiDhLwCkpvnh8fo/PiTx2U1Smjm83D4Avfk9oHL7
64M1wFAx0QosJ0tAgZtwIJIDBVFp7+YtipeSgteaQcJ/vwAfH44RnvJ8nLxVW5vPitLfiwJPXTfN
WsloimonEIdPBXs8676x6Ydi999StasDtRGGowyMcLI2NHeAb/rsvPSsgU/Gbh7bsW3gDhPfp++A
A0REm9BGXg3P0SbH5FO45jtGUyIiVZTacy0IczmiIF7iaDL2wW26gxf7Hk5MLLxbQLLVwiTGA8Lp
Mv0FojjflINL25MJYoEviVHAuFBUmyEIdOtozolzmrdsBo6BIHFY1KdneNJVD+jVaclY6lZBtxaf
plPzlfPhiGxwoSKGAHHEDPAuc/tKK4Q5zRu/SmcWh/yrWohPmNEYEqa4wRHe6Pvwk3gwxMsF8Wdc
gbSf1rmwwzvVRDaVczW4OEJk1Qm0L8QwwGoKQKNX6X4BYGWHZ+Li9AU2Y4QWV4FOqeBgO49m0JS5
H7/8s7xHnQa4wMYfC5EgYfT6XbCdEWL9rH9rR/lZeFe23jP9eGq9GjuWAnt34QV7agaWFfkevY4n
73vAG07a18JsXH8vhRsVA39LRgymBA6SjlquBKZYyMn3wGengkP3In/jOsABPzGdYGq0T3bRJ47L
Ypl5tqQ6foWjAEcseguMvQAeWmFRhoywlsjjAEX1Zyox1g0k8dZlj9rCHT79cqE9/ViN04xI5fcj
Pm+zZDNcq+XaMp6FxP0HXPv5n1OpSeT+039moJuiJlJOELWLNFXStDm4/R9iqYty6KNEkTBqittC
QLJix7/CLl/Hn+3Wf4JymqBbcETvHBqrMXVpK5K/eZi+uEKoa9HoJTPbZdRXklMR18lbkcyc1Mh3
A3PjkQuN36+AobpSBFewyLkyqRtIlFi2bxBNUAa+TL/Q/ZzUSe9QOA54QNfFS3eJntJr8dLQcVjK
q+on2kKsfUs+SAZS3O6YbNn70WGKXLAY69eKOzKRcI0LixlagzWyGezUyKfx7ZNx5o+u3C/VFXfH
EswbytJJxR3VvBgHMMwD3ey93tlW6/xU3bd+TffgeINfjAkYGoxfHFDatNR3nNJWANPu0SdiSPGb
vjXy1/6ZwcK15E3HagOrmM9wV8NrIE1pjZRsg2HW22sXLtmG8eMTYrPyFYmFecwdkgodvLr0hhNe
vy2SqLsRUmSvk0+0+o5wUV6gYDqW7f9MnzrGbsUNr8nMaZTfTMUO9+1GXAeuesQXqr7XxRL7lI31
vrmAAUTwnL7mkEVwvaBsspE7Y47kPjVwA3xG9jLcZBq41gV32HiaEQBXEtl/AJMR3Ud1sGqW4WoN
zBLYJxPsAAPhrp2NFzt8CuDUbemJYaUUUOnsaZFDF5/pDVy2yPiO44oqYyWUa4gMG/5E31HO0nea
bsr18MERnKfKBu5q2/I+7qw750qXys2hNl8LOIZWM2jheNfeURKiELW3kWva/+LK/0Pas/i48HVZ
lFTdINpXVv/zhQ/IvkbRJfdH2eyOeJaC1bzGcHndDOtNnhWmixBa1zu2GZRNGI1uOJLqmfg9a5X/
xZP5Q87w48lIqoriWVTJPvjjXahFzaBXVtcfQ5leIf814ibI7JGXCEQbDhv2jxU+uwg6BnOwU9Gc
fAa42Cxv+EfC0+Pp/P+8i3+RdyErokXC83//X//za/gfIBj/Ke/i+NP/2/ojRWAZVj//mHvx1+/8
a+6FIf5ZlyRT0lVRl4m26H/q5t//JBjynzXN1BVLk3VFN6Q56f0/Ui+0PyuiLpGfaRBFoaL1+dO/
1XnbBP/+J1X+s26xPFsK+hvNlP/fUi+0P6z3qmkY/CQdIagoYiLR/5A2rwr64JemgSbLr9041A9K
GuCTsYVbuU/Whr6ccOkYW48mC33Ga/OhfvkslLgVmQyOs1LDGSgGhdem2LUevN6FlLkUaRpaA3FN
WzYVVjj4glsMUD7bFCCKXY5XTvaBgYiJP8UA7s7gJn2XO2tlbKyVFv2L+HjpD7f2X/5Gy+Rl05Q5
t3vO/fiHPa0ijFmSOaauxcl4aSXpKWhpjprKOerVr7ZqfwUBBHERh3ctlJ7+4YL4L3ZU1fqn9Hpe
YZV3CjUrumpN+cNvz1NvKIm2mdbmzep34m/+VJ0wkojvjZP+QtsDQNT+Gs/qU464YodlNn6GFn6Y
J7HL6VSSWXWRqoO0p0D/SI/TJr4Aw6uP1Fb9pS2WtR0exw/8BIwOyW+gbxGt8vXwlb8Ee+UsuoX5
42s6CjVreol/YpgWZ9iLK5AuQFFmmgihjxxmFg/U/Xt5S2+AgmAUaukiheRmzW5tqeCEgJN4purW
+5TiRPwesGqsKVvMEnbaiuWbkv25PNLUg5TpAn9dpe/5bRYLfUVX/hxneM1+yUl/mqA2Hrw1U2I2
1O7DN9f9vj1FtkgC0M+4RsazooLC6RkXi195h0Wssdh1hI1IK+uTirFlQ12lnyhFBpXtpHrviM2T
7epGazkhO1a2KSv863zmuHm1m0SX8TwZQEp9nUb6Nb/EP0AcKfCEQ37FTv5EZzV7TXv0ZYglV7wc
/n58yz4AyMdLBILab4SM46Bj9JK2MXFIFBBMCEyHtr0PTQlPHchLgjfHtw7XhXKY6GfC68nEiyo6
FCLGpXrvd/pnfvawalKC9grSQpqJaxivAYbwp9Al2mHbH/0tEFP/jFM+X84d+yV9kOKD/ggddlrS
F1q5v5GN5YK4eGpr5HKflM1x5wQxAo0VHIY3vFtFfg6vTXDAaTuucPrPkGe7sbPd5FJX2/T6QFYw
t9Du0rd3KDBvHqY3KhVrlZ4QQb0HB7QbPi9tzXaNj09aMOlALB+5xn7AvR254858xdRG7jc2xuSn
ujCP5XATLtSTeIf6qT35G/yqAb2ncEmGE20a69rxSnDkh6tj7MtmAYDxo91Uy/QkP+F9N2/+JxBa
Wl+ws14Bol8m7NJHmPO4yFoYcXhdU9jDIJZSZW9catWmL12ss8+edHZoEgSTvzHugOG5DtpldLDO
1gvm4rx1KS8GG20ud8ci+emOc4beTo6uYNnBPGOlrhMHgp6IsojQiXjbv8nzmwbCD9UtzWu4J3bz
oa+R/eG9QWu/RLMnLEGAXLStz7DuQK1Fx18Do2ZD4NO/AEjNfyAmFNvY0AHGHCkgCUOCe8BqWKxV
DjrL6jgnoG0CEryXElDcm9KsRnGJxR3OequvOt/2EdZ/J7cAbrVyR6uUuNSg6+FM/0F38fRqm+jW
vI+rNayJmyrOUHZm4T5UyRUceu3qfcC8rbct+OpD123GVwJ0bNXigAHwaBgWgjtWGzr7gzvg+ST7
+6S0N+vSHZo7SDBkDffxScTSjFcX8eCTdKr6f7E4s/3RhybnMNt8//ufNNU0JZlHy5AkiW3uj5WO
nEwownUZqRXHsQyBM9KrVxNO+P99Gf6nRXj+NRop3pbIZifrf4h2qiphbEUUnGtN6q/zr7DGYTP6
w89Uh4Si0SYWp5It/m+1wH+x9Muktf3zX6fKoqmpOqUcldxc5/3DzqP4paoPVl2vJSF9JWsODAjm
tXUxQAbKdEV4lzQ6aXBDvQLtpQXb0fzIlZ50uVm2bgj6Ri3Ga+55mIpNnMRJkmNugYHTMLLexy2n
ffo1UKiq2pGUEcmfSD/XZPLtVLJUYMLLeygB9bEZWDISWmxWru5QXUSnbFLKvdqPOBEiYxsjM6PF
/iIXrYZ9NiyRes8YzSwXbLo9T4T1eQ5XuSH441qGITma+a3RjPbZ12r5YCXZrowKnIGxgb6NiDvw
KfV+oJPjongG8icWdwvmoa+dEj81nET7an1ifDLCrStdAAECACBPnbxstmJKdoUiTqjSiQ3R4wgX
R1a5zE05gFekh1tQ0Pueo72Udecw40/gbW9YDrAiWrVTkhmIlxF9jxlYr3JRCSsE83Bmq/C3rZr4
KPdgCMJcfI51Tz2EHQTTbNLhlMkzhUkDP2Dioyqri56EzKgAwA8h1hBVw6Qk5OavfA0kjzU1gynG
JQfnCTo5PngoPGRjq65a0vsY0OkJMnQ0HFPGoamNQ4T0cmWIPRufoZ7GSkGwIKifvTWoR6sB7iRj
3GyJIO86xnxiozEERyLNgfys5MKXhQ5hm2nTVZM/fJ7vIjfT7ypXcQIWOvvZJJ+irjkEgoaLI9c1
Rw71FzqeeFlQ+SA0gvivUyTgUVxIlUp/R9eftcl/FgtQGLF0FPEdCKN2lobvctCepoKDueqPr4Ne
vBRD8hGcWjGAWTzUT0OQgYPyr3JYf0fmgPSVC3hSW07G9ev8b3V2HTLtmjDaOoiOV/4wQTQWaWB4
sbru2BIyq7W1Saf9osqctdLWTiMGOlXkH4OCXBZ5OggC/AjV4p02cadGBI0LeMvWFZrDqMMBqsQi
CZZt/4I+GnFbny+HwjcdYfgZudRFISEpUv72DOKjx6xi4cMVKcYutkAEXT6yv6DVz6JB/sDIztAc
O96BEWxGwquTwHkj7KAofKftnwu1WDbAd2YVQEFshjoGyDzhuvAdIk2oIfmxEt8x0D4rgUYcA0wu
BtsN3Rr1rNMMTBlEdwYIM3KXCnIZzRQqmeQxbDGImkWbiy6NjFZPetc6FF54k2MKr0z7iYKPaXie
OvzspN2bdb/HgrWhe+OoRYh/lAyfaYQPwD45hPouNSp9p/i+6oZpehoDclYXvgenGXkUm0bVKtCC
W7Nd+MZxAjGZE/ysNarHBFbDNpVJ5UbWs3EdpS3qV08lYkga2l1WVk9C7hOIk/uYbOOoYrYeSFu/
nmhUsPLRUzSxIncyVuaOMPUWUXvsgbFDyGybkgioNQ8do6bN/XjQR/rfuJOp2WSrCdyyMefQZGhF
glavmKlXC3VU4B0GYrwb1D5G/vMRxR5F6+N/hYA/OuYhOY6w3eP/aIGF4Wr+8k7+4o5AOq9l2EV8
SH1pqXa2X80SnCZh+RysxNsGrfxT+jLsZJlQqDOojHEhnqanul9SLlICFGtzVR/yiwU2yO1ARXHx
3iF2zk1C2hOr6oAa/ICCE3rijlaAbq2s8yQwJ1zG9/GZe7/cg/MYfkm3sPH3pXvlaN7htUKdFO8C
2J9T8FHvVWc4tAA1j/knIuezCBCUWLs33iP9zdzVz+igSRsDLMc6fzLQXHL4h3jK2FPlhULJuOpV
tHpL4yieUQNhZPcxIOtbytkOlAwcFmMjXeiz0YsChnCX6uVo7Amb4dsMCsSlHi2A6J/Nb+w7P2F3
B88fR0xvQC/yjd0vgRTaS7+HZgmdXrDQDlD1AEdYJUfLNV7yK4W8fzbBkxgurKZTyESJttIK5a11
UX6T9ylyiVz9nN4hPhpuObNBqLSRxVA2ryR91eyaNQ6qAk/iTh62ub+FdjqI1tKM0PeuKs3VpV0P
5FdmToh7xIFzKgNIrneSugEUPXK3AYXwSE+AqMJaqokLJDlI8gsov6QEAPnGxkJQ+VkD28GfdylZ
m3aQ+W2gabTbUafT2sLyDyVtgKvPa0hezSv0LqxfFKdH+uEGM4oNnfTqTS5chSQeWmDjkhlbgvDx
L+Q2M9zIQG+xAWLHB/UKEhF2qL7qoT4vYu4vEmtwDwB05fXQ90Pr0IfEB5929igAGFuENgp0Xi2q
yx+M8kq1qz6xQvP2gCAdbFLtBpbxE3S9mIG8v9azpx5wgnUHdErle9S0rX4XSItec1mkwoaXmOZk
6j8bR/UbJLEICoNuUrGdBf+Q+iZqRvNqHBmh1tHRJOrnG6PnZXrxTpyf6ns1g9OemuucZEWH7p3S
9y3bF5vumzMZwHb1R3HCo35IP1qyK5QZWnyDiQ142Tpy28R2A4iuX4I6zW+FUz2jwodZbt65A5TP
lMMa9roZvDXnzUFXLG+0C9WVdoxv2pz1uIJ7oEe2VdjeqnrtENb064Lnv+X5iu1hpvxTdvNS2wMQ
NHFxJTcDebNRuuVNwivhEyo4/+gOArr0lmN3NYke2fvM1GI7go/M13KQRJm+1PZSaRs7UJScQE3O
NbxTDj+jjOEGLLKV6L208Qvw+lRf6jFpYTvhk3Sw8MmX1oQOapZL0Fh5tE5YKyFtp8Nh2HRI0Ba5
73Dlqqh5yQmodm3sDFv6mAcy86hsku+RidabCPNqDxOFsy1xSRnFdrbJPyuY0Jzm4AYtc39hvHFd
IcpCaoVzHHy6sJZZM1qat6QJ1ZzMg3VGWqBJmhC8e31JMcABDPjhC46o+NS4HvimHhD6on4Ae2Vw
xOYSG6vBmUG3+z1OJXJhpoPFVcMRlb6AnbzjKJL6JUFPwYUTeQat+dqh+15YV0ax7Ss4KwWu6VLZ
1EvpTXJkV78lLs2c+8zDY/vYQJ5xlFtGX8E29rtcsqfnPrWHMzry8kzy0Hq4N060IXJAPcA1ZIRU
QF5YGt8Muvx1elT5ud2b6prv/A0XTrozl3HbucgyfGCxSHeABFobmtLDyYcGXy2Rf2W5Ix69pwZ6
NqQrsCfLfsWxvHmqT8K93GnPDCWYVF2sfPEOcWXn0UihTLgQIQbaGTDO0D1HowNelEV/YznWJyKf
F7bQ5owaS9qTn3b0j9UXg0sUFvIB0pJ1EvB1UG7dik+yYw6ssOpVOUIp2WH9l7e+skU2jtYFqOko
rpN4XzSbgoiJi3ownvOXFBEXOtBslYHw5qqDLfrN0YCRx67aSG9GvZ1OHOmO7DC0Qjgjhp9AMxto
vP6cFFcbsJqWRELCdS3Ihtvwuqhv5W52mal29Taz9RQuA/OoNcRqO6gBO289Z3gB6yiYgDn8LXl8
EYd9rhKggY13gb3YIwHtQFulzykW9pwqpe+6/KSqQHeIbkq9BFdyw8AoO+ZFdq1n8vjKBPEA0WFM
obGYLkMEN4tqE8grvLvDPlzD8zStY4mBig3pCA1U4q78Jf1OAWWx8F+nr5TcSZY5Ej+giNJdmScL
76m/piyy7PHM3GkbX4hWUKRPvC+RSSjiIXxHkdcnuwk8MvC3ZmcWjDr0w6xOHLc+unjURBJXuvC7
6LDrGuhezqw/1jhyBLvi63we7eBLehWsFSeC/pDc6UAob9KJBggML+mUbIghv0gkNlDPXUh01ObF
QFE+rM5pD90JdlG90L4ax6+X6asoLk2G4uI8UOXYHLGVsT7ip2Yf1iU7uQ3FzcdUpC9jKNLsLbnD
pgIdybpH7w3pjydADKBt3jzvWQAeQAG6UbhiCQrUmMnbDHKQVsB7BHsPPeqzvOXvubdHWR8+RWcT
O5a21tbRfS48BQek5zyuXXThqiJPdxudCHqY2ChepXXhqC7kYyaeNETWottsOJ62QPJXQeWWstP+
mGBdmTNoBHMvwES3d/NZnI7ec7ZGz3Rvf3DKFFQBVzi5TMHxWnKj+EeQRTfGm945v6hLrLV7wuDj
j1lD/6s47XtBf+N3hEkvKxdoKggiewyXh27X91zSi+SZPS+8gHI8d6KrhRtoRzbg4XZV3ljVFSKI
+an0xo7xjgyeglRl0Lnmi06bEqXmiYbSB2bHHz6QcPP5G/Iy8IKpED/IBynRRSy9K9H12U57KmiW
4J0HQPBDBIUJPexHI/MjvkzWLpYcBImZoxhHptbdudM3mBO4g99V2i2J+tlNhKvjXlH9N8w6qypm
g0JUVTs5t17IwbZXWel6mRATTDOUQGVYcVC3jQI/M4P3yJWwYh9GDuhvGSF+h0r5rasvUJbVmb9p
ZI9iELbxf6hhslNFkXCBBOQRjUGVsAVcUlWwQZfFnXQH3jj1x+NtzLYo3kmjbW/EInAdB9du330b
X/07KQP4UKbP8odTo1Wv8mrp/cKtGdho8KybW3rJ2qs/LNizRIA/LsTBw0x5TF1CBcCNoBA7Ek16
h/ub4UEiGrhbFTt4weUxtNG2Ex6lfosbSsTQrdBs7NRDuabhx/JS2v4xuWNAdBka1p9tYaNXDq7l
DsIt41t2ihOZEUcTnrg7/HQ/5pGrUsD5cZ0OwSH7sq7+qTkg0FM/rU34Uu07rgJvUb5ACR6zXwmg
EWa7hHC65RgRfQBu1hm+DNMtGFPAr2PoD4ElxdEyhLNow0QJqw6juJtkldd5KDWfMLJ4Gcwif6Ll
JVDV8yckkbzHFLIurvvKbhJ223b+7OPh8XWPfz2+zegJ2M3imJExQpKdNYTSHAPEV+fGBEFiPCd+
s+7TCISlKK18bVAgxjPmC1hnmrImMxGfom3IvF6FAqAmLXRpFQ1oOgNzCdSBUd/AjZ3WHZg6iVxs
A1K0Fex0zeS5WQ2dWzXF9iSwg0yGiLghw8DVxMAq5S5O6R/JLB567oRyREUlGI3jjaJdGyY6ukqk
GYUrewG7jqjiqLmjXA3sEv7DszSnZaZZQow3HXbRouBuGGytSi8aOAmTJFCDvs8980PG4kZZDfxi
BOicVMSKVgnqSws9QZ9UNM1lL3WUcADPFCLIg90gRICTQ7+plp3iVU45+//LjK0wL/PmqaQ6MpUA
51tkohHxOawh1caD3O/UdpYPxxONFLPfBVFyEWZXCqgCj6By5Y4zrltMrA9RGwebbKSTqQrRU5H3
ZKYZO4PNyQvKXQdlRprQjJclFXKfe5ck9N5VBcxIw4wVXTvH54j1r540QhXh5OcVejoSU/wd5+tz
U4BSl1UC8EaZtIQxTDmJENRLb1Hd+L11C1L8EhHq6aAzt7VBak8xvOlxJm+6XmBO1uhnL/pIcOlu
PUv6UQtijLTOHOxujCIXFT77r+BGrZrcVZPDihcT/IfhDa3Q1FS24A1Pk39Js0x7A1RVC7m4HMQG
KDcGd6lf4Ti5ltqvJIBDILCPpJOEfZXQc3pq1m+ZGTupHjCJCR6dk4znkI5EDgwqgjRT4Og7vQqN
2a1BJ8BSF4PfCeGQhISvMn2yzfouWHv08sp2uqGTJMcgwlZQChC9fL1nwuD3r+P8y4jd9GNULrKF
EWgYEiwUk0VSBy5xtIYzDw6mLZYXsaA9HSqWO8VqjvsvQL4Ba3h67UvhtcuCo84e2iHhBv2VvzYN
h7HH9+JM/RXNTSwhfC56zu/000Jj4MifmCcEqSVuDfHaiOpbNsTrlvQaULsq5X3JrjNO1gurcrBo
TZ9nYHwhxXzNtR4tJwfiIqNEVfLmhsg+YfPB2GH01mc1wADxPlUk7nHYtTsjp2AuUiYIML4s9W4l
0htW9pojKAOsJuxJZRn3eYe9u+DIIAeMUKISkUWYJK5Upf7mKcCLisaME10clG4uhRxmgOjKpXGx
RuNFiHqOTUZFPS3e46L/jAZ2GjPzXPAUHD2aDWy2LcSjjEFPN8u7wXrPFl6FJSUROS0HNZEcQYgS
M1VGu8RVvTZDpL9WBr2xk9gADP/aDmrgGshrOJdGTScuJUG8IK1z6hrSgRBePVySmioRAYOtwTab
ZiMnSgw3tmBflNFTKR19C8EnSQb7+C0MmSCyRALDKS3ClWE4K8zb/LY4mVZ2CfvqJs3C/M4YkUrX
EhiG5slCRcf11t9SFVULBgFOMsYIKaZmbOGBLOtzxskiKjJk7ZqvC04h5RdkqqxglZytK5WSVqtU
YjLj9jXCf49bi1kMa3i6t8oXxeSIJmXR3WjIFlOj/83eeS01r2br+lZ27XOtUg6nliw5YoMxBk5U
GPwr56yrX4+YvXp29zrYN7Crupk/BhwUvm+Md7wBPSZEfzsOzNd+iA8zGaS+rCauCTe0KOilxz6U
1xocXidOJvlUMgcURDwadAsBeWoQpGDNBE0n4yXGEQarNuurSulcizC7jnBrop5zpVgKJKlx0aUm
1VMJzNC2xM4gcFP67lYWWCU0E6lzehrH63JisCaq466B3tjIn+FIIVu2H6K+D6TyibnGpjRgjZkt
0Ywjg/sMIVBTUeDnx2JSwGay4Gi/FKa2zarqIlrm01jWXj+gU4paEevNuv4pU9yExK8gwA4EVF5Y
mdGSgtGg0Z2M9CMR3CZh+ltr4TEtsI5hlkDBQ4szfXzpExEbWkVh34RLvhw4qSLIh7YDFamFpVc1
h5fIzCk84uhZJLRWS7Vso1SMfceCcPfCugR1TFZtN7GxJuUGxvy21fudD8N6X9QCQlMxfRn79qMv
42pVZTPliRzQLFMTZXn/XAjC19h36ylUcJLM91AnTsNoERyHlgy7T1pJCSKRYGDs2GDAqmp8q2ew
0X38fEKDnjgPgoY6KjWcwsquxTjwUAmsVg8I4sLgKhq4U6IvSWCOe9WAj4wxDKC/vew1rGYr3UyA
O3rlSZrlt7SfdA+HESxK0p2m5fPXrEV7KZiFbSxKz5lJDZq25XUYU5povb2gqSCyazCeO65TTOJY
4GVMHNUGy6+OaPKRWWug0lb1huY1fukmleL4ES6pEOmiEqBPSQmui6R8q6Tlvjeji8Dnf4sAz5Mi
eU+MBC/fNKRaZCOTcmxVc2sQt2ov7kULfq2sZEDIscI6VasI5Uoae6OpaTB9nW1f6MiR+uUC43GD
pU2E2VXfnxJo2n288JEHpPCBbJHtOUhkR5GEMgEAqZFMa6hPX2pC7tuA+YtdlAl5kxJZaeYWuWSH
JZFE9EKHbW1e6I4+j84AY8MZwgkmv0xqkcj510nSVUL6MmmRwvmxcJ7UNttqpUoaLOo+nKsLtyoM
yKCD/GeoemBcQhWH114QtbVJolo1IZ6pmu7YyGHEZDdcz2qO72Z7aTITXLOtt35nblIjAoOotWeM
cTDZmrttNFrkuvIeIt84lLovoM5js2FolabRpZoa7phGu8ljiaw8yT4SX7yi5pg8TSc0ILJuhhgA
9PWjqykDpvtWk237QH/Hmw3UIRYcTVIShjRE0EmqQW5QCiNYkt/R2eLxAwt/ZS6YtSanL2gH9mE5
X+qECQQLOy4MUsltnKnDq5kj+QhM6afDKPaIA6MHjg9HXC0rt/fbl6Ahfsi463IkOk2u74Js+hMX
5EGYOv6EPkeoUNV1h/XVCv+FAMg5lIlghpA6clcb1bdRLQZN8NJQp/qZ046N7pDmliGFlXuEKLks
XX2xCw59R6Ogwo4o/K630zi6JBk+EwxoyKY0YQVVjLKTHgrETICHbzkjE41pANcIWuMoK1QGLGxH
QxynVWc9o2cvbKwtZy/K+1OvuIIpM5cPO8XD50DdwdtTd7//+o9vR6zotrh8roIqwRk9MNeSgo54
MNH4/v3l9zE8VK11JAafQYxK4fcLpiHkbMRYhWQlVZsvyR/iwtdv9PxbK3D0sRJLdnpRwLcA66+d
FvYgfGFAUyrRyC7KBLIISH6KMHpXUzq3oGx3fRAUWxXUSVsY50mV/uNLN5XPQqYY7i8dvcF0BZN1
rTD+IqX/MtNziPC79sOSRmMn/PNLBL1AnbVqGzeIjdPlS4baeKdVXesamvgCqxFUTNHyM6o12esx
LDqkVaL+RR3+/yTB/wdJUFJNEbbBP4kB/4skiMdYlBdR86/8wH/80T/4gabxX6qlw+czrX8jCFrS
f2miruk8DGtNgj34N0EQ7qCo87gq6ZTT6Hr/SRBU9P+ydMMw+RNd/n3G//s/BMZ/kBaa//j+/+Rd
di6ivG1gZJjS/yIxSLIBSVEULRUtLLqOfycxRHqkxqnUhKSDXpvCsraTvySjNvQV75PKDolNn4wx
CTgoGjKgRjz3UHDC51KT6Ecfyz9z1QqLMWmF4yKGxAHY5RBZ56npsx0uIBa6MzB6AblUqUK2lpsB
Jk5H3G6wL6VYe6OTMaXvQBmMCy36YRZGUp00Y34Zmhmf0wwWOHJF/6x1E45NJLVnVdq6ekVgaF0z
MUrntneVBofV9H0oygpVBiKIXj6MaSKu85q6e4ihhHA/J2YwQbMo0bpoKnCFiGAbx1qIzREuTKWm
HZo4fTOnYIZGsTXyXHZH/EJamQBnfMLeB30ndBRjU57XZznL7UlTLIzs523mw1HHGoYmUIHiHYwE
TKUdZZLYKOc2N30S2VgRfahf2tTnXhAxHrPi+iaONZ3EyFAQYz/RU0oa305TEPsRfjYb8drEvfXp
90ury1ssyKZ1IsK/JEnQSuUBChoc8gSBKxlHscKYnZKBuHYyPiLhRcW480nj9Zq6nD3oMfuyZu2J
JkRi0uyvLV0rgKrANLBQKeFpdBgKgQFO+SxtEnV61MO0FS3GDGmDXsBMC08vxpO6+MmkMgWukYzn
eqmA44E+si/osHuA8iYm8ibBrBTpoLWbEYFGAVpSEgDLsnnNBgMnzZFEwBw3kgiNoBvqJBAoNOa7
GXAPA9I6V66//i9ZgdBS1fRNXNB0V+1scgbZFLU4u0VhcDLTsHeKoNyPgvEOC2ifDI36LAxsqqhy
FlWvr5x1GYZ3bpifvhbCKFMEJsAUUpFlROuqYJaRRXG3U6yBvD29pNWfhOaYMMUEApGdHEfwdowI
F+5aggxHPf3rCx9Nm8L00kcp6ku4Pk1dUD6Up0DOP9jYnGJkKKPJFYGuJuSMAXJYVpkR7RjuKUoI
zpLLXXEuetQCRoNvqEY0XxMx+EqS6hiI0ouhL03k3J6oPzFfkqNjgltfEygSfsv0qK2AetaYgif8
PLZCkpAepxTmPUGDgeXFAXSpeZkauidc3QLI/o5SAUlUUvzQTTA3X7qrYYEtoA+1TlhqPvg1Z6HC
ZAz17+TMIszEFhE0ZWzkO+KIo6Ru7fIsesZqJl6PHeLSvpW+zSwgr60RqZE0dM1juhEsC1c+oYPu
bxFAM5MmFezHhjqkkOzBT3uctuHoRf2crOcW2a8a124y6drBlKATZyl4WEVm0hQk2Mhgsmb1u4FR
/jzL31qdvEKoFgjezvnrmsZ/Ks1b3CPlqAofiE81t2YckuNYzegi6GLVHInOBHlSHEjezJUK06PI
souEqqdQkdNNhuHhRImxCC0z46Qoc/0xsnU147wnwinUMcgpp+HaFzkK6pqcEKHhI+rgvSgLEL8q
5EBLw11WijcZtStecy1EI/ArbKMY9wvjkvoAXQtS15NCDluV7kKsSKnzyFpKdJwLCnDv0LzX4YcB
tcx90MPApZF/cuzCMEBfqWewkFM6lsAMTfU+mXO8Ts0evGxOQPxUmJZ+EULebXK4oFgOaDl6fzFP
/1TBcAECoDJA4VQx/a3QuJn+uIuUbkShirKpU8I7uBtJmmpyr9NqG5QjlVg7/MGiIGJCXHy3KUnp
eMAx5a5HtLFoJhScBpm4YLc4R7nXWQaFfkYMboGcLQ4BGwL/kgXpnx4IDu7YxHBWouWYi/qcU/QJ
A1NC6zU0kXOF2nyzVAFf0dTH41feVFxvU9M96WVzjdLqMx+jc5OCC4AEMB0X4EOUcwMEanafGRaI
uzJG5KLJE9gEXn+9brBVyRTljECjMTdsNZxFJ+937YwGH7Svq8uf/BEOwTkN03EnT+KTDjNrlY7K
Ps7Mo2yM2zDDMBS2iheHmuyYKaC0XGLFb4gh8jNTucl++pmmPnSdYPopI3FbDtPHVCKCr3rlPUig
4LZVdBtF6SkMO82T3ksRukNVB7JDIEJoZ5EIfT5iwq3pzS0q4r3f+QNyNHr0SsS+UGnmy5z3fzpU
9j7sBcX3nzUJuocg4w0n/ylmZjvo4s1N2cbFyWoCY62nM+pLRsRYV8upHh+ANzjEeIK7Y0jiJIaT
J9F6AtcxEVljJCpM+bov6x98Dkc7pxtct7zWihYuknFH7CPzK4qiYy8B0Es+lAHWlqtQNxd5YGf1
4/ahavXerGM8MQw4U1ZwCrSdXyEOLnNW7phsgH0ozJshp/+QZdMn9RZsXmC2EHN/lElGuuTEm4z+
RI32pXYmosZIvVZyy3SlaNaZ1cvbJsPtwnqPRfVlgoB57EKyvPup2E1CdGHpMRuevdEZ7OMGBpg/
7uGdXicDnrJFvEwz6SdrML80oX/TRQztFfVhsgO5cko4OwJiDCKwVpzIllFoBZOpdgRZ2qY6iEiD
MwJlRLHt4psRxZwzZPTrvDISwl7kj8zvyyfeHpGPyuRYBhsHTkIHQyGEAdeqctUua/jQTVeVG8Nh
GtMG2Q+36rwVwoG9WCV/j1M8ZTKlTGV4Vj3km5EIL6qlPSY4yAP7/DEo6daqIJ53Eeifr4vvja+9
YIBBsm6pflfjs18pujPrhHR0GaqhiCoqaLRw3xkLz1+nze0AsbTalsLTNDO+wtiALEeFpSuWHl3G
VspQguYMO81wXUZ4zKidYYdVdpet9NRqyhHHxLvcap9B8zb2WG5GkpdDQ8P+l/mh+eonGxxzrj1O
/etuiYTXDVSBCXOx1k2oP+YkOxo1rkdD/TVPRGRU49lK1RepCo4IlX/kSgdUJP+uRfk8xdiwljdp
QgWnc4mJFa5KlbDhanRLcQ49bKN7DzuGnKQc8553f9qQ2NaiAdjPBoZ5QVp8j/5uSr6xTPPCBDNf
KTDemxzzj0D7wZGdHGPfeETE5g69cGxnAJeCmQzcH8a1puI7EFa5eRjD1aW2GTSGVpOZn6eUSa7g
G59RXu5zBUMSCoRjUDKCMRPLtDlKBVJq+RSSjdJQ+nHB0k3fZwb/OH88G3VwD/r2qsfCzlzqSrFS
dsRWK3gvS1zWUYMvQYj8zoxwIGow3MPZeo5lOBONsC1YwQuBzEkhdKPsXSgTglg7bAxJTjA3RT85
cF5yH6fzcZj3+N/AkCdJXArEaystBgh0vjBsxNcOmnhl6ttkiEmWGm9zxtSE4tTfmER4QE2TcS1B
tDvr8Kui1vIkK55d2RpysrmYTYKEwUIodOpbExw5B633Q+mW1gIKop45g6UStNR7rSp/WkkLN0a4
G6H5okkw+HMJwAekrQ5m/J4UdduXuIk3hbmZk4ucIN1RdO1VqlEBDHGLUK85yk0seW3K6cfFZpOr
+bZOWOhUyMIgDiB/oG1Eo8bDuhFRQ8ZN4HHJACjnyyYjxvWuE3ScfKuBvKrff2pmZzE7XjTey4/N
QIDl8PuT3++jqgoXoA7v/eUP//6BzLGHzf/PB//+yd+PGXIIvDBFm9+n+vvxf3n53wd/39h//E6S
xHsFpN/DC6SV1r+/xw4Lb/j3n6z7BFD8/ZSVJm1MZUBQgKOSVnSXwkhKFOt8pN8vkiX+419/P4bv
xr8+1tVKuKuICPH9Ca6M+ZX9vsbvb6n//qt/PabuROpU2mT0/Y2KlUG3fJmzDiv+aEmC80XkQ78P
/v7O7xetxoIBEWRmN/prEc5Mu//97//+tl/mSV3LdK1KqSNA5f7nhaQCplbFEfp16vs14QsrLAuk
xWDg9zGjHxN7SFtg+zGC4Y4xxagsJnfh4pYQZiP0yd9/dkJwzsksyzqw3/AgHBv1id1q1o70E3F8
xSEZIgeWVmt26h0pVePH8KxcUKuemMaTLruncmH+c828HFLsbb5RkcJfK74xncOIHLkPDnmvUgWa
k13MA8ELMbYEdEE2JIJHfLKegIznW3ccS+M5fTXPyjivvhEzyyTwTgdYKZmN/Y646iEtD3A2uH/p
VQjBlYkz+8SgLtoDHwvGJvoaWHhgqWWe7mVASthqZV77DVk2IXVtIpXAKfpPuLuopUO2Fke5N0dI
BUCxnnJjKcGiGKx+hW/Yyn+D+LEnoADezwAouNiAOcKlWsUAp9Ix9XBAl15VdRfi0oDttrrW0ddm
gX1OT+aZdGOkBonXgg4yJQ9oZsNTtitegtYtIByvahL6wMoOOQQnYmq2svw+L2nWTDum1Sgc+Sqh
QSOP9AGIOesYF/A0/bil79F3kZd54N+NsEHbv/BNbbbkvE52rKNwI7C+UmQ4T5R18G8TdnVbffUJ
InodX2LxKnydcXFrfWfeaHDN9+kFRRuMkzOzhE1hp5f8Uj2HtrDCZpSQF9PBamIlU+SusDv4stx3
AzLgwki3fcidhFzjqN05UDdbqFvIdRMZO7pVTygVwSnYV8df8Ds29Xp6V0/l+pvGNDhYx3ZwEKOR
VfGJ38+BxHPt+cYY9ZSuogMK6xGZOPo1VXFoD1epb58rwnYgLp9xN+fhFQxuvjJnE2z17EPx7VHq
4Q1K5rO51YKVp5+jo77Vf/I7/x241uob8SB3Zo6V5/8IndvewNi5VP1zsEY1sKL84gAoGwuWE4RQ
2d8xBtKdh3hGRWfrZ3ZFVCf6FlLmqqAZdaJP/+PbusIwPmMztzgxrkd16wc7i8ABGZjzDIiEjMJg
6uCkKw+vBQZtwbq4Vo/ksxVsV0wcxfksnk7By7uG8yjuIDYzHjhZRrFKUaZqG320C3Tt/grZtknA
pT3amLR40gtT1OiK5P7poby8RP1WsKErres7nB+4xfEJrSuvDgn1+hojNHOk/bxaYna58Z7H0Etx
NXYy7qXcBs2BG45DADSnSngEz/lpWreHEgvh1bxJrkyQ+33EiuPNe1jHM58+dcY9toNbxDKASZ9Y
mP3PowAaLuw2cw0rd8pfOviKOBspsYM0ZQULZYbmxPPGJ7isDwzBuZbtdhOR9zE4o12+NQc6FNl6
Uz1wFrAee/7mYvs+xlATa6d3ZQ31XHesTxhSMrKPppN5hEdvR2/RBpc6O3Qf6rbeVEyELRIRHGP9
15XySGzPslN61BXk8Pr2nXj1BvOCVzAf9m/Yu03MW8lsE7UacVJH4QlSlbDC8wPUbrmdOZlcZXsS
Z4LdcjCbx1bix8MVixOMMfJTmR999IFgHAwh9uJO+0YWMtqMhZ5L2JabTudO3ozVNnoKz/BeiTYv
jgz8PgFJMDC44S6wwkbjM1onO4wGox19TvFMwcSRK2CRr/rs2R0Wai9OmslaPM7bMNy7hY4oysme
PovyLD93f3IIStOpFlwmkNVGDyHorxluRE+FZVdfKGxf8Ggh64Dw2fpT/kmwl5DeqHSBsqp+jWST
ntqRSoLaZbfUvXE+EDpuqV/9DwqGvD1WcBoQCK0+SbGZbfNPJJ5iZXWHg6SjeXGEJ61yk6vvjLeq
c8yIR6C1afkWMS5IVLsKT7CkC5t7InsUXi2gF7GV+/DIte1M/DtuOubCF19VRy6WwuOoQJfUuJqu
4Xv3PKBYOHF05j2p9jZj0vqOTmpe0RtBPldMF6oLz8+VjtG72n8UR4lTRKz4Ozz1HFnsim6cUcga
w8diZN574B6J1mL+omyIpr1KDoZKqnloMVd7QYbA1C/EFJhMGehaHiFLI6d+eGAYvoqXHeOi3Nks
2QIre9xj187iACev+CStilCvAIaRU3nBM4rY1B3vE5Uq5n6lA/zDAm0v5x6opvjKdvNq3JBnJ/4o
ZJlxoRxDt9+oy7VXIlzu3jJorctpjyjxYpmx1yp9/WzYBb+C5/TCYOb0wlsUH/WFD7x86CNLz+hv
o3DD/baNmYVtG+g9zvzUbvrVX/8Phu18Z5q/D9Zucx1FAndW5LOskyeGqrb/nJ+La3ENkPOqG7wB
ORI5Fj2IeJP1qHvpt9h1K/MxqyeNYteLXd4BBp0w0ynAmW6RDQGpO7FjwZMbTkP2YGdgGbnB/5OI
0cNcHKeSE9c525u/g4S5xigUPTtx9+YfvXE1XEpr9iiXS6jhXoE1wnFkJ+UDjqvsWboTJYYiZy3d
5QemZiznqfVtkPos2z74HOS7+EKmy6ydot1WZSNycdCEWr/j606vPPhJKzK/MOoynmKIYQsD+Xne
Rg+tQwnXlPgAPZVY0vXiW/hqYTPENfCUvNJ439ubeOVGfYSLAiXYKfvqM3bgCZyoUMAGmTJqd2PP
yCwJVm6w7770XbnlNngPvvxPYU+UyD5wSdfmCNq9yxa7K5pz1dCPr9IzWrg9risjCIhNDNDvwuSw
ODmj4WI7n76dkRvg2r2C246jxhMnp7kSr8chJCN8OYkKW4a6ip3X5TKtvB7UaFXuGU5G8ZrVcTGM
XrW4HX3hoQrn1UH34CJwhw8k2Thc7bEztGkaBAmwgnJoLj6xZaLgWcyZss2UndU+3UPsQCOPm6+j
+4eeYHCFwekG+eTCTRwumFPD/0PTAG2SU6vHW03dM2OXXoiQtB+eqdvCZu9Ag11Re14sC7W/iz0S
/G/I25xyBXuhVfdZn0I3ts4ltFzPd0GzHN/Ft9DmKn9RnAjjqvXwPJ784RRU9xQf/+9KeK3TwB5/
FLpJWbGOAp5w4g4vQgERrhGcpa7E+ixbYzc+F0+6zbWcbcwv0lugVGHWhAfAV2pycXTb0mlhVfjz
K9y1tbjFrpXtCphqNC5AnJp/wGBGJZzKE/Jv+bWe7FaHu+bKeDCai0mojy2A1X+iSrK5gYIdy460
Sd38FOPPs1HurG3sJxTSkoEsZVyYzx1nLntG1VFbLuVKdSULpILSRp7ULeTGO7HyhCjGdt2jQl1C
Ig1xKSULh0MJSkFd9iweL3AutZcK837WbW03wUHv19/zvvcZx5ChtoKEAYUYXwQYHrN8hX1LZZ2s
de4xeNHPMtppu77M5cKkfqgPAQKLrT8GD1p8m3yUJ+5z4wY5ZItcsd+CmMiwUHk/8wp0ZZW9SCTo
DTgBrAGJa2jOkpfUINDwUXEXwH+ftcKGTwy7nIFKPKwEzKywL6PekYnLYhYBEoSjT76VuVsRUI3q
CUhlTjEcdYUXP34KYNsek0/j3Yddqj6Nvcvh63/IE/jreLD24RTXwULgPXvsCWWBKhAGvkDjsSdf
qrxQugA/whaCg8H4r+xtzMMSYc3tjy4GQnnscj9PxEjxWarVqzpstOCgYXlk68dpJ65h55CPUSTn
cQ+dB2aQ5bbVDvVeKD4E9RBH6yx3PiMESRJeEOteXvukWK1gt7M/v2P+1j3V5+lKnuUgu2Lx0lfr
KvG6xAFUEa9NtBHaVcc70CnStgpGJs1lEt788cPEggCaPDUDXiOfLQTleHVrQZgpwclKaGwZU7MR
1y3XsFxCYygwJi/oThSoSMS8gmteOwE0GruOXQBlmQdbk6bu6C9Hj0upuKYXIXllqLODK2wiqLw3
7ATDOXUnEtxQB9KEYdyKBHnTl5s6e9bD3Qh1x39NY7KWaOFsuAIM3VaFwmomI1qBVIf+B1mAmGIi
7KbKuZNOlDPsj6i3WOyGh/kYYCQBydYOShULYZ3qJkTJpcVrSIJaCBVOI3jAFsu1yqE5MaQNyB00
WNts7D8UYp6SXVJvjGxfBU4GKbf7Q58AScO8gIWQRAPUCB2TGZ1C+IsG+O3ksSOWHvRXHx2GcCB0
EYYoypM88E7L5bexTuTD5ZbHOCbJHO27DF8gYhsbydURisYHxBZLEcY+ojlMeqbnoHLT8AAcnVv0
rYcE2i/5BQQcvWQJUVM0JAIZYGJvUyPyP+i9SMqSKydgvlMNRivc+xIUNlwM54z4TDS5IbNkxiUw
ZTaG+mUa51p0K3HHli3Jdoni+lMF27qXWNTTyzzYlWTNfshkDhfkyG3Es7bWGX4d1IC9nCKW3D+Q
7+nBYoPkFyR4UFy2aUbHYuqp0QYFVypcNbfN3NDawFDMbzWskfDHhxDyYEvC5K+ARvTKm154X+ZK
KXcBWAhbEQUTa92cPo+k17+yPbA/rdoT9w0WKoyw3RMaNOrXCjzcpe5oL9kG/MqGBPcUfCVf7eGz
3KJhKn+UzXj7Rq2kE7xgtz8llGr6NJrS6CtiYZqOnISbQU3DJYqUjZepz/Sym+iYPccEdIOxg8zS
3n0JF7Rp40XnIH0pTn8a9XX8Tdll2DDVHePwWrql4OBmXV3NbX3vb6yluVM9R1x7EhfxWHtNT2vE
NIkpMlUqX/NTdkx2fKBVe9E2C3jg1YO7bLyg7vdYcFlu6PSSXX7Ky83wMv50yOnQSUD1CcQN3EoN
MIKrulpnzefIVYkmEAcOGdzDXKMU9Lky0cBdmR8u32Gpp24j85Awzz0jSULOw0YyXri3eCU6dxSC
LGPFc+dxwxEwdCIbymTNOuQXbl7uyNRlVg5ewJo+sgatZMqnYRPaNUPwrXQgxZWrbHpg8fuzUPMd
qg/DdwiMSJZG1q7+iFfEs+WGV8loGs64mCQ/2Jdlj+g5ezb2hWesKe/04+/7CfpT/C2u54NF/C+N
I0V+WW7Sk9+dIKfOxq6RXT5U8Ks9IiQrfoK6tbREy8C0uyoUVNYtfqcnN9BjrLSN/ABgEu7J2s++
jdLpnuU1lQ4LZO4ST8Z5yMczl1Z7olOVbpSX6AU/4MDDjlfck7jljBtefQIrQXAH8hS5ebUWqWg5
OGjVI1v6BjiKYOeKa8BqJvqpT+MC9dN0Fzt8BA2f+kdTutw1AesfLpBHiibNen0YxMav5es4uDTt
vUKepkP6myc5GFYWW9oMVKpKcqr1U5T9IQXvxou3g2txRbMdVwstJG7XiyFlsBZfBRemOyU8MYLt
GUpo9zI8paEro9IJV1SzqnImLVn80ME+9LPJ/fXgAtr6Hp9BXlRHLFkdIdXb3km+6kMtI2UivUz4
9nGVUewM4gLacdc69wxxVNsHeamc4KDn7q36Rlh0GF7DvX+rrwMbJk0nAaukppi49dgEQl5q44at
qlTYX+OOZCbgxFXmOsXkkIwHB9NOE4fNvoIQ9+X/6S+FdcBEXiqJsV8l0QXxTgUnkitCf43wx2pB
7Q9l/z58sZ/xMp+Zh1FT1X7cyj9Zy/ADvImeTRX+lA1DVTv5TC+vha0Eh+aZaqT7hOaHUleW91iL
8pd5gRfNGpixpY4FHWgeMHDDRTiEmA7dhPhQ9p71Qm2OWJoOk7mo04Fhyh9o4F1OpJggg8RDoEOa
Le/xToznA1QR2aWZYHvOL9QC2ac8ea8G0zCu1MoGAQHAAOlhnV5FoM/YlDjVI6691E0R3E8JhFZX
lPcw66JxKzDQaI4iEs9uHR8a6NraJjOupb8e1DMZg+UNzLckXY2FhzrUbPbZm9mexvqFs35EtVx2
+6Tno54sTBaK9F6wEVRgcDHqURIUMuMgTu8gdHAiRQMRLu7jd/4HImNBwVn+86T4e3LlyfS5Wsbz
2Oz1pQ7VozMpfpuy2LxCgTTDHwSXvbDnNToQf8//k5+46r/BRizVGzdNj2vDuvYdFrQDPf6CjxAr
tPFd1NJweQl03TQvhr8nDEChuyIT6AOcjhIeC6YbFS/dEoBluRN8G+Ndxj2r6uq3wOd2e2tv/GdB
3DbazXpBsl2AOBPIo390wobG64nrHrl34qG2pnu79Sw/qP8ow1g1TnQaZv4lDmSMjraJVrtzxvTI
isrLAF/TtXEzowVsKH8jt97EbkzkLOEWwxtPdqe5RGsGhac7BfTrALryHlU+Khiaz5vwxDZUOCyq
OowTBj8UUeUanwjk34UnJ0/oDGvk/pvlgHzyjpqBhZRBGPEQSxfNjgg7jKRFoiF+V8DsyHJ7oVcv
LxldjR4/jXeOVn+j1mJZw6SDFN3l6mPRoy5Fn3gNv2ldqIvBclkgI5xsXGMjx3sai/2DjF7/I1Iv
lJhIwiNmQg3zxzur2/ieSV7P72BWNu8Hhk7HEvP+C6AGt9YTVXu6bYIjcXTdsJHYpW8SAoG7xBCb
rHKgGV9yE29La78aIUyPnqg6/U3EepQubJ8Y1ip+xfAfLboQnRpzLTxxkKPKRp0YoM1jhnMcriq6
5KpaUVe73GTKvb3AJcO5h7PfLJCQ+UF1n4ILSzboP60QJYUEZkWNoHMO3hCREg3HPgCNRdlI8amD
NbXKVs2f1HKpqBLdBnLHkn5YE+9XeZQlMCNIZ+1BlR6DdkOvANMq2MXbd+ECJsqS4SXhDkiJt8UJ
UpESPALgnD9LtHmFt2rhFjOpXch2PY4oxJSEFinZ0ST5H9NwVG75KVmzt31w2MT45lNn0X+bIDRI
TvEcE+8jHgHRZxJsWRqWTMbreOeZWFaIGQWXYocfulMKe+pVp6m1TXLDioNyV+W9zAL3GV6wzhyX
KzB582OahLV/jJMT1HmeLG0urFoyR4be4qJs+kv2xiRZmw6VPbyFXIT8fhkciHVr70glrQshl9zE
TNnX8OyOXOAgTSabT4GlgbzmgLB2ZZRYiGAwB6AdgbsxrC1zRT54M3li8qbVt2zyGLUxDKV/TV75
XYCdiuIiWcsasc0eZ6PXGC6tRyAh2mqcK4xzSMVXrfm7gbBxZ9xgE00nMfwqc3kqK98GgKPajemM
SSrERyH8aWHHENkNwhQtGtBR/8wtV0cfo26pnBtln2k3PIJwnfEE38FYaQo2ae2N4rRcPNHSebBk
01pDfoEiwVWZM/tdcx5UvEZOc0/btg4FYh0dtvb0QmFCNpfya1TLu+e98sz8Q5G4nsHTObtoiDHi
4NjweVvlyguyknE8UKE04ys/zWq70ZxcXoMm8m9aruIqjrYqvcZaaqtE5iV2we0d/pTjDwe1Gz74
c15naVdIjFqR10mdpew5rItVFIsp5U7PGXHIi+ItSczrGYHx4xl6zTLPMfozeyFHnOOFpxDHKMYa
H19f+itihh2DqMoOsIe+uOQsAlF+cnXynKSasu/heV6I73zqFLCxSt6A/fmGtw+yjsMd1h/8SAa3
ZqVk56OllnASYZqpObQo6BmIJmEuhwtc9kweEJUjJ5V9nqOKxZAAoIH1LHc8E2+oLQTRY1NMipeM
BQgsSdvyHd4975FTxKrApeRrrHDPQnPBF9yrPq3M5hN9hy78BIwGReGPCmx/RNcmgaH1LjgJUGVn
kgi2Ns21Lr1zrfAtkKusLc/91yvzCkTz8BZU2mqYbis+Gdck7UmprGou1GHNG+WzTjCCWpphbyy3
HH5eno0/v0zzjsPK3zMZX05oYPNHfPYYNaPl8nG46JU174qbiJ/wK5yOwRtDRsPLx+bTyiQI/zd7
57Ecu7Kl51fRC+AGXALIKcs7kkW/OUHQbXiTcAng6fWBt1un1QMpNFfECcYhN00VgMxc61+/WaI8
1lw6LgGvkTAl3v9MzmuEJm3FD/F6eQiWm0TeYr8uYbbhg3FDFARNY7yMb8ypPYdHmg3y29mMeJs8
DkG/ni76nT88PDIlMOiYtvxd3g7/ze0jv9AD5hG33B5w4Yyu2XUffaRFAUSWA0u+cE6dOPRMBQQC
cIbA5hr+GzeRX7YsjGTFylZi3SuGdU/+yaX/wb4mIZxmw9/gG7ntvEPe5pIUuB68nbpG9p7kLzVv
5uJK7ALfhKEISUxcV9K5Pd603CPWmcPtyFRXrq0nLz8BnhgZYMIjzzx/PIT1bEDl3Ez+fdqtcnNN
miHvR/MoUQ/u/fnMbeB7CZ1YnkWIKcDP5JnRnEJ9BXGn3OFZhdb5rH9EQ1IkWhQ0HlhOrbgNVkBM
GikxxMzfNP4lhjHpPPMDsXnW8sy8jueDWzmiXC92ytrxl5i5xzhaJkckL/yeYiNPell9Pm0fr4qX
PZ8ZbLAsFq+D/sRD1t33DwxIowYronVEsssT6QqgHnVHhjllCyydHSO2ADB7G5VrJ/4gcYRXxzoW
8YbKEYcdHKxNuaoLC0uiw8Ms12wnsr+iJcPESrYEXRAm4l6gtJk2Wpib1r4Q2x7PCMp3lXlgNC6d
DYyxzNpEYmuKV+4xL3MIn1h7fvvIp7zdhcFVr+BwUJeH1t4fUL6tLdQvLWOu5cISGwJFB2/SBEo4
D+/h9/Lf4KdWbpD48EwG6tkdD/++whC2jW4Pp5Lrk5VremEsajS+GS/jAa4b72xCWQIabK65PoLI
NITwy9Rp1dy7iBp3XA1iqapsb2Guxlwb80v018aGC1a2+7jYcuu4UEytHTzC520O4ZMLyw7E543Y
LI1Uual53RiBsBTLI9eU2GCW8r8XZEtE8c0WTO6b98d95bEMmdu5Cz6JC4f8VNeQ90TjxMOYHLmw
tHm8JN7/QgjyIRetYm8TAubfRNXSm8KPTAgKLZ7n+cSfXx6CASgTQ8xVMGIQDuNk54Jy0pXdMLmw
y82I/VQDpHbTD9ONlmq1Y/dcqRa8Hy7QQ+K9sRjlKf6CpVo8LM8r0eQ0qcFh8kiafF8SyjnyMtoM
9ErAUfopkxgCnM2RhHTj1YTj+bvsAnfrDcuVJgiOnQyUj7SaBiOJHR5U7CU1z1hJZv2OTKFi8QBl
v1y7TKQwQn6J6R0WH1T0+h4z3HE9sSgmBOdXKP3qCZwNJocMThZeqzhQhenVz8Mdy2BZPy6mX/AL
cXRh2NH0x6o/8wVutVKnBtfMYY30kCWpb8MXrqhpX2B2pSD3uITEm4o9BH+Ydo8doNPum+Bzea6d
K/cSoNVkIMrYU+EQD1AP6cXIt6ysvt1CuATJZQcqgUmhcxVyuW7TFCAwAoiS7P60+ORvw+8n0Euu
iIsthr1wd0W3xiKX7blyjzyGvAvSq2mgDQp1FijGfTQl77S7Kj3I+BazApigkcni2XQpLqRkpaxh
ZAbpodIfxheMFbYx90eRnY7x10NRbVquKeWNfPOba41Fq1wtTxIpvSbWe3igr8yLJDuRyzNjhHfL
ZC9C3R+fpnIthjeC2JapF1BCvIkTaoRV3hzZq2wgp245aFiLmblyP4ARJGOaXa32PJjcCh5ZGP9A
Uoun5S0rUID1UWT5JNkTMvXMYUQgKk87QzwdnPgntval5sBe6Gp88nkQH/hVUfzk8RbqA3eNk7w0
Oe2PRvaQMzOblnfBd1Y11psEz66xsGkgRhJrCdkaw2NJHBt+MYC7cD//gIjw530kyt6yepg4cW7n
HKdYWfI0MvSflg1kObNzkLQDOwkE5TlZl+WWx6YXV5Yl5PSwfVFs9O22Ho42vwpdeEJE4RcPPDOQ
0LmydLuEzW7NA0WK+cgbguzAqsBJY1aY3Oys7oi2BJ8FbhgcmP7kiD1mXca0NYHOsXQivYBBDI69
w8md9wA5XG6jvIZUXGwsv5sRi7W+z//wzLCkeGXsRDOh67yC3+2czYidg1sUET+SH7hp7DwFpBVv
xfnIt7Fdth8QQtigOO8MceDbyeelb6ZeJmUQzlqxqqw7trE+uTQYTxNPlZEcjtkbz85S+3D2AZbx
KdeQ4ozVYo70qPdMcIQEtl+GDNxWfqqIEObAGb9Ii8MOSU46kibtvhDfxzxzqff4VZQg2Y4tJJ/x
KFuSldLFQmvg6cf81OwPrBnwtNz5eIATwEiGSox373+xyd+DjdKs068uxzfME+BPmEWEhi80g66F
9XeAaQGYzOHcgDCFVOTNqjMsPOdG0pBXLZF1N9Jk8xAyARXCA+DoqG5czMr43GhKpkWD8FJ+PRus
UnOLU7CyYQmnVEievp2DnKSFsvOPAtPoyEkXg1eYnJM2k13tudekHh28HlFFSkWWlZlCoird4oBg
7T3tkFEU3WQfM4NnylTZwUTTe0wMRC2J15Qbo8n0MTT9ATvBMMKP0MZ1qtQOHsgmm/goAc4az9LH
qcnu6gRtvzVzR1rtPmtP56sobH2EFeOSQes6myF+Um5AI7WkNaGtxRtnFt8YKnzokEOmxn93H8/F
rvc3KXVNFAUEGEGavtGdJOHQtx7HABMmb/nJ3x9HEzttwyy4+/1SkzkFRY75+PtvRZFhXAZyUy6y
oNJGcVks2kutEi5ZP5wxV2mO2f/6YEczRMzfz7vYhyFq12TxKRZug0AXe6r4Pz847U6IiqNET4py
w3z45xtSL/0KJq/fEFbNEGj50AwTwSP/fP77fwM520SEFYephUWZ/AZZ/f5vblYQGo2qxmKwnE+G
gtlpZM20Hl28P0rfZ40k8P3XXYhX1O+rDQwYoY3KOnwkl//9/eK/f3D5aZid/Ms/X6yz8DA09GBd
C9bT+DAhf//y74d0uTPZ78v5/d/fL4pavUqTSeLooFaKCpOcAZeTrl4u7O8HvXz63772+w+/X7P7
eO+kXrJzfH0ufKLVyyFSUF2wzl8SYv04wpIzUy+NabcYP8X+umO+YUetXpuDECvbg2Uuz30aeBuR
+9WuJXdag8zMkMVEsMDbGMDrcvxLkmJD5xd+ks+VUxGoYxXiNqmVYDAyw2lLgdBSHx1wPZTRXWlA
lHHwkrXqRUgXY6eek29LSd6ibCLAfiIT9Cab+iUcT9/XHQfyYIpVX+Y1nOaJlii/bcZFTRi4GQH3
RBjIMfgs2sdGAAiKxiqfsAs1Etp1Myn0lozUdCfsmkEIIInbeNfJtu4J/aywEoD4qnR4042UJxOc
w51oiNgiCMujJQCfqyYU9jnO8C5HGv4kDy28yhrUKshybOKL/iAGzMIthyFco9bh2DM1xBgrlmLY
t7kGh8JoTiLu2xQjVzqayIIhfLwhpXDd+Ocssho6cvU99gYHdEQZ5IG2RTXD9NTImNZzCKE99FdM
FWKc3OkKDaYyc15j6hwUXFSc/vUAPorL97bWMEIKiw6jqJKXyuwO8OkTTzOgTemfK99PDtYMB6kC
ZQ4ACD1NsG6Y9u9DxUVrlHZBXl8cSe+AF0y9MkkARay4HgoUbeM7+kASwPwBxr9zEzvxm5ow+o37
OCKAvXJ3eUW8EwiQsDKxHx2DwwsvBzcuGcD0gFVeyDxqBtsxk1nDaUsjJE19eSmU/WgvXRdSiEMA
hAjVCwWtD/NIEt6FbL4ZDGxUY/2n6nnFhoH3TGsE574bxa3J2eX38bEc8ZR3E8iedZxhXkI1aopP
mUpxjnoOuEIgNK2T6NXy6AzhMfcHw55OfTyMa2WW5Uk6A0IJEz9oX2Asbi3lvVWFm0iX+QU5mK70
QJTT4OBmWl9n3cOQYtCLBGU+Wb54U7YDlWAwdnWfVCyggHDFXW5H0VWXd63jyddkgRDFRmonOBUj
pl9J1R36WuALXFcnYTQX3xd6n6nu3YuEtdVawVVh8eIbhA+GlXDuJROm+1GAaV2P25tI/AE0x/8u
61nfzBptW+q638qgnIvID+086hFjwEQtSHCkcYu2JN7RPMXYgRyIh1ynM+6cFb4dPF39nywxmALN
XbZNLc7fyf32I1/vdYOwD9nHrTNk9tEhvjyqcqr/KfwQ2F3RiehLi45/Nz0Vyt8OriXPTa3wiim7
E7oV8nitv87UIqCpAc44Apg1QEjqxEkIK90ZKf4pJsqjwlJHE291D/Fs2zb2sYQcgczvEAw+LDZ7
okmq03zV5F57RCHVk8Usvk2CiHdF5e1CK+ckaFrMJsp3TVgE3jHWbnby2+VJR6krzY0wcvvsx9Nn
kNXJ2k7iTRAjedNIVJTV7kbqb1fuDcfa64TUUBNbZjzU4Xo0syZkj3NEdlgGziFib01XvJAWoYH4
CgWsEv7B6Km3hF2ZW9xYjkU9cLD44bTOejwjEA0fLNOYD9opp6sbx/u0FicekeIzD+1LQJCG3VXj
s1XQx/XI3DzNZE23wIZx88dtx70bdMZpTqBpkK2MAGycSY4K2ufJzMeDYzpnxa0BcoT9HcU4BfbO
j9D0NyiucJOTVEWWNd2OzHc1KbAEegosNF3ntZFWC/IxJ4cmcagJK4CoZuroCRFheTXRnkYzjIfK
8uANxkyRiZkLLWddOch0TOU9Tuhfj1Pk6l0Skgcx2WV5nClkvLw690ntXHuVPoWWVFs24ww3zWcv
qszbLqzPMpqdk808y8sS+6mbBoY6ULHahpQw7b+Pk/zGZCnZYwf+d4oJFLGd+LnCeZEpWxW8G8k8
nGVdXUI15bsU0THqAfMDayu6+ZB5VlA3Z7OuSXu14pfSw7fJZJIx5dbFMma2zWDQWyPz441V1C88
pataGTXhxR3t+UA8qCFFvklagylgJB5do9nks/A2SEp/0jE8p63tQKfFyGWuKTsrnRCeTLebZ4xd
lMsYKMgsjyyg4alL7fYQodBh8LBAJGiHsflJMJZUW9cv/ra+hT7A+goRqSMC1frQOklGwp792hWR
3sSuGHd6qL1t4Q8HJSaOWtf2tkLTHvmNuy3M/MUaHDga7XQ1/IihmDPMmwILX1lVJcJH2Z3tkbxg
xdbSu4O91abdn+26uCek9s9YdXdN0YIRZKOzn83h7GITsuuSGMNdTz+6oIZ3qb/i4lU7wyYdpOgi
bFY9UQJ1TlBcDAdltB0e7HHA2cYymmMnECS1HqCC6uz8CfnPnZ7GM5mht0bqyY0/F6ggKOhVTXql
QCyJYzcISmqU32VabfIUu5oRGnFoon3mYX8oXQuo3A8OCRX6voigdXhxfzYm+WAhQ47KRjIyCUoI
3GujaomXGNpnuWS4D0SI49hCszVHwVcyU21WQQ9VxgOnauzo4JlAmlnpi0OnN5PcZiPNoTVANeli
mKZVBzYXKNaMafU718fuek6HC6rHMSv/Itwni8cTH/X8ppohWEUJjt/lwPv3ULzMs0wuU3wXiAJu
Q/+HKFzIrBPdgH2a5vTUqWY8N8Zowhv+joRHYR413UtsPGjsy9aZxMIqTIfvhAT4R8lkyawS0gAw
vrhE0fAVtX64Mw6OqPeqZnRrdyMwwFwdVEFJn1nFKW4K9yqy9svqhl1jU26oABC8Cea3JISIoVAJ
19PEMn7323bjRjPG4dbAuNkKOYLm7NYaL5OTxOe+ZoQapM5WW5IBoU+TQxtOxDIN75JGT1wuLr2x
/6dJ5EHb/R8OnAdiSLKbanGUqHeadbohDFWca5mfRmvuUJsvGJNZPY4ywVoJHtyUj7xJG4GvAKB3
pMt4sHXQP3tEwKuzIBHhjvR1dcGYAFh/omABIQhifJWtsb5zrM47Y0lzEiNCnCwmG06nOAxNdvYZ
VGF6xnENdlCa7TxPALmOAocHbVZ77a/x5qVHEidrJDXen6xX4sLv5l57FytvXpCtc04GsDdTBOm2
zZYzEpOwmkp5n3ncSowiYDXZzg1eB8w5TV2vPesKYtblBXF0ncKh2SwvpdumIOAdWJ1Xi00etcd0
GNRLC21xWzNfx93hwfMa4Au35pblFHSDyZReWSXQcOOWiPeqxy7F2K4VCO5QdB1I9bYx1JH3rSIn
uifFbym+Qc78dniiNa13LTJs6MB8WgR5t8kz8Y41VUqkTXPSiIwBLa33xlV3RUWwdj/P3WpZPF42
kZWNJ5glPHfh5FKSGsW29PAaJdlYoMemjDDYmfBsJE8LHCRM3feK2nfjFOZP0RA8PZqa7G3coE6J
2vuSRVrbEdsYUT9ZyLg21711CIcC/+yqQO/GNllqlBZOgFY2bJ8cMw8uagDZrexqXyWLDAHCZ2kJ
rEnD+dY0B2tvYw6xp5929LxUBVDXs8jcju4MnRFCGA310cqa7NonEuPVnuF6tsgisbMjidSbnLMZ
ZjurGDxQsyRcSTEePI38KPAxyQ5wQzjmOXZZXpaBSZG07FqzQ3myC5ycoC57il4CQez6nJVox/BZ
j95yf7Hmo6hfe/6cnVsJnKJ0yZlnm+Ht5GeLXoDxSSjyZ9MEF/Fcy7qvsbACqQbzc6Ni3oxtgFLe
wQvC9aMtNMB0V4cz3t9ddULH+KMmPznKuUpATtr33qsPs1G2QA74Z82VdQwbmNvSb8tjA4xWRrxZ
M4juOoeb287sz+ZMYyiISdCBCY1sgpthpKbAt7d9Mwxych17kNQs5HM0E3R0ugggpwTWfzd3xxn9
S9vdGvYQXQIzvbNdbTzR7jqcnV9z06qV254GLwGxCZg19sZDVfpEoNIo+D1TTTPk+M47puglzsIT
oovM+dJZjEtelpg3KYZgjB1m+Fvd2xCOL8AOgvYpYJcT7b7yMYfXkazPYe9oBhL5IaO5P/p1w96i
4mPLpN9ozHCXqWxAE8ntRNK8M+YC80Mtli7UHI5T60CcxMGz7ymdyxxmqOWgPrF0cfCLzrl3iRcY
gEeGKEwu8WRAbZdK3fJ8sp1iKIlNucneGXSU257xbaMsOAVW8jYmHKtmzGrkaWFBU8IiHxrLbWNV
2xbaK56RejV5kXdTR27ANzR/SD5yyAZv3k0tCKZLEpZoXTPJmd+sxHyOU0aF88BYPpA6hP7PqD+c
ppkBtXqPE2VtnBHnbQ+ueVtD/48V0484xvy1KrLbMXEeDV8POxMLTeYe803wqSPo11NcQ9UwvILi
ock3TXzN5+llnickZBIAuK+K27Jtn+e43Bt5FD3m4rUdhq8xxcULQx6iT4A51rzc+sYGu8WZ8tji
l7qeYJBY1QhfITgOQXaJm7Njme/NjCVD4ciTj9vAjRQe6XUpdnWyGK6ZqX8cjYwkEKhChkSKm9bP
skeR5G+efqmrSnzP7mOZZNdibMiuL2fGQOm4DJ2ZBLUSuDVzLyMHEsH33d9BSSxbJbM8fGsGTvpZ
7nBQIr/UgtGIf8uHMTNZsDyNyyzaMwMO38bKXtmwsDRPQ5iSJft7PSRfSZV/136kQHXVfWOF/bmE
Szlwqvpz8C2xMt54izVI0s0vH31gjbdmb2xkwUXCt6LaKSeEB7Bp8sS+t5ph72cFPY3utiU7+Kq3
xvMwRM7BjhwK/vgyF0TQysFndFHP+xF3jdU4TcgOeowjEu9Q2AvmsggTNUkIcupqAPFe4UQ7U0zZ
9R0aX0YXirWLa+BbKeWPUxjVNu3bz9LjjttJWO+m2btzcGbGlMDftgZVkU9vVwdIafAIZlGUCok+
hPHRxQlEotvirrN83Hjdjv4SBCGACnAEZcNGKmBkU3g7yPo7YUzZdcVfEZIY3XtoUBsIzOw0oTQ/
jAI6EVaQ02bKmSMnDOMMF+/VtvksLVRQYbCdWlUdsC5le3Vp5cIhfu3b9m0c5vkuF/eyQGmc9cQ/
4/lRwl3EVMkwqJhbsHTJ7zDy9tplDZbmuu3/ndj2/43e/i9Gb9g4/Z+N3l5/2u5/vCRNlJTJx391
e/uPn/zPNFj/Xz4Pp/VfXd3+IxE2INtVOOAFrnS9X++2fwzfzH95jmmZ5HJjFRfgOPGP4Zv/L4t0
U9Mkt9h0benJ/xfDN1tYi6Hb/5bJB4phBa7wCeVzpWP9twzwaHJ1XqZRfNCGSLfkzv0UAzGctoak
5ncUTY6Tb/K6wtW+7z+6PgBoNs6ZtvpbKDex6x10jyshmoBkMZ8uS1As4RaItHWEUtL/wIv6rh/N
clN5Y0gYfCRJYqHGzFOIFDoKL4l3qlmbxCEebQesvomYq/V2A49LYwH94bmixsNc+eueXNW+1iiV
YI3jxUouCt2lSaM1dA6zKXVoghHHRdeAnDkxvbFL/eFHMQy6QG9TD+U9VjWnIULgqOfpZvYzuY4g
FxQD1QEN/ApoDF+PZXaFywsgLsFfYXkxKkut3XTwNpb92MdFsnayHjqsO1xy05nvR4/kvGKiclTY
euD7DPfXmpgu110tgboliTNWXOzcAM5iFRnmhqw5EA57fMx6YoMEkNcADWYqGc/a/UczkcHhJt10
l0oTTMxeYlKQtPej3nhTfWk0QQN+4htrjG0QOhj0EsTSgacohSdan2x10qe0WjVbJplm8TyNT87A
RDVA1l/l1WEU2BvYor0ES0sKwcR+qrtBn83YeLJsazN17YsX66twsWjX3lZhAOM1kMbAgqvkdbYR
GUtI/6Zx0rW886r5MvQS29z6w8Wjf6gxpMkQnXS/jjkdEmH+1clRqjAQuYnK9l1zoq4EPryrDiMf
1LYkmSdEZ5hex2gyr07OOKJBtUoUUDHmcyj8dcT0YXKYIFUiPwXmcLEH8y2p2gx5tB1AraHciB3v
plQmMLANhSav6u5GZq7FWBrGjRMI6C+W1+1Sl8iGgXyZoiXCtOIBh1ZG/2IqX5x63KXeZmfVdOWp
8318yzDyBPIkZqm2Zr1SNjDSZENHKTCnD0bk+9GTaVPjWkwv1jrKLnZDExuazkNt2ecsFFc7l3dV
Bp6sUKREOeRgK31TddzcNZwY4wIbG04I76j3qYbGYNMXeH5jKbZNGpCp0cjicyugNuRJvNUlqjHT
Rr9RKpyia9SyGgPhCXc1tTj4R46h6bDDTdH3rzb14CEKq3QD0rZmJ2CZjSDgBh4CmHedw8a4DrZg
iqKQFDr6ErZkmAEPMdanT6sYw+eFj59qEj9mLcGjOKcPDCWtG1UjMXELdfETpHVdp5/jJ9euH5Lm
IShsY1e5tJFmPX+nHYUoXc23CNQtViLo3UzWotuCA+TI+/2Bon2aG72pgi5+0+I+zL2O+UeCUGam
bO1Cfw9Ow7J5S9MHJRDB9zSeg28z1rfgbDWpIlAAwcb0Wlrjz2QM/i4eBIEz46HHHHzrW0ijRTBt
5wyCcjwO9xNefeu+At4ZApQlTW+sU93vMfFWOy+Mrk0XYygXXpG3hDZklgbsjwfv1sd7lw1gCTOs
7Rrnd1+twL7HdVQBL0rR45mbmHuz/ZDTLPDm+RjHvlj7pr+eAO/MeblB0QyIgImOHxJZS01BFGIb
7Y2gZAYeNV+9TcBAUbhMHpr5oGxpn3MN78V0wodRyfAZTO6o8sciVhXz+/Jj6mOMPJwYpVHp8Waq
+KfGTM4CkL9LNPB07vh3ThRCson1iy+d4hi7L6GHwbaHR/SgQZyyOLgOjOWyGlyE8gNlrYShIaOq
3uRxLDa67s5FIH689C819AtOm4Bkk4SWntk/GgGZLih7Jg/dlyFMuBcF6HP7FSWOvnVEBa0zp4Ie
MG92bGIupP+JTziz9ykg7MFhw2Kc7qRBsw5qdiZVzbuxgsvZ52509XaWj9VxZ4DE1UnN3QW534Vi
Wntdg9LSkAatEDmpgME0VxB1ekHANjZYsftcLCaWTlwvYW8H4iKTY7iY6FfwPZnlMC63cJBMLNAp
m9w8x+8vqoielblvA3WnBziKNRNcIyWhYuCUDEkZvxbSRGlP2qOqC31scRBDN7oRAqmbIcnWskfG
K8ywRDbWtF2YSnqk3wVT+djkyGFzGRHfncl3j7HTvvgr8+4tZfK38nN1bacaXch+nMHYgmy6y81b
N/c8dji2l67u6ZXsEI4rCRyJiWuRGTU7x6uLVShBShI0Mwqjnfu8l1BwHJ6d5IWzQK3wP892xLpa
t0PsMLrlWNOFuneyNiAzjUESZvme65dvo+3GJy/G9npmstZ3JdPMpqvOiVdf2j3eVsadi3tSGnvD
LTmYnJB4t7mmfKQfdo7VYGT3Rm/yIae3BArdx3W7Fyn9Rtc/zr56Fi4pTDR0yIVecW2GyB7oV2nx
WFqj2uq6nw6Vj7hXec4OFBTqpCMPirHFfmgP7KtqiyXnkZCBu0DH9FLBiQCIlYMn7a3UzDUqwjLA
NPi+BmRkGuR1dozpGvaqIZhr/u4nbFySUQXw7M33utEPfTcRgh3x/EvFmLHmwaTm0PsktLvVPDlH
Cn8bl8kNz++dgP1YVRlSq1LG4OLQ49z6pxJ4tqmx+lE9ylRPTcHiG0k74DbbRGCaUOng2GZTeWRo
/6cYnaemDzKGSu4DZvE3SZ4O2KwhfYkJDpN9tTj3mIdw6pjNFcXK4ThKCDfGhxo2keUNF394S+xk
H84jfaUi57SI9mIkC9RsAhhPdvSufB8tsWVke3NQCGDnGMNKtCK4yr3HYbLTs+SAT1dStuOr12T0
Sqp4sjL/VfTjll+88o6VJnXAqZEyq64k6Fri4DNH3NDKgl88JrjnzfqtMaOvKrZKMFfo0bZzAhdu
WUBcMZOZE/iKRIQH9TQhDNH2oPfLSFtgRpJjTNgvRU7d5Xn5R9oB0ORAUr6K+huhIIgbxvBQTN1L
3i86BXy3SSMLl6k/sc6g/tEILYKJzLOSiGnmlJ2r1UZ2qVKH3+LPNQ6khEKgdbXrTxM/vFsHz07h
o1EZkzE9zlN3KJL4mliMrLIakHvAudhq5mtC6lOCDaA3R29TDfcsUO9eYzxlaYfKPw6xE4DmcBMC
pe4nn2xwF8lSnM/kyQio4k4qrmFg/S2KmJgIb7ihfEBFSflE0oCP0rrFnCsgUKcKX7PlQW3sdOtz
nw9UKznOp9ChS/a6RJOSU7TkJXatxgMoEkhvsmHaqmnk+WoupL5iiYIHCgkhN6POQaExTMjsT8Ng
Zj7YOIQatolS2X537Qo3PTQoOafoiXGci0K3Rj54V5ps0aVGsIP540Oo1J3lQ5kVffqQzreqiq+h
m+FD4CWUlDkOMqWElGXNeOrVVfHka2zyWvdK+q69NmGxwnhwtk1rPlTjUN52yywdZlsjA84xDWlK
gKbd9KmL98XSNfQPwHPgMFVz9R1sX4vuEmYzuqFh7OE3exwv4eKYZbRk2gvybMeRcRo7EvFo7dz8
KVz1SslLbdcSQ+EMYIll3d735QQsahmM66v4ULuOespgvTC7SHsQb9ysWgdSXmxzvX0Sqmp+JpLj
uHOH/nn00VfyhpBrB2O4nbsCLqcBF9l1oA6OTnTo5lGDBdv9MTf+ssek1OR98Q57wlfAkk4PFaXd
EnhEkerat0MULNa2UMP1TDCqVTeHaXCG9Sj98aYVDaAj+6pvSWozYw62LTaHaGX97C4NIb5RJ6l3
VYN1lk7d75dRLRTuCLyW1Fv4e/rFTfzd7JeXyUfhW3WFfgvr9GsIqEbTbLxr4+Gnd1pnlZI6sVaF
uDdpNs6iZ0dJEJ0UEZzw0LMO0fJPPH9V6LYgxMln6wwnkDTmRiwAKHb2Z4xfVyH4UwZpv7FWr5OY
fmyVPbSpiW7WyEokqPa5vbiG2JWKmYBFzEnVLg4MaYMoGeYGtqmfUYYSmUrkvWibQ+BBtZrvGR0e
277+oItitjC9aKPZmkYJ5dc+FXi/YnTcwXu28Eqa5UMB71SELlIxFNYmlmZzlA+r+cGr5QPxOh9B
gMZZNnCdEWXaJimz2I0Y/UHiiy1caxvR3viuvjCbsGF0ozIZqmOVB0cz9w9JARfPhqwvQIK81tt7
YfwpredxhnBL9zaM9Z8aG1bLk8+uPyY3JIuM8imc5BfV5x9/YA9xcUE36j+2dZGQexoPciBHS2Bi
FB2W93PH9ueH93Nkn8q4fkkMbLeZrM1Be+/KCF+a3H8QKaqcGG6hSYLNDRMfhZs2xkz0mxFZMfyq
NC+utduhK4CnB2VtXYQ2icvGeCe8+Fzr5j6d7beyQcIE8UQM3RE7yH1rhJtcVCezjG4rsZDJRrA+
9gWonB2PI7L0MbKvlWm9OKrZ5y6Qa5SJT5yDwqpCSLHEmansSboO+pfmbvKNezxwgaf+9HW1MTKC
JINw5bdMEjGMn5dp9VuTlCkh9uZTXJrMcdiVmYxU0FHn1EXN6b6rqn4yYedHKrxFoWVDIiLAaxON
2buQWPIOSnz2hTxT/yKZiVEFWG7/NSpvO1HiZCF8GCtfZ4o5YUshANVdUdp5aXnr24SPt/EXk49r
Ho4gAiltn+3fi8BbO/XwlCTQygtAg+XWlCSgCFkgWtrLmOa9oB211SNZGtiEINj1R4R9Nqm3tcFI
p7KPnXT2sQOnVNivAVM1hiThq+ZEWq65oYOnBjqRhBcc1pdB1x++SdIFIaHh4DGwFf56nuR9byO2
HGpMjsBFQwT7U4keRzxTVryAXuSUUXTPRhwykkNfnSYI8wZXPD7UXtycSsPqNyMZcBi+ZvfZaCQH
B9/2CsTlYmSmeU7QEJjV3P5P9s5sN3IkzdKv0ujrYcJIGhcbYG58X7SHpIjQDaHYuO/G9ennIyO7
VJldg0bPdReQLJfLpZBc7qTZ+c/5zlkvpt8qYgUws48qIef4/Jky4Z7DnoGk21ZslEEy2H5/5Nrf
UWuqb+NQ3I8dCgAXrgT1PYckR1awtA5GFIMPCyTwxBYgsMULv8wYhqKUXotwvJlTTLKFgrxV1j9L
ANqsbUCL8B6aRy+7b2vvM8J4T9hq2EQukKCxa6kSTBSJTGO+y+hPTI3gZHUMCoSI3huWdXGP0JqB
xxGmf0MV1BHlimVcaN85ET0k3p3r3zY1y4IkIgfNJZq14zevt78ZOBAalnHY+Lqtq2Go8Oq5m6al
t5QtGsCbmM7M8lsVEyHImVFuqW0YtibOu0i1D1VYY5owys+um1xHDxAZJItvjTFMzyK+r32a5VXA
iCvQzrMM/VsufQ+9nTCEEt7Rm4xntzfumea8Wi0STNmiVsFVPxixRXIx47pYzm9mWtcb247kQfsT
77buxOvyYME3J+ICzmIo0ttY+P5dHMK5DyCL+hWBDiR1jJ4ZRTAY3UrGvvuM1x0lSN0xqqw3uyxZ
RFffZa+D7di4VM1lDgYbnLIWdtwyLd/LoMpwyu6yGSefsso7Ecb6mUnEOVBQG6NGXzHcsLcR0YWW
ZKy+JCt6l9rs1ma+B8sjs0HgmgETiFCybzeHHzngKJwchFCjuTmhu1M9g9S5z9Phxh56cz96BDod
thwldVpA/FluBWD49JvpQ7DSLGyGjNmrNKazY1YklR19ZZ6j9roLvoSI6nVjUCuaikOhWqzqDUYn
sxnuytgEHOIgTsYzXvva/ZX3vEE7r2YnSUrA1XAJy+ETNQLAnRpgtzC3OYsrdiUDJV9X1cy4JjG1
d5mFNz7FYcTQgaCq4x1HW6cnywrY3c3OiWuqtwzHEQT6ll0CizPFWH874NnDfuycptG9NBFE2zqH
wScD4B0t8kZuTv3T2P1gKEYhUlsSc8XAZvv2bd1J/wyjd8CMt1Spd6wL8vFGVwiVWCXvhqR58EZ4
CkvVIWOfkSjLITWBFQRIgXiIf8wjNraUDd2Wleh3L3B+5p5ZHIaMjHDne8m1r8SnhtiIMEhYyC58
gPf1aMeg/vylK0gRoVhqMSt2OawFx444mFhqRZOHKpPf41YlECrwQJfhLWaKQ2o1y1vUphzVqxPS
DSU5nNQg6/TMQJeZnsc3pq0Jl9JdJpAvi0Q/ZqX93NFiyIzJeCsM7Ia5Jy669yCT18RWQmHc4uq0
A6M6xILWVxfDYSvsFCICpifgFYF+LYlnZ4Jy6wo49l6mwD0t4DlFjjJahNalo6WT/sMfhrBe3GU0
ik2TxLLTz+QGuhOT+VPgse8w4mzaeM1YXEKN9T2k/9gzc+DJHovfsfO30VLGaJ3r4IaqlI1u6u+N
IRnh81JetkyPKsMI7y2HsK2sCzWVDkScFoqrNk8x/DxcnqwtSte7DFH7560mbOb9MBTLecMwLrxR
2BGy1yF/ifa5HvKIBqEJVxR0Hnww5Jn4jFbxRHaFtzpdZ8OlC+kvshGszoltYTPvzDsEGebcdb74
CgXmFkfQ0bggbzFAkRIIQ2ziug9hphcLAtcOCa+hwrDZSMyTnAAkISfXl2ruaTIlivvbgN7LP13p
g2ZR4wNNq7iAZW507spH3I4Q1dq0oYhZsRVZ//XIVMRvJGnWolTZDk3eJ/XFv7v+MOstJPGSP/tf
7mMVuhuTyjq1Dn/EnroC4l9LhraZfcow0H2QofFTutafh6hg28pk5bONL/6CbwStKy/x0Kw3vcUu
uqlbiIZ+HOSXWHP9KSznpo4Fn2ilc+1LfP2886oL7jDI0BXBGDPu4GwXPInroeNdA5tKvH/cZTn+
hVVudaytDknt4xPVZP/5Vet9yZSbzIs5tX98YigZYJDXIKBYcXoLm/a40pM/DqqxQV+sH8ex3tcN
yc5E8S7wKWgkA9cZ2CqNS9GGeqfx4e38vP5Etiy/LUPWwz1433FAwK5z8BZeIc6+xI4scNCZnWni
18ttAkzNNutyopspdkgAQXlHTq5gs5IoA3t4Ds6NKwG9o1z4h6kTT1nQ3MUVa6SEa+lmtAgass6J
b7wkhHU2I/K6Vhrso979ySRcn6qiP7MncG66ib5g7ef7ClXKANUT4tDKWd2iQrq0EfvPA29DLDcL
AT/OX6akHY5yolSHF+U1kfb32OLCMuLhoiUkeTaDrLqBeY5Aj9uRczROr3G5COAEcazB2lNP9iAz
1V5BxO/NEqReRTBq9mviZaOdnDTS0JaZ92W2Gf1ymoM51XfYSDuSP3kqToWYSOQF/dfayF/E2Fr7
BD2ImE035I/sE22sGpBJiIizXWrIqggXu0WLA7jjULKIs8Jv7H2zh8owiR4HmWJog/9fwoErqh+1
Vd634i6UFpxWtir2dMw8dM/ceU0xtdHUZ//MDfdTw6Y6q6trlk3Z2Z6AThsy2MosubVt6yWtFfFk
h0w/ABzZ0fEakQ0DkvzcTt4lSZ97q0BvsQdgQ/JJNdV5UMmdiKddVZeviPHs9wvy3X1QvEywhO0Z
ukPf9W9Rrh6Wf7byyf7ovN14biWoFU1+0Ie16VHwGcRNX4KaIvCA9Jch8k+O9D5LgwlOvzh0I/GF
psAJDar5MTT2F81v6CQIIxrnkd1Z7dcIxiz23E+Nvik7KFAIlXDcp/bz8tttJXLDbeq6oDRn/e71
4YMiROksxjyk3QtZAJ4meJU+Oze5yYXzXAWsf2beHlmVFcegEi8kojAz4ciL4u5HO2iWV+xzUcC5
VlrnSkjj2upnC+/r3hE5fNPMP1t1fIytZs+5kat8nVPcE+c/UykphaQ3blcQB4sp1o6gMtKmDJUu
aACqmtNzZanvuN3na1uhQZkdWOEUGxHdGnBO1FCz7qPpRxtRg+JwdDpkelorIcKklO9C+ncfFoty
6eDrIrxyl5VFsc8b3W2pSsGtwWRveeoYFNnvNQa23jbe7vKSXaoVMITAePTFcPGMavcTIYUjU0p5
azGCS3rgW4GF5h0QQ90E9W3jQg1e/h4NzWGgNBtFbqi9pWPhc9+Id86VNqY0G7gABFcZ8DvXDT6j
fvpOngicWLYPrQYv7QBaVAbNsytTBATaHnLTvg+LCqTFUDcH9Brit4lzYyLWnVyvFJdMJ98miNem
1T7GbvvLSxFCZwxbE54QdEEDiLGi4TtlECH4K+6w/YB9sd/mCv5PiWmwlupmVvUT1qgfA20gG8ql
lgU12EJN54XkxvKpOPZg1aTtD4u0TOnLVzfmTRrEPW/H8rXxzHs1YZZ20h7KgTSOWf3KJovOC2b3
cARAIsiBVhyFFRIsEYUCufPMRH2pvEX8VYPHzs02UBvrvZ2kYKjbnqUztqaaJkHsgg4Nk7xO+JP4
zdXxys/CcO5knGck4UHzzNiM6jO2sntt4n/TpEZty4dpEJPlGBxYgm70TOVMTWq9WZapDO98Qx7D
EMChJqLF87qs3dltKes40XjCALRj+04BY//FiOzwEPhczAHRmDdNQyqXJVjrEIAdVLoLKv+pVu43
32Nyw8umsLufVjk/VvWDZ8HJk8iAY8BrcflE4kCOL+rgy/KCb6J5j9Vwb0gonNK40E+CONHJxzT1
dsaUvBOeOCn6x/nRYIi4aHFqEA9TgBLDYoG44jS+RGXVbJPUgAKYAbz6ZoRBQ7mJPs+OOE91Irf4
RKGbmwwPHX9vt0AiHazNxOoILntqF9jGKXUnshDxo+u5D3amH5de26Jwd2Vm36//7qRhQoo0JXqg
s0PjlU/0LC8BUi7u9A9tpFjC4e6C8xDgZhldHzqZvXjRqJi6hvA4i+mnofSx9KkAGtFUNqODyOZY
9T4hQEUFL0RcDzhLU9yqInhyCYva0wAuRr4rdFz8hzASOW8R9ru0Tf2S4HJssYs6BSU59FnFEWfF
UT34S6mPRigKdcQZTNrvbTZdjMl7077/y8++CUqt6IB2nwu8D20CDa/wYAeUTN0bQabFBgvfoLCO
4jTDs0bGZbPoJ2wj9bHgRIuJ7j0J8yfMFPeNcrZZRUxX97SB97kHSaCabiIRXigJfHaEpKOY5yzn
F2Bteab6L9thq3ubQtwMSyCxwkpRMYbZGMinrMmBRfaXhBgB48B30SEZd1n1kvTjpY+fhKO/i5A1
jgVaYmiPGe8TLrTHTPf3gouBGTGykdO5KpGJzRld0q/MfFsv8IcGzFAyMROrEuvYCBKwU0m0JI73
k5BfamzHTK+Cawkoq8Cd0HkTuVGHWQo5O1IsX5Ou/9ym0MCsOL63o4YOHjqKB1388Kk2obO7++LD
BG11+62e5FteF69FxrKgi+nU7r9K3HngUGnUyariwP6RdEANeSgb0vdI2wfFdIJyLwYNRfPN4e8Z
+KPFm4Eod2nu/cxMT/70KUwM/ZiU4qYad5ao6y2zPvueGFG25UpT7Ni3EdrlrVQC8fX4i1bdOO4L
IjtMn/GB5nH1BUEfIndMCL7WzCVN0JBgN9KACwVjMVCSur4VOfNiyRODnQDQVj8wv7XCr63hHsRU
XwvNykf6XCmxkFxRXh8cQ9ACHJ3xv70PfQqtcXr2J/Md0SyjVL4/Gosx386L78v7OyjDetvqJckM
niS3qLcepfsshXfuo56zz5IuGuzpxvGYtPkNlkvX8iZOpd0p9LRz33YpG1CL2H/Nd3GM14KzJlXW
VKPRaUveUX7GGnCShdtgyDYpd0UyXpf7nv5huehTOjSajTLM5dJ8X/QEx3tM/9u5wAGtvxuSn6I1
zG8tHvPZwDZL5R1Exb2LkWdrNQ6EvdA8p3zdybjU9K6nVkFPe5k6bKweBG2w145JiZ0vYzOIgXPJ
gLQMnhWoCRExFwgDIgNp8KpFf3VbH8hT3dLVFRGHLKqfU11wyrDmxyKZj14MnKbN02vJdghVgVGI
JnPh2QmuJu/dbmOoex751TExEZIS/NfjqVjoEkz4t2ZJYi1CBtkwPRiOtPx8rucYOm+bo9KZzCe9
+HNNYqBjEXkMfEtslIVrVDh4FCbvC8abUzM3gAiSCACAmPiNbGbc3bQ3BaTHrLubEFf7jlT6KNy3
EbliP1NMvuOPKw+FET3VdVjvzYDKBYLebhnel1H7xZoTcz+MGIMNjEktAFvL98KjaRdEuPruokJN
CS6KgcfElWHQtcKozKXZuTOD3oM+PL7wUiCLXD9YDokgbD8ke5KXQUDuwr4DcKHgQlYHek/gvtxh
D4M/MGb0NxT85pyiwGDB4abra9u2cEYr3isEbVMWeR7u5clV3WFIivpULXCxga4FNoSithnPD4xL
TS0HdAL3QU0YQ0onvs3QrY7MnMWxN9Mnp7K/VWGa3IgFL3DXsMkmqgiFM8K8yshMC4Aboc5Z2XDB
wtibbpzQn8+yIrFYCRAkVYJXCjWv6nLWkRHWUDW+EF4h/l486XK4qXuMzczwX3Vb5jvb+aKq764G
vmC0cUBAJH7K4/mpsJHpGmaWRLiGpyB99MvwOqOJeAayWIl67y5F0tls/GrmmZFSPGC1nkcFG6I/
O073y1riI1kwHSVlJ5J+kdT9KeRM0tkqrnaBc8bu45sZp+pehRYtUsLex0NxZ83Zq3R4WReqYoKB
n4DaQ6IVxcFwI/fQVeFpwBjfmyM00Yli1EjrA3VP8R49Gh409Tqb2SYc24HkiGyuIfzVWNsk57ab
lnkgeTqKTGiFP+Iopqeq8I7++Io8g0boGjRk6/5bgf17k1fBp2H0vpjW+Ioc8dIVoAXwwkAAy927
sejQoqcfZoMimwHrAQjKnzuD8JR3Qc1pAhCh6I6p3w0bUhPOjmsoL9OsfUhcGdGE1xRQkeCdAWOt
l2Bu6CfvpJGBOedfBry7uKDfWlCDhW6Yy1cBgSV/uGUgfjuNTA5EHbqPzGY9u/hJrtXfpgFTj64b
oZax/QxnUL6zd+/HPp6zGdjDxCX75M7WvRNKFlpInY59iNoYwB5Zomo0vw3TQtnKTPATyYlrX3gs
zZdOgZphTIz5JMuLg22AQMzyh8SBLFzY/aMqrE+996NNiMUpn6rCAAlbd18gPwRVk99mTsLahv9m
LEskJrLsGATzjS06trkWhNfCkhfG3SeqrEHOz2jprTix6zPQ/fYDG7FmBIaev8Rxt4lyGyanbOyd
ElS562gbdMWvukjLvepCGK+x+01OY7WhE9zd97H5FEmhz+NQcGqe3C8dYSUrIhXMNAmJsfNIyTgT
kKdEs+UqwIUGbGnT4cV36tvIIvfvgwrRM3R+p36JAwg8wC8+uZYBupb3Lws+Mu3aquSuG6P20NC5
u8clc7S0ZrJWnExbg6hngDOHARTF8N5pUNbNIH53fSs+91Z/3xoO0/mx60HT5AndUCNVANI5qqL3
ngxn2rquuEkMYrwR8gp2ygLIakO9yAigxcxODHOCfTkNEHKMk1X13WMa8pNZSY9Dr2eGG1Z7OgB/
/PtSM/0/Ru3/wqhtuthR16fq+/i/w5/lf2rkvr4X7ftf+7h/f8mfDm0l/3B85XmO8B0plWWqf/+3
Px3aprD+EI60hOtLn62cQ1l2UWL7+z//LsUfYvkfrY2KcJ5j8zO0mH/4lE0lN7MPRHDLdn2TMNN/
x6FtCiH/6tCmTlkxfPFtE7u4b/Hq4vPf35/iIqTC2/xfXP0gs4SjezWD4GwnGdA12YkbTw/jZSbJ
H4rYPRZTxQygq+kk6rL6ItuxzDae41eXzvMjE5Qrc2LySef1vnR5zHqrX5Tdjw9LnK09ebfT+ski
eIsDiUQ0LWuqpWltvWUvt5quw0FWY5f8j7s/PrfeR7CGTcrHpzU+3WNlp9fGszI61/x6oKI23Dt1
ts+N+Cu2Klo11KYPas7Vi2iLWU2z/2a767cR36tbNNvC6mN6EUpwQW4NX1+JTED7eWa+SFWMNHZD
ZETXzIo5S7nur1539RETRyRvCP9iH28QQ3NHUEnHoQ0WMIeffTZz1smTPbqwNXi+z1VIFdryHEEI
NrRvHM2xqS5WJiosARz+9uFYIUi0tHm083jvZSGbwghkbzZ3t1kLKMakgK9iAnBEtR8v6yGj5hcG
Z46eIglVBx6Vz8pR0ONAyawHY15oK+tNR3TwwfmdSzKKlB4i+378GOvPMi8/33prPfBz6EMrhkdV
oVDWi6r+cVjv0xRpYRTSpyKpCetooErLNCBxcJGVtP36WxeqxF4awL9sf8EZcTVuL+tBEEIzy6Q/
jXpuEAMrusJ0ZhzmPloSriNlHk58mQXGs2ZE3QeBQ3Rmwqh3CQKKSay6MjHzEywggkz5gNOnR1+1
NwL/7SWG7TB4dnka70OjV8CGFo+LCVaM3m1vY5fITwKxBHIXJXqsH8wcLhZhJ3GRFYPCslZA9gLo
coMJ1KOqTcgd/g29ncUlKPs/D1zVsej6wNmWu+Ky9A9+F90yCuX6HCbMBdZDsEwI1lvlhKXHzJ6C
WX72pgnrPe+qeI4WBcJ0fUoozhmrTR9T3algs3lSScfsHhZR4mbTbjK69oJVngQ2+3ki3IwEIn9p
1bXUL1XnGHJi1OB8ns1L9fvRVR7CZVsfKdufY/s1GFGVhH3qE0kvuugeZRfIg+l5+Hx76zsbPypS
swY3GVZZAP96uODbZySUz8i7FdsRWjApmAqQ6qPl6XAnn/dSvYxb1qfBSU1U3Kp6+tvvXpDfvGAx
i446aKjoGxg+ojlxElgO6631venkiEm/36aBY9CfUDinjuIZu1dn6ud/NFgQoRDfuC35KUv7ajtQ
mb2pI6VIozIzCSZyIjOpVjoWQPSxjwQS0kVwZbvq2R1pvmB8SFNi079gCJtowFDEnor6SIry1JTj
YbQC1ll6EJfBC2YIDcdWUB5rLfQkNMeK12+/1KaEuEb8qYVk6EAwG5Ysm18wWArQbvfIhRDg2Crt
6h5miScYZZoDvlFJmC8rOFPo5UPmsOZ+gjiVWwChaNvV1NQvdPwx/EbEkzl2r+Z9hl3uRFvyKe1j
MrcOVg2jbyHR0qdj8vxd7OUQL7O69dZ6nz+Y/T4FALW++/2FvVSvVKa5DPN970KeZihFDYHDJBal
ERMyQVcsELLf+w0mud8/UpqNp7pnjL+cg9a7MH6TGGXLvOuzd5M8ycVeDqlPhg1ys0xAiWGaK08e
HFNnLvhzrq+F3zdl7W3LDoy5WgZrZlq+qSK296kd6EuqMNSH1rljBpSB8xrkTjszy+dUwcIP+7uo
4gxhiQ4oACvD2PYflAkTdn0qJboKc83rENOrOznhi2s9zrmxj0ukRp1HaifwTNM2+R+n3iISV+SG
5Pd52Y/I2QZQcJjaxsVJmJVxTMPhEVYSdUDY0GRV3cal2eIcZ4qHEgtN2UOMsAkQ7cRMb3kzemi0
SXNjWO6A/T/uLgCwust6y04oHfUYX+Wdwsu19J5+dKeuHwZWxwa3xLkb4U2Zln9qHR06nv1zSqEj
lyi91yES6bU6lB1vOCfkwjsmGc2y68314C13/r5lIQIELqfNhrQLgDbNfneKsWVIG156JsszHtuc
TWCWXyezy68E+CnmMkp8CZq0P3wahPJl8jjWXXIOwOIqxGLW/kGUXKh0ne1cXYiUq0vIqwg0df5U
tCQSNcUote8/FkODaJBZ4GfYxdtJS1uDlyEsLNeC9b7JreBBZgJNauA836IeH022ykwXx4tT9wp0
He/4Y6Cq+yIbcNK52W0/ivE0DON86YyeISIBhD5gJpy0xHMD2wnpSjbPvuWBvJUhU1ijvzL87a+q
VvRA7bGj7CAgBAc3LA34ictfKm/En3+p9cOIhRCAsPEi1TbX83Bsw+5ppOuAnR4hIwTprpYREWBt
ZxfV7rKat8B6YNySHOyqeF0LauNl2bMWzK6HYlnp+FVOXxcgdG8tsv39CQaGMD50nv1sxuE+96i2
scyY85eG32jRO9025lNSDhaggv7dInVE2ATdNOs/x2H5PmH3P9pDA9jT6EAnT+I4SgTDyfuUV8o8
moT6d8v4jhTrPhiH18yJUIncLtmmw+cpzdq90wXgNSoMxlGz99XyljY4v0To4o1Tfybuj9t+TEFJ
tvPRBxHkZNW+pYBx4M24maf4VhPPP1r4JztfWsesghTpxOo1N2keJSt3cm1wMpP9q7Xcu5Jcy7kL
rP3YU56tzXh+bdB6GNuCspiTgBN0/er2cEbj7NVD7rjLWePZE4J8nKGRJJHNHti7a1NxI+KyX5I7
b17JNA6v1x61Ktn3RCM2cZGfEm/u0XwEgBe/PmU1XL7MAzRWjhDhW9qYDPe9wvmBOFFDNikXWRml
6jSm2nqoI/clL6B+MJiJ8uo+IApDJcxy9VFcWmYAlkUwiq0vFcbBIO32SADwVAfE7FHmz7HFcKSK
h/kwzqP52nJN8nvxy5V0GqnM+K6FDcUtq3dNkywoTZdMYcDqb3R/mD3/HyvNkIiiEN3hUA0rmDVF
b0KmYpGhcJntc3x3ZYmTFa5HTWb/ClE7SDBUZyF+51jkb2Nrf5mmgXaZKMfUaG26kTmMi6h0nca3
2ikjTFPNWSH5cE5b7Nqed2+1dnGWw8TTq4J3v3QuUqMBex6ckDJnrm4/ILImT2nMINeyM4pbcu9s
M5xmriH0fqRA10W+qcbkdnRzvMMsHA6G4+BE1OGLVTNv4kUA4JnE4kYDcOWqeigkkcyycJlPj3IX
kRw5xlHB0NA4xEz9jvwIeGgaE8opWIs8IuIkjf6NhIA8qEi8Dg5RgMQFCVPlJ1n6X6HukHN05F0R
oS22t66FVU/aabLH8jTcdi6+HvbpXjWZzB2W8uFZfc1QZcAaVZv+uQsfUze+Rq6mdZEJKtMqGl/s
KXqRuLCxTzEeKcgwxXH5ACmCfFLK9FwOPHwccRE7cfvm8d+QQCudmr1TRXRsJh7uoQAO8JzcaBiC
G7sFGVPRaAHSYD6huD1OYZTsvIlRa4OWNjrqRxs2nAglSQtJC/fR7QNxNMTIeGo4jYF73yel4l2M
OJXlEBIMguCa4QLANeh6HWzTwKTPYCoZsARUtUYhBb3gfBI89ww9P5W588MwqmNl8ouLFuo4Okio
ys/hWHwLI1TRefA7sL/GAj0BBWJ50bfSG6F79d1XU8jsG0SZ956u04Ht8sE3uy9ws9hDeZR7aMy6
U4g31VRZNFX52SxZaKt8JNVfu+yZpmW71o/UwkkuG2yxHPg3h/UBH4f1QR8fFutXlsvScr3zb5/+
/7wvjxuIwBWiDe5Mm9VRuHqcliuuOQbAQ9eP1wMMh/Ly8eGwVoGvH7usGQ+W8m6boACCyQjtst7S
rqjOIW2YTereGjl7hvXu9ZAvj/p46Md96y3XbRdy5j++098+vX64HhJmPL//selT2vPcfDySgXF4
nhYNefmpPh64fvj7H1hvroc+DfgHZ+nCN15/tPVeQCL9McgYrKJGYcWuPyfLNQ7cSnHpgjamnUjC
qVl32+ud6+HjMR/3ldOyu//4+G+P8Xqm3dBPvmYu7rmPh/3t+6XrhuFvXxstP9LHfUVXJTNs/2Vr
8S9/sk7B2079ArD+x7fLCOse0iHBEN/YTDQH78H0w+FQmCy0+5at/cfBXVZd64f1hAo5BEyq43Wt
1VeLjPLx+d8f/+vPyX98l/XxABkW/nfJXpZWH9bk/HQuTvlekEtZt8LE7tPhfr05S49NxVgb23GB
uDoLlXa99XGIyRn9032iRp/kZHr6eMR6qzCwNLrtOGzTv37B+vX/6j7eMdTwfXz7j8cIpR6rqgSL
TH4LC13PoSl+Qk9htloZ/vF/JEyuHnr6LyVM6aPpofb+vyTMn4XuvqfTP2Mm0BWXL/pTxPTNP5Sn
TMtRINhcy/mHhOmrPxzP8lzTsQFX/dYp/5QwbfWHKS2F4MgixbVMgfD5IWFK5aM7OqY0XQHz6r8j
YdrQKv6KmLCEiUvGUTbWOdOy/iZg2i6jdogpIWUOEP2XHU+6CkDuaJzLiiJYFV4cb24umSef8ypj
YeYX0UmMxO+yS2IMFCVo/EaqSYKDgDa1yVQ5knBguYDVLmJLlLPbrOAZZwQhozT5lBqacfeIuwae
AHMvfB6DioPzUA8/CYPHZjdD9fjHn+ThNzHj34ouf8ABpRFeLSn+8+/JM4WOLCzXkojH/l+F2rF1
JoLQvksZ3WwyrNdkI1M8xcv2PRB4X2OfPCKEHsiqC105XPywIV4kzAntrk9nhgemeC0C+4LxhYt5
Q3PPvMyhEwxZkRsQQbeBI5M9WkaEW4Bnnwr6k9jLyIf1kOWYJ101in2gggNu9N1oDecYklnmYbTk
Oo6BzF0C2NOcDlcDEsQ0G90pnrE3Tx5YaBHQMqtaoJhjLN9Tm8h0k074e0Tz7ANiQEDhoNB8Ljmd
voL64PWwai5TWnpwuR4/7lYE8zdzHhaUK9q7VlnzyQZtd1kPUcz+CG6mvV0F6PWw6tF2EDyO7NdB
hpFt35isQA9lYH8tT5Vn/exLCoImSaETWr2+hFP9pRRYkAh46EvU8ZwViz04dIW4VMvUDJPMHUoC
mzbM2w6KR+1gC8nm76bkTKZpk0/H9DITYjiwS39ysx61tsyDi3Qp9nJSLgHF8uGshfqnw3qfUXm7
Vk7eqcqL6Bjb7cO4PKrl5ceotjtZI+1JCQs33E547FKLZaRn8uAN0kZ4ThcPGiM9svy9c1lvTYsE
2H5OjZphJBINElWgKTxhsZ0tg2w47X9KqRjWLoAR9W4g5LnAyvCo2bPaBLp+t9KOZt065Bkx0QAm
23wUmrtmek8wM3U3yvUQYqOewO9yqFwBfTQsY+KNDsaHsh0PadW9rnethzAc+WQ+Gwfl2I8zpBDa
tSCJXdZD5f8yy3y5JpFcDOVblWY9rQ43rsOLqhajt4sZOGKlnkFQ4GcjP+BsLFobYpu8c1/b16Zs
bjKuflj7rTffxTVHA90Y4elZtdNVB60QlLEuGK+lweqjGujO1hVeTzhT5abCDArA6tL013UUEXrQ
ocreJ+LXqlflJvkhKBJEf/QLnc9YOxIdXYspdOEvxs9h0rAncLJuOz50bHsvTZze4oaOj7UKAUbU
/slSDrjPNDx5CbN4I4O9uBHEYzC7GIr+PD0dDZ3dZMJotp1R21ujgePKFKWTHdXdAY6meNG6WY02
v9W+UYTwV2qLGr4R78Mi1gONXPp83WXK+pmvx1IcdtZlRv7cNOQvKMNB1tMT+6nIkZdE8RbNewQB
UVJsZmEQJFJ7kGqkoqW9pnUJCrjSr02s3905w6HXka/0idtRA1B0Xo9wFGWUL9efAGT2V0hbVS/Z
7A3FS53P/g6MxAzSRgJJZCUjKWB1wkFt3Kz6ag8R5bhIgaiF7TEIMZdEhk0yh6eIV7E6WjaJfn4/
fFTazQ9jmuGjISY+kXyol0OmnhBrp3OKVLhVGf3M64mSa199knm/D2qHdPCYP7Ze5+1ykWLTI6JC
ezRN5lSXtZHjweYkRQZ5k0KEcXS2WMINRBz6rBdBHLOefVbhS7S0F0AyvRL3+aVCuguI4YPcBqlm
9T/xYx2GOVwASNROmgMydaa+RJ7cFlCFDyLMXu1yKM8RGRjmWvXOhy3AticKCBFgrbcS9123NuJ3
BZ8mqg2LXr/0eYBn6df2CwYGQuaMkZhG3ZVd3W5zP/iJviPD4i3QnHwZOK0v8ylDcoqx/7t+/lYI
4e7rLARKrSQlQ4W3sI8W5FzjYu2d+SmB1ySe1Lwe4H2yhiVGHbFQxO9nWW57CFvrNYgNvBRe8OTZ
r62Jj7bPAH9CM2dlO2dPfYpNw4J6MxMqIa6GJZ+UCHMJrMUGRTeQ1k5JlAq6ZyCYzHWHeyeiNCUn
NZAQGd8t83r+OIMDGj2u2GJ1TrfPDJu6BDUDNpkwtHuNPsuOl1dhPyEOjLvCFbd5ZH8lC5kk/aGN
q5/uFN1Jn5rysE1wu4z1WZmFc+s6CKo5LrxWd5S5+wjrFV9hT9q7M7E/7O040zuS4jOmLvLTJYhC
22KQ4Y+etwlSqz6KSX0bkxKsZBo8ziEJLxEKesuc/h7H/xVeMYiV/8vemSxHjlxt9okgw+CYtox5
YpDBMbmBJZmZmB0z3IGn7wPWby2VWibr3vdCaTKVqiozGIFwv/d858upUPOKzffZm4IGue9suW+n
rerraZ+VJX6/kD7YiA7XKm3ebCthZYbEg3lCSF8jx5dkbD/9NmFnGTtwtJrW4tKgvBZB3HygF2NP
CSnZUDVtAuyNUMyDta+i+aJbtTix8haoYd05I9XLdac33NV5Hs3wGT3LW+yPKdIQXLvhILbjXPLb
mIwXP62YOUnDePRoty3CjOlcaR/tel4FRrE2vK8owvjIk8Wlo4yLucf/3+prMuZjOjHmrzdDriUJ
YJuaPERVrIuLlWrkj9TkZEZRDh9mNoIO1sEgelAe7IRXFxfhD5u+wIHfBmIJKyDq41G2dfrqqm2v
fKFlF9PrmxeGnPY8mhJSGyB0bNuHuQLiqvJjMo80WOaExrBUKd8q+ZwPj0jqi51BcPhE5sDt3de0
ADGJBTkxN+VtaYncWJs9sGQdzrsKArlLB7RBPT9+aiKAlnoPBwfFoMIkwdxMyKEQN9lvBXG85BYh
KbqqOPgBnNfSUFUOGwoz80ptrdB/L0LmPEJiwR46R+zsie06jrb3zA5jtkLKAnjxrAf2RvZDmZBH
qYCg0zLY1bV6bhS8nDOKPwUpompKu3MemNss5ETGjp36tYocW2EhrOl86R0y1nvr7o+R9+I0EPrK
+mjXBy7B+8HZSFkyC00FSczOIW/QY1hLvYxWJDYLd24eNbu46MiuGRyBh4hmkDjuz37Y8BWCgalE
0lGXZ0wql8DmhUkzyhZI27JW2lusZladGauPybwIFUyvQUWHix4EOUqDaDoB94zizdGr/ZPPhISZ
z68uAPHsZvnOqpZZICyjJ6pLX1iCSz6dZnMaUKOSO9Mm9BPvJy1xDWIkIKIKmAjgmPpxothwMtO5
9vHPcvzTmB/YIyw0krFwSX62asCUqrb8DBZuKeDsnnW/+KE/VWBNuBfR0wM6CYAnhFZy2y0M1LjQ
ULX10n2f88CkCnApvXBTRTh9zkyR76wciRtoVQNi5YFa+SBX88JeldKkJDcnkpDr8BpHcl/NFMss
xFaxsFv+QnGxJv2Nv8da6C4sKx7CF5vWLXUJPJqcq4UF64HCCFx8aCAxZvvvE9AYFONPRGZqlQgo
CaPfIkeW63whzeKye6B7AcBxodCKhUczFzItIiK5kGp4f1MODtBr/sKx2QBt/fRrWvi2WBJQXoi3
cWHfMiA4GxhOA8VJ4LhqoeRCcLl+4eb8haAL9WsNUOdryDpnihjHGhRHDckqJ9XjtwfiIziuFyrP
tqAPO2aNyxTsTi3sHgf9lI9Tv3UXrk8thB8jhvsR5C/mp7yVCwWYgwPGTbhhE428FVDQARhsmvre
d8QmWkhCc2EKBXChWChDvfCGFuBhEga/q+Gn6uwXvm92zsIneoCKrHoOzUIuArjSz7fQjJw5//gL
3wi9eXLUEsH3wksIAmnkj2AX6tZxHKsWRlICS1pAk4zQI5LWZOES92uWP+oB311KRrRdeMuBg2ns
1rckWwhA8wXPMVMvGoLg/vE/AW02wJuVR7TcW3hOuZCdbIYRIsB6Dgv1SXpvWijQERyU7/2aXs97
eieahRb1wEYV+CipGnNXLkRpDVoaLYypC2xqL9QpeRiewwuJmixI6sKmNvFBL6zq/E2tLvzqvJCs
zcK05i6NCJGVZSt2E3d9kh4gK0Po+8Yi1us0eGexmqXxuAGMbthvZ7zUC0ULxfjSgNU6C1/bWg8q
5zze8md2W8ffCWzEYYuUw8MHbtT2rxn1UbRQu7ELv6ux4kVemuz8he2NuXIvrC8bHmtTg//6YMA6
470PFdyUHGLahD/0QgybCzsMHVtsKFz5EE5tX9jQQOCCcVbUoRTFVerm1S7j+G50DY3zkTwI95sF
BfpNi/XkLIsXSX58QNAia+qs0WFqbnbGLYko5tHIlQDSW7oN/aJeMXOml3t5SXkWelhpuqhGoaT7
tS+7kNwPfRqG9K6VwaxQF5yJh669D4aipTWyZRye2j9jSXraseyrpE0I7ZZ1agz3pfCcCzalr4h9
sp/V/soreEqIwqaKIv/KaEdZs+j6AbDPOycpcw5WQO4WwI3kvGu2K2oo5H4o5D52kP/ViMgIE1Vb
7mZ3Bguzex6Oc8zJMbYCeMn+viBrNRkTtK3+Q0ryh0pzChNs6zVsmYFM1HYl6qvuC6pXp33oiHQX
KvrQcuSWBHbTisTtciiBZ6PDtPgauuSMmPerihJCdlwR0T+iTxoOg1q0TwabHGwlV9tyTj57Yqv6
o4puekaJTcWXzaK+Ozhxz4m79Fos7RXBcrbLhG0eDM90mAC4G6szkB65uLYsnOSenl1ES3DYOCKo
MgSFbodUMLXG8pZmuCjsFKzSHDVpOQvBuOvQQ54vbuEl2uu4ebrJ53zX90m/GzU9Al7YPhpe/CKd
NCDziu04z281iL3jEVPiLiJKmplNaiamj1ET7+oynw+9+iiG4Cll30Ts7B7+kt9DgcnHqcJoZXgf
Pid4U4E3Se2blOwa70U37zvBxaHw5Uq0zRP/YI5NZFk34P3vJgW4dU4lIYiVXpsBh7wepeO274Hz
qv5HWih5ANo5WpNhg6eFkqsuZ+j47OW+D5OEi7qz4/uBuxw6EJSHsqjWdQLzkGVU0pgOgsEGiFbw
dDdGLpeQQxnvEnKDJidsN2TBa3tBxvJzQHA+o0iJWc14pb1JrIwuqWTgDIgpfvlPCY+Usu3RhFYS
Wefb3v3BBJG3q6bicCK0NnAgmQaazM3kvTIKvl+N6lQETXAX8B1bFyQW9FIqqvk4cCwY0NCkw7ou
fT7+ywuZ1yhOztgneTF8OH2HJbhrR9hU8jrj0g0QzOjxDhveh5ihbqIcbaOq6iMJsIZ/RPinSPKn
Ot3WSfHbYBbQkKe6I7Ye4bdzH1wTWkqOqJo8d6abBRUaZ/vXrIIQd6OXkNIsSkGDZ5SzVFK3EWh5
FT0a9A84OqI7kGsRpb/FtUFZHRmEZeZbSHB/yNAyTRXHDSUpE8wCMIm8i1hSSAouC0GuZG/aY7Xq
GDzy5fiFPoKGSxv2TPikU7rc5i7P9wTAod5HHq9bpGCCcnRtURdFKzUJOtbshht5TU0gVhF3Ow/U
AIvM8VfKTeJd1IWbmt6Au9CrP0P0EWtiujdKUbIVm2DKcuvslIAh7aYoYXxi84WUvaJOfy2IJex0
2GDzMb6U6viO7T/ShH1F7e+rfry0dGLm04VnyDgYTy6YCu1D5fMUX2v0tLrs2eWOIf83haMhonAs
YmCHtSAPnI/8u/J6zif1h6MF8r+bmw1EUl1aBFmdOStW5aSFAmAt8OdVeGpZjE8OLyCn/BdtyWMn
ZnD0JQtR8LnKPH52BPeKdc9DdI540qXcBIomR5paTRY1FH84V433hLVuTU93eJFH+bGEBmsoVxla
5ERhdbYFp/miGjXY0fziNPqJTdW1DwTxYw/NJZJMD7YUlsS9ucQ2RSIeUfo47vCKkI9MtUdElnYG
zhS+Lk6kuJ56xGyrkVN/Utq3sqWewa82soxIEsb+KdTcWmfUI1hA7CL6Qbpwawwpoyq9RPVWadL/
RizCrcXExOSUCA+GfWj0V3P5rDno/1r5VvncJWb24HiWvubKsP4K6nArf+iHrt6MoAGttF8i68nw
MFcJ2ty7fqK0O2AhbYAp8e7R66KkTzZu9Vc+1/Q4+/FqxL8EJPZTG2jysCppPhnOJwe2lUoBOggR
v1P5cqBVyOcSPZioHdIHwB4v8/7YFNP4CF7uaiv+mTjhQ8SNM63qqyfFH8Mon6rlz4xa68WrsnU5
8CAPzPTO8i0by5THIzoT0HMFNKkMLnaIKypR21H0vyyhib771X1tXnRM/aiT1VSQEpSUbRBtW3qm
tr6p4WHIn0GXqK3GYMDp68gNpNALHgrn0U0pI8QsmOkqODkN4gjXmjZ22o9M9XvjEBvhU8pdwWlM
vqWzVyOy5j3EY4kFDKygiZD0lNNw0Kgh7uqupmw2N5cA8mr0SwANUa3dPmpWAcoMTasL6QeUR6Bi
d7ps+esD7uFitn5USKRwreWAhbU8Vn6Z7FMbq402ScJ4MxZjjx8o69yvssd6M2KoArIgl6i4m3sl
BlMMEpxeaWTo75VoXvOtBVHDxduyqYgTdGhwojFG06P9tLhv8lCuHGP+LGptkGUE1ElHSZsPV4lt
QOVxmjYgEnP+1mUtDcHdrYkKOnbxgTxp88iDiMqmDqJomT7tm6r6QPz2ErYVOuSp+iU4666MR9Qc
F6sGA8FnR9tCP+pzkLS/+oQ8jkiFtasmHNSNk/uXiEM+Z635p0YDBpBSiHsx80ZogumhnMV8Cukd
MUo7u9R1fte3MTLpie8QnqBlH1wTFNrM9CGgfcj2XVV76aZwYrWKZmva4xArdX+fzj2zNIu6PXqF
1kEPjqvIpw85IHvxx0mIQ4U9PXDFxKCy52jJnxvItkOFMCxcSjQxbg5x6q1U9WybAyXxOFK3lkE1
QzlmD5MRRtxA9LNKQPsqCw0C03EkLd644RkXUMXB31erpVQpkqvZG2tyJ6Em3eQ+hXZJi0uM0yHL
juTIpxOnZB5f0yB2nd9+pqX+VTOWOfrSPfp18VBIkm3jjAWhjkx353u0LESZ/wl9ten8IHqVgXMP
3vepmf2cUNsCH3pOt9XKWMoA+HKEbeFx72RkJbvsgj5l5dmap2DV/cwQaN2NNkE6Lo7zuQvK39lE
cVfkMJVCPraE7ilKNOrikcCjuCxLf8H4eptnlG7xR9n3uqhv5NdT0CTnkI6NujeN5JWCkhSkTf/s
s6Y5t4ttICDOvhbaRViM/c0xTPOaIA+b9DKsFLTSWXdOb3cb005gVVpOcU4GWYM365o2vtxJOwv5
1Pp6T0CW434SbgQtSRTEiOk2VVdjTBCXmPXwmEpzY7b2ga8J0EvzkEjhHmT7p40NdeaH90s1Gf6x
amaZEYIQWcaZFpP05AfvDjuRXZdzxPeNZr4MnfuibKe6hvW9dGwatwbO4eXONFknlHEO1FKxagoo
5TzqseUTiqCr6I9REfH8dr0zo9lu6wQDGQmz+UU93Y1Y/a2ekks/E/bk22PJBueGdneN4ifqcwcN
e93vvPR305fkt+zhhetyROT3z4ibgXYncrd12nAAxtNn5uoYGwNJ+hRyzJiHm6jiB0ZHasej8M4l
YvBEl1a0defgOQplsrKrSj12Kv2d5pJktmsQueYrXuXVq0oTBl58JJFE/kR1HOyWbeE6VdrdpGb4
nnrVs9XL/hrpukOkytefM8XvccSNg8KQx5lcGUuWZGQJZgu6pNM33B/pNp7e4jk/9TFD1Ln2fwyW
c+soQoK9MjjbkWpSg+tcOEEMJM4YRgDQprJ5zBzsVGNKYZqF1QFpwXTAJO8jb2J8mRkrouHiLom6
I/HpZEM3V7LyreSi1bR3iUtugpr6nLSa8w1NQhhzSxiq3N3WfQOWW6h7Zc98Jpt792iIxUwUNS1v
Qe6ctu+fa4wgvrh11JiGPiNwb7lNJhR7IqgVSPj8YFUm3W9h8PtMYNiqMcM/ZIpLi317TcnqVwkz
lw9Bsnei6iTD5l0oB/FXxHyl9LaVQRy4cbpkLwbvwVVTxXJJoKG0CLRRqUADOLpsDtjk8Z3VDKsL
gzxhH4n+RJVVbrA5761BTMzr8nvy2V9crpIdrP/W98KfusZ0ZdeVzShxWGdxmh389jemb9pZUmwE
Jp12fAaFf+9GD23piLPZyFuOe+sunxw+ntl4DcLhI8YEOXYTanYjeGvK8WeVqISShgZtWMa2067y
rcOrNZZUmk8SWZ1BaJl5eXXNuTajqYmgQj1z7QANjU5P/N6tMMvgZ+WHp5999yNP5vu0FMWW9dtw
tFxRYtSD7pbN1g8ne+WYrrePS9bSTofvVMcKNWotKcGtngYjfa0HtQ/FRM814+P1iL8tKxnPZFRw
0WkCDwnbI7Z5xLre0zJf/6gYVb8lo+Dv7oZNC6i8SYcyvi/NWp169LtZS61Nojy+6VWzoeTtXFoK
5Q+FAIekaSwaMNUNvtU75M99kWPZQIDsKaBpwgl625sJdmHLsB8noFNvCl/yQnR7nWKvbUwwK4Mi
XRsPO1GL9Itjw7zug7Ra2b7zmDdRt4ZpdO5SixNIPVZc4fzylhuKw71LkYSaEeCyFitQsee/YiGR
0fbGrS96n9fFjx/8vFCbYLQYNmaAiQW8u/Cuc0rxuZyxfZZ8G4TpfE+FGiyqN6xG4ftH4dtfUnFQ
1xryNrLt+C3vr+3wJ+Js/jjbMrzvjHkjFyJ/BnqYcsDZwR54uz2C+z05xCxRHTGWU7HTXQfT+iyn
iQrI3CCQD13JiZ/Kcb6ex6JPLk2d771Grk2hqFReuttjgHAlLXjufNfa/pmuMMbb4e88+an8/FCa
fJpq0Tg0/ZobvxL7WHEGHCwldvRm0q4TkNUOstIHTnYpfaSAo68oTBWiWyodrO3wls31H9kOHJH7
YlW0zo/QreQvxyuPLiaJqa0uWeLjn3KGnT9bzQ73GmmItjjNeLVqQyfb2fW5FNFDMqrpjlcKTRiP
ixKCZmXMprceq4CJdGrQyKZuFSlSFocRshnd0V8NJ5E68ac/Uevbj5TVg59dcqNjDD+F+TadxrPr
xck20+V5GKjxCLg4sN7Q7XqKDSxow3iy8nk3DG5+HvR7S5/UweRshC0yhaxNcNSXFdb7krleTRZg
XYugP6mREs5GUX6GHPKDkTH5pXJ+9BQeV/Scn5w2DKQeP4uBJC+iHbZCFCGS/YuXe7dCDS925Df4
8pus8tFZzjeI8WFB23RTqwwPJuNy4i1csEenuNIn5zNj6HeN2Ni5t2e39pVheN/A52arDDcgCTpN
MpY+rzDAZteJgxJsgvnX088hi1vazQ/zmI/XAc0LV2N+nFkzf7KuvID3Zr9nH3cLkn+ZxJsp4U/B
Aae7UbpwNvEM1q6LrboDAsCATjVlFd+7YuC7b9bLldHaZLmzNRkVXRbpBru2/up5LT8+i490jrEo
5d9p86zo0FAyJMB4ZQ/Vg50wOvFTWqmLJiB3E9V7tu4sjW2m2pQw0s/AJ9ew5I8wk1eXbot1Z7cs
X7Jzoa38CengnOri/P2LYWTloq/gZjHa66TmvUBnKZi3BYpMKfhaULT1Vyd8W3GZT0vaKIYuqE4z
tXt2QbGjX3sfaeWzu01m5yE0UT7RqSqhBthEdI156rX7HuN1B6wd18iwrtLNyrey4Gfds3yXi+cw
pvHP1sum02JfhYmYTDSJjOnasiI8hgEHrinEI18xwOefXEm8FVRMpc2zM0w+mH9orJnUEV45Gh1D
r8C1d41Lf4Ua6ZJKlbGCPgFj9nP9kNvzCk3hhFdLX72gqHZ5R7AvJO7ccAzkEPdby5m9JXNMNQzj
xgkXsQ3tv3eB51YbBOfo3iYOKJR73wlLneBSMHbJchfbY3YfG8EtN0um1jN10nwHMrjrkStNMNr7
WmNgovezs1GKdXUOZujZh7CLmvvvX0yfwvLU3YyukyJZELjEnMTcocPmSow1GC4sa98STlTeNMqd
GTHFacgaDDLAImx2zoMmEH5OlniEw8jVGRPup1Gv7gJ/JnPqhGf0JghEJEKuEbJdI7/3ODvpng3I
FO8DKW20xdD28XwiRP8aN657tpMUuL8j9gTS/pOYcbMpC1R0RRBjbZ0IrNgqe6tYbE5Fbm6a0T5r
zYOpqpuD8ZoJ2A3sweOWuTN1Ax1f7rYT8SEjTrkrUHCXXQ3trTl5L4USrKHH+YbhCGnW7JzjIfef
CMF/BajqbPFaOxxra2NlSswQkzeU56wPjgONfIGTh7vUK0u8j/5DzB2htYNmQxVIszKawqA5oP7j
5OkvvzGDbWN63ab2MTa7GH+YoAg+AvhTdzPvpsp2Pwtqe06qzJhigp/RJkNJASiKjP1DkHs/ZJoy
XerDC+nD+AmRpJVJWkUywZOxeKGPWt0Df9mU4NrE8NmEcKOTAb3onAfIvS5rWEy2sVzxRcKwkL76
yrf1qiupvLX5oXfcFjCQsVBLW/6WIQ62tva2/Rw/DCzIGN9NnbHrGvBASYCBb7H7VpHPSIbuFM82
jgq+EgaTEF2bMEOpe6h1xt0FEewdpqViaw+a3yl6HLucDqwBWVZzPDDY7G7b6kb97bxF7yX2phws
TFfyhxc8OxarIXPMzxh12ddIphvM1UMSQ44sP8rC5rbdrzjUTTeu/NGhz9jGWCGAA40iqzpq25sf
UCCeUaXsjTHF5YrXzHaPqgoZxbOO4I48cL41p+ucEJbOikdMZ9yUdHJMwPl2oUC+4qgOo/zEpdeD
9wuA/z0rWBWZieqg6H94eWDsTYrgoyE1ro2r+rvI5bk7o+hdmYG3qUSdPI+eQmJYz49Cd8ihnQgK
sxpR9rgdR7c5PJVDGu2XkbeuM5IevfgVTtzti1DuR1VZOyla8umIqzJpoTDMSEYuQE64/PL938QS
BuwxVkM5mmOHYYyFqYW18RtB/v7lm8YATUCJVJiaJXQCY9Q6WckUCkrpyI2DhU9acWBNuE9Bh+E1
ok8Iafl33PP7r3//0ukGXZ4RvPBbZ+X7HQcOtWT0iZj1Ow37/T/FjKNJrql9tqBt5NNfksKvtqJA
KdryzGAQn/fI7j38OOGah3J3nJdfYAoBQDLX5B7mcOObhvHIhHv465fXoucPHSz0mTSyZ78dqB/H
l/zX/xQuXun/z1L/X7HU3PxpsPvf4O7/oYPY/1Q/0/RvJPVff8v/kNRcXP6BmdNybUc4/j9BajDo
f9gCmYP4LsszHYQP/wNS2/Y/4Nh84D/TFwLQ+Z8gtRX8IzRDF76EOZfFX/l/c0E4f1dBwGQ7fHuE
EN4eVm8hAn5//6qCoOmumDMsuE/sqI09AtBhz4d+wjdlXXLO8G+FZDhZK1bs/SBeAihNkm4tkduy
DlEaza8dAyLwBon3KDXRvs5CH3sCzn3eGCfTZALixRbPT75vV7rnAlv3PQ1/UHyyceObCgx5dvLu
Oa2Drdmne5YsxnHK4eCouFXwRmQ+yd9sfBtp02DFBlplgKxY0Y9iae8jCOE4CjLrABrE4YJAOfu0
py5iksrfO0ziKAJdTpaa44PpVQT9Es0gKxgem3jpHTZ7ezsoUoR9lwWXHhZw7rwXgJ+1HXZPTaWR
cBOTnAHAT3HubvQAi0h37R7sGrmNT6bNqSAQeBzxxmhXZhrB9rQ+xiAfICkRipXBqL74MuMGWItd
m9XDrmSyu1OG99m701vAk+1exf6jLdr6ii4juAPw3ShKnh4nF9N30GFzqLKQ7pI+dW8KwInodP/W
BSw8uB/ceTmVAtrxyMgLgpjpgEaNy0uu8g7IFC2XaXVyr7OUp4QaOBnHl1JH4yFjkmkVnjhWlf7D
hCi/qsF4Z7f10FX2fCtdPa2GvIspjW23vc+aMWkEPQMtIU8bW/cBYO+P4s94ShPzK+tD7771C3Lk
+JXXsdn3+2aenxvNmqHuE7mr6WB6YICW/vV4+iu/8B9gee/vqPz3G9nzaLc0Q9MMcaXwafrXNzIz
ZJEZUec9ySUYY0bD3nUG7oOakunIHaODa9X9hn9vUhbZh+lKEmXMOtHVZagk7O46wi+u6WX0156q
doqo1KMvNd1b8+g8ANF4YfxsVbUPrRnETGjHxzQ3x92cZNOm0MPWpjJ2p5BjY+WraYVxWYX3NDig
vo1Vw4axnQH+Gp+qR6Oez3wjsMCRNBl1HYBdt6MdGUC3YN+KTPLLr/Of/jh3b13POn72X8dicG/c
GMixqg8IWaDLjrdqiMcNtKy6ZtbEzCoAFYSJgulUNjxr1dxJhzS115fh07885P7DC46zhlf0nz2f
vOLCXIbtFgsbkyCI+LdwQh14QRyZtXzym5z+sKn3j30ybRRFYBcnXu5F7huATnwtzpqJ1imbjAdd
jx+9SfVGniIrbCZaFOqh/XLxGwInjXLPhaQ9T+lgA7Zf2JNm22xx9WPAB1Zq6Ea0Yiqbu1pZRwRu
7qqNwDCGzHmwsuqAKC84pvozliI/FvWImtEI9lmREtuFxzFTP1nPQfnaGkjngM9fGJRZJ14lSUjf
2QVDDD/cKmjLRj+4jNhjodFCNjI9ejXfqLlULKyWxdDs1z+U2Z0LvI27cpiNnQjOOHkp9SZCsGnC
ZXwW1CCP9KB5ShxD6Nu9OTu/pDecVWtbe5+HG2H6dEcKqlk1Mqtep1idReRgdqU6oRdGv3aciuus
Rlu1gCJOZrLKj6vwNNFZNyjq3tOkcu4IaYBt24TcTQ8D/szcdEJG6PTuLiGtgc1kZY2Vt20X7XiX
he++O3xVc3rOEyc617TZdVX65IrxkPcdkRf4hBUAyS6pklsfGMFqtsjhGhRsbswhNvdlONDiIddd
L9uzZCBAHsGgAK4jjpDN7gkxzYsnkQcy5NmaHbPTSTO5LzqWdGES5Ps0hbQOE+z34zzhz25tBJrD
QoY3+6bIxT0zDIae6mQkAd8kIx9pFiHTCaH6HegPSxKvXgcqHg7CoBAjpC1l5DS3bXx6lyQ3DtgX
YIjZFe5TEAyM0zgXIpO4jKNb7vig/+q93L5r7eX0aVPpFwX5l0y6bl8WrX1MzXXR9+aF9xUDX4g5
mxZ6jmPrhDUDGGl0gIaVF8XYezsBczMHj7cNpfBXPT06CZcXzsGSe6C708A6jJjcekcrX335/sXn
fls3JAQn/mRMvfMaMSO7vtDtLwKj3ppk7QeDinhrDu2y54OfDOx8P0gWWBNcvBGxypPK1vvMdGhb
o3Tg6HTuChunsxOz6NbT7PP1lMdnprZ8YQf1Q+91X0ObqP1/fwxY/57FMs2AzmDLdADvQ8dGXvX3
B68dj/DAyBFvWdEyBEyoFrUlJFnoZyHdhtyCQ9Ey3wyOk1YBFQ4DJB43DoMaQD4s7H2ISJ+oK0Vu
SFelX8rxNW5p9rD4eoft17/m2HRZ0h7hjWr0d+cOOKlwG466hrcz2trdlDWqFAONNQB4f98E9bte
WpGg/oaDcnknG/FEkUc/2ecwLlIyyLvkavYgNHaMoJ6P47mi3/aOJql+U9qWseHS89uLnOGUxAMF
vraFGrqORpB2aL8Wb+8qlueGDMeWW7i+E0h6kL7QUIDpdy2jVWhHn7p04j0aqPLUUlA14BfYOyHd
DIVvX5qRZ78yxnRFzg6GlX/9ndsD+Ux8sM5ObYWAUIvfeWB+XnmF2PWGX+Kg68ttT179jr4599RM
5utYJh9jnX56BsZv+s/A2rz4VHJxQQxsbQYiZKfOhxtlr0yPSRNsfOHaqzCV6th2iK8I4hNBL4wT
oxPkk3SHbeEaFYPoXlwUrWB3wVTiYA8nzmVuHrPF5Mfb60wxVy8yHgA5zmF+okzHwSvq/AK9ZK/b
CninilV+DuL8V+Vb3q6ZbinK163wXcYJDltniNvhXDTesyNX7NIhjGWwqxpQYzLl3LuXX/Z6HP78
93ett7wp//nd5fKmBbsLfK6eZBvdwF86rP/FgKaYFhjx3Ea3LtIh3VxxyBa+Dk/0ZnV7WrJfAYj3
hjHr2+h+ZXM4XYTLIpiGBIeGyJ9m5OwMBtaE2ApOwTY3TPJC9jbJbX0uFfXqxnwzpi47avb6u7wN
Hg23mH4EsoMgCs3kBvMkVyldzDvB+jnFu7pxA3tc1S5S1TBox7WQpb40Fc8yx2/n7ff80I6xsJee
iuCd508vVdapd9lDaMpkCYugQnmUkR+cyf93K48sDlsZYd7cCCoR9TiQQWu+hsyxZ+bce9wC/YqT
oHeGv+v55DxkBPBpDiwAfN1u3aSDsf3vL7xY7hP/9sJTkQLe4dm0nlJk/vcXXs455pIk9m+FN2OF
yCx939Q8Pd/FMEcPUoPgm2JpYwxcchI0LaNeqwDyzzXJUjJ6RnYrK+wNrrFp+mLaTmkOQZ3XryZL
8tPYxMaqFWN4b4AC8L3iIGa33HvZmlSfJMXJ4mRALRherIBHBkP8DsjJJu1RuSMFCJOTP1umey3y
4Ecrk+rIwIx5nh1JgDsgNr7On/qYeS+SnJhmJfNgCERs//01gpj6Dy8SJb8WyVY/tMEV//4iqbJl
AkWm7cYZkW/MLLevqfXYIeii6mc0d/w73z2bbYKHCveIDF5zXclGvFuWOCBphvbGDs6clabMyCW5
PUUlx1rB+rMmtbmRObOfpfXCi8P5YoZsvZyIFgKkVt4hoJ7qmPeMyRtGjIMp9lV3Jqp9NmH3t4gp
rIOyA1pk42Hbe2W4Czv/c0pKJspymp990nqtplq1dswTdXPpeRzLtVWTVGvNbN7WnBjXdlCyCQiy
6b4QPORyMuwnI2XJZ7LOq8JKHJteBufSXKa2kRoOk5wYqeZ0MaTJu2HReyTTt9EY2jP6pe005MnF
95x4PUyJeDYtWFcnnz0k1LWzbE95kBzjOB1RouFsGe2c/eqo1M7WWwH0tGo61q4gckjIGvfdU3ws
FXedDVpRNmkBRUg4mfDSktUgoeRZp+pA/JnWutAz9gQuugdLqHQDPdyuyeuVF0Ufr50k6bqrPJon
iuGWIq8zKJ2+a3pKweYq8tcZ8ZNz6Kbv1Cfy2Oj0yqnyT1vr/meQ26u0D+Y7WneDPfUXa8VR/CEa
nV8jKyVN2rOnb3bNoNS9s1AQ7r6/gUQiHxCwNefKbGhRMa6FsoJrC/uGRq6oNkxcZ1l098JF9Wwa
zKJZYFV+ZR3xR1fu/2LvPHojScIk+4tiER7KPa6pdTKTmpcAWcJDa/3r92X3ADMYrMDe91JAdXWx
yMxIF5+ZPTNwp8XSOJShtzfzWr/ZSeYy+Y6mG1g8bNDQuqPJfMeRI16H0d8nad2s8tGAhw4CbDlZ
UbPu+7zZMBbLj7GST235mllZfIXvciks+q9JnKNwNKw8OoPI2tvHZgQwVfXdcXAiUkvp8EcKvKlm
4ekNFidzMVlZ8mJHhzAyQqI3utiUDb7Pf36rdLOVWfzLRnjBUsIpjo8U116yR73Ct64o7zLwVp84
LQERG9pn254yTEzI8bLV6ByjNs+8uGrxf/4Us5j9908xVmmuo0K59AcysPlvN1KVo600SY/nEYbU
Et9TjEbVyUPDROXCpnSfPZZ+t86dq0yMZysMyK9WGPnSYaww7jxAhLHHiYLb3Wi79dGOnW4dBU9G
lt8cK85fgMB6YNJvphVjJ3ukxkIntF591QCOVR66TG/m28IqX9pYuVtQ6DibH+usXbcY3NJm2NML
zDuhu+GqkuB3r/q7mdr+i9b5puBtvkD9QDwQcf2ooaqX7JmkNUtKz6xejVtOuOaK6UxHuYdIN9CM
kpU0vGAXCDoAxxAnm2880vWD3NTGpI4UkKpLUBUAszKUq5IhOv+wRjjr7KMxRQFXJwJIbq67T1nO
+zhO5hdPAJFJNVmtisk1NLlbn5OGno0ifLXnqgIszL+bGmP8kgXPHvUUay5Bxpl+iXRPyVm6p0+C
gEXA6mZSgAMExQQRYGICMe1TTB5hMaiayYdrvzceQbBwspKTV3HOh/KZrfRkxtCH5S9E1vyuOzx2
DQLNUdoP5Faxy9GyjgQHGyiHKEjp5MtV2WMzdzky3VsxL1tmCNuG8ABpXXauKO/2JDzkchQzp3kQ
Jps07bfkaOhdkllwsaqCvhSThF1oAi7GVPdgixn5pRkT5hqD8Rb1BfhKCmi29YTjTXod1wwOHZTd
uEeK0SgzrI5ugY8qCDrMtkXsIn1hl7dDcmAZQZi+82nwyCMFsst70ACqqsU50yU7isTJC+v4PaTR
AUKaaa/SjsxDTqCA0LnPHbYJTn3sTTdeh5XbJL8GNxXPBUHYrVvY+hCBhrx6FDmA4Hpoy1VGMv7K
jht80wKDhNXyidRioMKuiGC8+8ExcLLkEqmIqh3UHFJtPwxsxLl6/K6t/KOvZ5DxqX1IGWa+pHmb
rDWJhI0XvWWNYWHKRYwLQvzQZQ05SjXEvAMzU7yFfnKH/kbkpeD67SR/oVX+eJXybvGbRdXtIWwe
OK5dG9sFfIjfURsSwaprdQxTF1O2zHFN965aCbNQr86cZriDIYIZ8UPLHLh3sQ28GQ1xo7Blr0y0
7a2CHOtLyP47Ntm0sOYseqG9rVy2Yx7vtZu/lrrott2DdlCaL71NiLYo7OhTURlX1ZjEdHGaNT1i
bYEVlgr745RZ9Ua2EyyLBGuVCKOLyYD7Nuh27xq9t9EUI7G8ltMbGWR8IdMmDNv5oxppSGmTPl9l
rsjRhbzwlKV5Qg/CZzlmcul4Uu4sOnSQP4onOFj4yfoxfSqd+rlrlQahSwNg4frpee6oAPQDxpN9
NHImM5qJPrj4PSeL+fCr9stO4ZLLcqqTco2RwyXU+pEJiX1l6CVM8ZKZQ/2bOYV1CXWJ3vEwJeVY
gTaAw72t0zsPzqGA39aqlx2KnH3ntLLHBypOyglf46A1iDbv0ritd9WEZRr0ZXb0yoljIPenRUd3
1S4zVLMhmFyv7Fj0d6K7GeoUunATwhMII5rE6uBpdBmcOn2eErGAadnBQTwALaRn1MUDIQUJqryJ
LFadoV+11fCsizQ9W2oawW5Ph4zWYIJTHJsn97tN6V3m8v48BxMsicmPt7kxWRfqesgNAt2Kf6Xx
kG5MMEInqzIXs9ErQqrUyhZk1LU3BSdjqOYLPRm438vKXvSOw2HWFGqHp/VT5nInmuZTIgjuzGwa
yTJzSEhach5JJIeLoO54Zli8Nh8xgF4NdzQEnxfNpzw1Ae9kdsMFO3DDrMn+m1ZEUJJRTO/OlF91
HVogLSvWNCep70ntbXz/DTdg/qGYna/a1DUXI0LnzuPs/u9O+f9B4/8XSo/t2h5yzP9eWXqL6JLL
I7Ax4Hqg/ux/wwL/9y/9h7Yk3YeExH+yGL8qSwnOIP+BGlf2/+BzC+XJl5wlIOUwnv1PTo/juo74
X3N6+Gq2Il0jlcUs4/+J08Pw5zEE/i/3PYfHS+ID5GvybXDtfuhP/+WirXqvKIpJi107VzfPF9XC
SXJoeyc4LBRd6jgnfZ5vZVVtqYY9wtJPnF5s6agjFpA9TGfTA+E8iMneW/JSPCRsaxyIENXloWCp
3/WJtfZN2R+y0nh9eJOm3nidORMvgN/RWIA4ZKckhZGqU4+GaTHeibgvdKdgljbPWF+4pVD9mdPl
IotzKjyYjeEl+UtQ9L0Mxo9AliY8D0ISFAB+Dc1T9Fa7DRae4ThHDBClVX7hO/oZI0Z6uJPxF3j3
yPJOqmkoLKCzrzf209+IMakjvQCCQk50ScqesLwiLJtYlHaaGsiFRWqbQ8qVygrr0EB13inZrRKX
SBATptGgkVrtETog8siI3C81SQwE6UrJ87+SFY6AiXetap/CGwTg1dTRyTSmGL2T+M7Fn53bdn1O
0v05jnziNTbDhAdp+B+aL2/fPQrwMmsboFn0+IXDP7gBMm3uSMPyA8qNuaxbINCpZRHOOLrMHIuo
lRAtNszAWY3+wcO3Bbwydz7ALOnNjJAPHfNRO8b3b9m2t+Zyq1+DEMaOy5qb5sdJNn9pqy9PZeQd
04ofO3tI5RY5P7dwoieLZOXSpfr4iGu5w7rVawZZmvyxjq6Z2f4uB5zu4UideRgF/htpKfE2zWIP
xXHFWssAdMjEjiN/TA6QZAEFLWKn4hvBBPzk/rCpuOJdeywTe8WpmOgXavoDP/zgi3eGTZ7Snh3S
o69sMy0lNCyiXij4Vhx9ZCe0xJKCD669QFDq0eDv9ekWMd8JJ/KVWnx1ATJoUOPZzsBnQGwON55Z
NWgVtb8fvV0keftVampsyXo7xekfd/CJGYjtoIvfszJ+QgBuG2o8hrVJ7HeBiSbGB3tgTDoRRd/m
Kj/VAl4gKhRUilAdHpU90dy4q4wfi46p5F4IYW8S3ZOfyzK6gE1KRwaov4ANj1D6aECv6cEpvOwZ
DmWzKcT0M47WQIcz/HiaqE4YSJKtfHzU3JGKSXz5WIkfCNt/8f3Z2K3obgf/+WBjM3G1yHFT7UjA
rD20j1+czgDsG7v/0p7H9DOq/U/HzE5B7RpgrIhdtr8SpbYa8XiBG7eFhKSgtNQjQiv1XDh70r9Z
FHf/PrI4m04sLxEvdPE7ldl7jUt6Q1O87qpmPVaP7F+BaXDgZvWfrPnASKkcA+LrNo/WNLIcgKqN
majkmEGC5/7iLuOQdtKEK87OB8dkP14YI6vOcVa/JnG7i+sxJZPoNut/PBf/QICCTKPY5gQvikg3
R4KFt7rzku0MQEMRldq0iXupKtdACXjgM+InWdE/1bhhw2Q6Yi3Uw2GACXOwHMItLWCbtvA3LSLq
HtfVNYwxAZeWQ9NQSapmGpjJpgOkjMYArt0BCPIah5poB8Z03Ct7U/cm1+7hwXnQYim7cPfv9xkx
TNePkFXBxSA3HRKyBQzHiqAQasE3mYYOeor7/K8TJkum3RBVy/k3c/rxQHBiPAQzV8vhnjCgWw6d
aZNCWubV3BxsqS6llry0HsWURZztx9ReNqOc/m11qAwBpjVopkXXPUKbNDxKzmz03H0PGRzebhJA
SInbdCwFS3yuP5O0SHMWAEqbDo8xUtnNFaw0huRdqqJEHqSdYKG24umeKnXiHkS/cWbM23ZPx1X9
5FjEZBQoqjSV81HQg8XDu1FjLQ9zqV/qcMy3wN+AUAyDZEVQ1M1O4lA9MoBcDA6Wm/y2pkGvPU+j
GT/s+i3Th1XlmUwRkv0/GxFOQeLoKN6TzgeseMlzngQBoczklmBbvIxcHe61729xQtRvGI5Zt6rm
85/f6bCJN5J5LnrdO+VJ4myJxrnMLrxkPHSPip5E7LpOawQlyAQY2sOV9k1jZSXCOYnK+tP2IcTq
ApVF0eThRIw+WjIuYXGh4exRLGmTCx0Y1QSVb7/z0i5UN7XHiTzgiS5r/GBJe+7CyMYwaFH455dk
eYGLjQsvEJqT4RBXXHL8leIKs6Wam2xqgrtSjoFe5Q5pTzM1gl1jZx69S0CYePDhATU4Ohv48k86
/HECdMGiwu0/1YjY4dg9YbJTLPlVxGM3UTHLZ+pcQLovg1gtnTEZdolQe9ct5MHymVV5YXSqkaW3
sqa5Kx/JrjHcPrlB4VIdldsn7pokuWZmAVhdIrR8gzBrGpCa022ztpr4zZtI2cZM22ALBbSJAVKG
GpwqKiHCd8/NcsyPRrso0T/WSTl4u3HCqcwVTC1G4pXPoFacIG2uQV5eQ79AcZamt4ULDS0qhNAX
iKg8ZOnv3GYXaTHbrwi3wqB3ur3I/JdoEHQpehYVZ3mHp5fR9C41emwBuU7PJl9r9c8f8BLma4lJ
hEUJbnSUYESznuK5659zO/e2zCLv3WOuEsXtdCEVnp/Lmt9FZnxPOzPagLxihGPvDcN+C9ok+Gpc
i9rTPilJqdAkHyfPvT3jdXP6gxrnDv65aA9KQvSqKQk2BwOYDpKEDf4JpVdhm8jSbjtOFbjEOj62
vcOssC+98T7YDRR34ynGUHiD/mKTDq3qY3P0bR0vux5u1CjtZldMvKtEGDjGCX83qPalUB36b4Z3
AEr0t9H5dxsQ6DXBlN25fXXSSk6nvDxBJyQV4QYWxTPjWbY99+zadza0UF9n2eDvTa7daGv6p3u9
rnv+J6J3lEsHw2c3K/1EdIkQGUgRF4drDhcrZ476zFt0mEOms5Nu0WrKeeMJ44PUEdNqzMWvmXbO
aRxv4W/Up2Agf8guNB/N+jmcawO1a0gvThCaK8q3i6PVOM8uwhuW7dq4hhTinQnh4i/5mnKNkGXY
1GsBTN91DmGdOKbfMtEEGwzZvfaUti67OoaMg9Lxin0dRMA4WOAt8JhzJSbjUFSvmfiYO1GTf+Dt
KWDUhbU8i8KlWk3RV0d4CQpWasf/0Hae2ygSpxYL17Y1C+s9srbK7ryjT9XVkiyde8L+fyRIz+YL
yeQUE0kICIwdyoYpBTOTedPN3Br9im8BJhbEESeyT5g73B2S2ckcTWdlu639WvF8LX3fndahp79r
LiPXKB4wXSHMwqcq2kVjD/l2KKJinzqZuo19ffXj6dbPfv0yh9a4riTdgYl8jGI2cW2kxzKeoICU
cLFr2/pi6UP1j9rXiAoaWzPOyEKeOE5h2XoeNWUBYZSeJEOmOC6MJfYahaBJ6WwCHUV/kSjqSRz2
gJka/BNZ7bTYYHt1nTr77k8+WM9JyDWDqceAFgwNtTXtlnMzPXANFb/TrB0SsW67NByGDkLrZDUn
NpaFZmLoVfLlkryBL1m07wwYgFxoWb6aFgPADDfxb5QlPnqleq1n6VGjDYZD1q95LOplNpJfZucs
P5u4pLxHGCi3j/6QXKKgYjb/kVndA6S0cXgVubvJm+o1/6fANPyJh/qRNwAszELvFBZDp4kgFLXy
8L2VJ9k9SiraWy46sde9QRIx94Gdpyug68Uumc0tWGGDZQqCeWA28znq/jDEIvI1SA5PWFDtNuFA
3Hs8HbyuhvHoqmNwAo30fQpEfXI0XH2OHv2mNwiButnk7IyWXEYceseadPEKvk7KBY+AZUhLfJR6
7m2a+mxpq/qUFI2iBj5Lt4msxkvhx998leAIxlstpSzc797X1tUOIdlHxINRa4b1HIzio+VuWM36
rkdtL+Y+h7NEJI8fwmz2ArjEItYONkM5EaKlK9ygwn7pz2G2Mkkzb9JQiq2btn+x7YXPSTI6S1sO
73ndD6uMke4edXfl8PGn4NE+KxG2m6xyeIxdH+Y58/c+DW5UyLh8coy/eWnHe8/YAxjb67jzCf0n
wPFaIMc8aD0qDuS+TA8OTa3lrgwa42wZExb6Ytew2F9lDGYiVuFEHTZPPglOiG28opHpGec6S646
CbkZWbSn1orYjzSrA7nPaJ+77k84zGID204S0gC+1+lGbqN+QP/rsuI8pt4t6tqXAU1+R9WSol2B
kVvq6VNZlWrVWlbBVyZhXWt/h7xIO1Vl/3UD2W0ry6xXvpPHV5YbzhulaO51TO/eFBLzzDD6rVkl
W7o/KGfIbVliOcv6pcEJY+UF+jJmqrsEn4wghkVCHHmXMcSA/oEZDc3K3reTvEUNBSjjiINS90BZ
8fQYSwfs/8li0ug+whIzZXtNV4T7IJQfkx1uM8yFr3lgXmkD5VkMs1M4Vx3vT4LvhZpoQjBw0Eh/
te7YQ8KnihS2WYIGaFoH6niOBlaVtUH74mHIkhNh7/DYJTMvMsqcEScdbaE8mOCIyBJba7ts/8yd
Ux2RDPnuc++71km2HJy+AgPUmgccAi3iweDvBVZSim3yRQ3X5JaM5acIrYlKgEeSA1fNQhQOHLpY
D+t+6kOMRu6CVm97R3G1vVLoBTtAwATip+yJJK0ioIChQHiqPZSz+tVOfnF0J6Nbggsjbkg2vK0S
QrHBcHXydj3I2b/5adyd+yJ5MbI77sfwGYdedK4cQZgC5COhwrtRoywoXzfegpTbeUTXzWIOeqEj
T0Xo+dfQBZmT94Sd6QqYWsc5GvK3WbTTEVwBeIi44r0Edm4WzwPGw0PS80eBpVEXUr3PjDSiaoXw
WGXpY6NBM0yNHbw4imClBLQzzuVXm0GrjMVTXsvws7cWTHGqzRhal6ankErQm3mxSAMRAAXG5LtQ
DNVjxyU25bFiZkzqJ7NYprq7jRIDCzdKcwfjYts4uB5CKLRIAFgfcup/yOW1xziyKRcTHBBV8zL5
U7/WLQ5AL6WphbiGtbZMN0IUz0qsNemukaQgWjf+Yqu26Jun7cPrhhVV0t0+xMgTcwvcC8d71WFO
/edUGKhwWLPwGFgH7zU1qHoAS5dXaboZfQx8SSO9pZ+Eb16dcqxJ+TxZvN4btoBF+UOedLxBOMqw
uPW/xdi/hAVMgBj2pT1ULgFv509l+n/cFC9iJrJfLpy4PfG1DYK1d+YyTFeTB4q4qj3rzXb2ofD9
V8vPv5MB7Xj2AVeMotRQXBmpeBUFozbxtawh1CVwomEjLb9D0TzzSnw4TTbsQfZyFAxvObHphu2H
UUL6EeKrQuB/DzRNLXzmQEpVTnbPbLWHmzbt4dOh9Hdv1Dqna+H4bAchgEQ+4kfDGPDa1QKqX0sN
UAFvD24zKkjT/uKX1VwmwCpL+RzG9goXKKTYkPOvrHniewpSaitcjRyXrtgGSSPibyBZTlGP0ZBP
5BWdBsaGgVd/epJcfZhQARgCi9EypufWiJ7HnqPnhOlz233gyem5vlPiW4tyxX+L1wzaGlBe9JQZ
G9pdgcLBRiMiV7K6tdG8NpJiF1p9S5mpoEyb6jPytDjZeJuI0ngM/HrxXc1ZsX5CZXonqcJ6MxJU
NTqr3nWzSbnSMF26QTlPLP3uUwowghpDNkqvA/PWFOrombJbWgYCqe/ii63L6NMK+z0XqvQrm/Ta
kdBBOkT4c0Y3ASd1UI2P/MlyfqTR6Iphexq75ipM5i+KH4syueD3AzS9nGsvWzr1xCTVoGmojymy
V0QHIe7Yy0oZ2Wokp74y/abD1s4P7UUGXD53IjWTi3BX88hVBblPCgUGu/xDxrrFhYtt3CEThFwb
PlFUMGyHtG7Z/SmKN/3IPeMZxLM/dRhZlfWdzhBNK31Oc0rKJjb0zmVVJr7CRwc/j5UEpygFYxGr
fNvYXfbizj2ffy/adJ3zHA2qWFStdawjyM6++1JUc7DCW53w+lfhvX/8Enr5F5b47OZmPKDc+jxd
bpDSMVz1IEO7RlzJmcnu0MRJvxyrYFposN89rlALWFM2AUVrMToumgIzmpHwIfV8inFrdNrC4Akr
MNnB0FoSxn4ngH+puul7hCxd625bBy5pozq/1oSI6XFhxfIhBaa9/cqr3NeMSa6uVX6OgbNLUPfT
LHrEs23OOTkqk7LPLpX3jDJ+XLrdM86Krv9UqvDFswZ78cCaYTbxmr9OhFhdUNuoTM0VnRPPIp+s
K347aqHcbTd0R8bWNbQ09M7cBFYXha96AN+Uwl9KHVTGyHjNU6hVeQW10UqITMwh2N+h+7SxY+PY
PEusgQyxkL9SAg2b3keiG8mQDhYHa10W7y6zEdAgC3fI8PT1py4PCRESfUINnz+t6CkMOSmU6QfP
5JeTmSPzRxszh9d8tiF4OUsEb34Q/wKSTsTYMI/lRJafPX45sAFYjlgYANlW4IMdDCni7k4MTplR
LDxvHFYJBTny8fA6IeMV4y4FNDF3sOWR4dubnrxikYInY0LgdKs6g4Qwlf4/2EJMPHsrTZvHQJtL
ZmHMK7jQKAo477vGqJYFM8ui5u0Dw/RJLG2C0uHBrugJuw78sEC+/6aGQuKF1zCyT9Jno8qTR5dz
ghmDlFu3k01Kg2VS/eDb/qFNm7Ex4wOoP5ydJnNXZ/g2hVg3QnsAUWC/VUyTYRP/8aLga/ZQ2+oR
MFCRXjoMNGs9OkfODGRuDtBYd8Jxj5ZDizD8s1On6XV2p5xCFiGfioQpTV876A3tsFNgwVZz0XwB
4rpJgePJnLm9o+kdJ+QQIRGA/UOF3LguGLNwmY6WfkyJYRMd67L8pbHReHRpbuqqz88ChhWRcarh
jBXTFH9jxt3RHaIf7QzNPsF/zfzuKTYnsReVwuQUEVDpWKOAWp88/simYXBFQhIyf9n8AcI9XGdA
/pnQvwbL6T84qcQsMfnZjeR2CIY30H3OEgRiyMCbk11h89LW5HIXQ9lVX0nwCI4bMrm2EyOHCl/J
RvGzwVDRi9Zl4o0Jgye7t3toGPV+nAvKmWOHLhYNVQOH50UnMjnl6B2G3b2pih6Cfg+NLfvCmAqp
yvhrxFZ3wFs3UNvMdMG17cVgxNHKbLOJhWoMNnNOpGiSAhdPD63FHx9szebJl5KhjZWeWhs7upX2
/QJICMWtLQ8C8kb1QsfWfhTQmPuc22zB33F6SlySBl5CFHL7zJ3qnStZ/Rl7JffWsSf15M4kA0iL
LGkd4pVj5IXDdySvlcwO1UntWdnuiez0jdMdffZPxgx9zEJU3grJFKYxM1hMPj48L6z2TcjFc+zz
S15Od29sUQasagkCCPdy4wAJ0Cwz2QsWSm7bPvhLCgLB4ZHWWlsGE/aqMJ7s4iIaFl5SFMxzi+s8
pHfSVOU6JlC/jC9ZDXP4EYuDqqbCI+SXKxEOgEv9/BVY5k9nlQNPPpck7jE/LDeiDQo6rNKBAqwf
PeAo6sNz1ANhCWnz3kjtEsJtqEQH1K7XVWDXG98L5bbh+YtTnWJFTvN9zvlA4VfZOMN7OAW8fY1e
990c7wFlAyrMax73HO5hDVElmv9OiePcXBM5x4/HW0KIhIkbm8JjauV4U0H6nzXAnHPIa7XxIquv
sWRjcGf9EbqaqXsJkW+8iYnoc2NZ3x7o0WMWGU9AAPf09cSH1BQtfl70u6CyL75V/vBEZHCXoQmU
Z8eYswWgiuSc+5woEJYgZc3t69DTogNNsT3ZoDmH1l8NhDFgUlcYl4r6Lfbbu1cV3lJViHIZji6U
IE7oXvqNNTkkTG++gYhmBDCDLumiydr09eSdZNmu5la+AguAOBYU7RpYQrOrIwtuebxlr8u3tuHT
cZsNH6n5VYQ9cHTmAbupyiFhT4aAxd+HLE1NsKv2nUe5ajlsrES+21VGFjWhVNBvxvcHfXCckTiD
aDtn1tdQBO6ynMNX0QNOiYWR7GopG7rcLP0lcJZ5Y5ZdZYZr3oLmHDZqNdUhVs+PnmPlOfZjcDTM
YGcvPTKDz4ht1KcZimMpOOH5wJtwSnbrykYlHBS8HWHdDdZI7ofiJQ4C9iPgazrwDlNYCTTdsd6U
2AIrh3+p7CZvSTvTnxxsxKbwfg9lxuy8dELY4kbBiJSjf5Vdu4pXrJ2otiAoMuKey9CSdl0B/M2F
p2X25J6zoDRQb7p7a5lfE9/cJuhpunTk8DsjnXwwMnO6ea289RSrqYoUgVNTs+Z65J6kMdRkyEhK
k4wJre42WQWjKgpfYv6/GrQF0ivmHbVnpD4TVrO2us7G5aBJlbsQ6mDZZwcxdO+029AFbZHQ7Cf8
+vKln4tXq+2evViuo7LZaTAdOhuyve7N5KkEavoUcyw8uKb/rMvePCqHuVwIT9FlWS1IF17Rvrzy
nMH1OPUtm6xJikMCdsSkyVUaP0L+kVPjUWLWdpJGPY1Z9cRRu6JE294rQ4uLkZAXiEr2qix6S1zb
OoGRWNduYD7xGeYAXLFvsdEsG6fkdEFViu3RwUNMMkAjaFnOsw5OIrNyt7yofLgOM7duNtapHPde
Wt166PvL0ak+ul9RZva7fPa+cGhG29ykYMbs0ufJcnndyBI53NPXRo8Tp2MMqQpGFMJDxsYaM+AV
qCaf28+M2TZ7oE6gVt9qQYIyp97V7xNUiqzfKoO3B2NM4L8kztidfSSGrO5ofwiwmNZpeVCJQQ7D
Zk+A3X7AcS5VXK3SEnmkCp1XTf6ITY01I7GPseToZU6n2UARrWLKnjnJrRAh020rWOpC93Hp8JP6
PG1AI+lb2z7WdoCdWxM4++xb9UoAT3JnVADkA87wPJhh+xOXtCvIEFvniDlrFqzQhQCZMPg/oPkQ
MufpxSt4ULQ9DJgDQW0k1h+8jEw3Z+RJ+kPe3Pgvkag/w1wDXX/AP9OoXCtNFpGwHZ3qEcXqczwu
qkHImwTbMGlMHDMTWr96Y76WHVq7fZOl6A+j6+JphwlY0s59hTaxtofgdyItyoRz19hXhrRpE0++
uyyhPda9C8E62gwBEWR1HwOIWJM2rVOpxr1FwI6bcc/ssy5+zR1OeHumMKSXCkaS1W7LgQLwgONu
Q/SCbOz43QtvJfoyww//PcqOeXv67UMSHBUW2SGcs6UszBHiKS0FXTSDnoddtrTtyF0VRnwhc0PC
h9BFDS3LDG68ghsvCJ4IklbbPml3PfBAWKZgEDSeO55f/KlT+wR4F+XKBdvdg2ighNFCDhv2UDcu
01SQulDdHyN5JxHBBFiVG3jflzkZYcDMxQrPB5qLfSux1JEYpGmey2Vjr9UYwXJLPf5V9ylXbfgx
zjV1vT0JuDatEaq51W9VbkIIcqFUReUlHuffRgGr3JyG3/xAMNXtztiG9b0w87t/m2c9vCJ4bVxP
EVpr3YuLhDglGPyUw4XWDYJ7kknFsBNTOevQIowhg1ngLXl8zl5VX1FrK3ye4V1E+qwqeM7CBrdg
u4+UKE6YLI7BcPoPb27zHii1RucYtlHHGzRzJkFp9bdtzwCbMu4D4tq8AFS4zTxwRirFhDhJzcV/
9BZxxupa0Fgr8HSumQEtYgnBq63qYWcMM4duq7rS8PSB5OcBe/miktPAZiNp3nBvlbBOFAHdu4pM
FRO6s6uxMQiLWVCX6Rd//JVlpE7LycKXEaRLkXID9EzsgjST5atS8HnL2Y4MYtKtXX4kIXGrh7eJ
s2vKsagZ+nXR46E2JjjvPBHbmkz8yq5oHgnlILYj2EBOZF6wkhKUbUu5QxD2xYahiVpx20tOQTh9
NKo9F/mQHqsMiLomEwaFj6pJsYsF1y5nHLGgpKTQPXijXUQduxCkKAGqLDz0p+UI5HoZ5s1XF3J5
Cv0MPhjiSuDtQWRAq53YWVTHrjn6MIbz78efgv87O7W8VoZ/5OK1ZrRHrPIt5jv3bPgmHhOJgZpn
B3NOONzGtnnDBL+eQ+MFbvBwSktsyLuGaocurM8Ch/6qgVGy72CCxI1390FevgSpsRb0q60wP8U0
KoQbrTIARboAdEg8fwG05JFiEsYKezTdrVOJCxUh4J9KcvmPlhetuJpP194jp0F5esXlemlPHWg2
zJfdw0M79s+j4JBE6Y25dkx8m8KkyT1tiOuLhFhr6WBpoocJnNiD3tc1prPG/2kQ9gcdkOjuLAeG
okGE39mynl1sH/DI2NaoXTgHYROiF5G/jTh2ZZik6QJe5j0GKeiKV1OCJBu53g86nU9WMB4T3pOl
q4aN0kyw7Xz4HiZkZ4jvvERqLPa9KvbMvlegGOGk+CUplQognqBCJk34nNU7QyUUYPlzudafQTK+
d7TIrAkIGJyJWn/pUX0XdvQfDEcNVzecfDhOMgy2j0/t0nmAOPvRpEMtDq5t7n6bDW+DCw9sflwa
JtKJy9rdFH0TLyaz9/Y1aPq6u3jiFNZmto9U/Q3cygRqOEKtxzN6tEx97WImuypI/zjTTHGrOf4O
Sz7XXNXACvrbVHNHtsni3kjNlJikiF7BgIQouosRYfqCEGFbEIuTabBMDABR0jNxHU1LlEl5Nx13
G3HiWsEkJ11dlD3EdBEtZ7e9YmaM9v+TvTNbbltJu+wToSIxAxEdfcEBJEFR82TdICRbxjyPiafv
lXR11KlT8Xe9QN8wLNnWCCQyv7332kaUsvn25G7o7iqTuRh3/pNhqtFNQrJ8GM4jaMseYNN+WhLu
E6OxdnVFry3Vp5RjGFoeMt57yuC3HZz2ZVwruROginjyZgx6+4vo5Ytf2i+ZwbhQ4szHULCbXIZG
BRi8Te9++rWRHKevQTrvEvVhk1rYd+ZUfyxK8I62ZC7ip85X4tEqAoO33o91+xsz0aIp8bZasNrb
bNlbTiNuXb5Q2kPEEs/xvvWIKA0xBcOjv56K1NlXyMvstKrV/syzRe41HhJhhuK1T4bFYvxVXWiQ
43jJ/RRBdHvP82bbVNmvyqYEFtrEGd75rvLZBC48rnrmoHvOxKea7eKrbC99J6cPO7FnnE4CmyVp
Xbo9RA45Z7HrSyvyG4uZPBPmp8qnD2I0+huDrtEIrN+GlHq+9WOTw6e/9BySXe9Yj1xObLuAbcqm
/uy0tN3UcPZtVq+TlvqH0fydeZl1Fj8rzqc7MWr2yW4wbjolyD+a9EYWAbxcIMWCOLG7m6TN2cro
v9MlSpXw+azTZXyYHfd9tMZDqqp1dG3UgVLj15xiBsMmsjDSHokIJLkD8/WOkFeBBWay30U6BYgf
QsQcuZOKh9Rs/6C3bb4rjIfFv02HynjjOcH3nTnLJgVeIO11ZKbiGfvYxU2VpzUYFFrHCyEPOYHf
bZMzi9X7kdMSuBDSUzzIisx8HaaPCMnwvAoF8VrGB66i8jAN6c4lW1FoxJ4sVw1rEZr65j6dqPb2
OvJCLee7Td6lby4JaQATL91S3g3MiYNqjgI8590+Qc7DUU5NlMwu/AraJ5xR9zKSLYVoCbvT4lE6
3mVqqx+D6maiDWGb2ySmBtXb5FDgpBkOcpTEETs0hUTAN3dRg+GqjKCauN3PPitQp+WWbXho97bN
wpAwSaWocVpytpCNj9gNX3mpzcAeypmMQZGStlQnA/I4Byz9bLDKZQ+IDTZBsYPgDuxQtVZR73BZ
S+yacEwS7ryWC1uw7kn7KN1yPZVwX7Ek2gyXR9bUCcPhdnDrr4kHPnAowCkaSNcxY7xrGdVbrtq1
qCy/w41CY6dI5JGpQU+6t1CNXNRu12FOSVfr+B4be1VXgffFh7zec0+YK9FI2dpIa1GpUKJfZTKB
8Fbo/q4EzWzx4zZVR5jBQX27uhocwsRJMBDDR/TZQHkrpIMcP9VOeg0DloRbUPrWpQJmXru+vYsn
MoWprV36tvyOMnrIOEkv4gd4P9Q5ihAgeNmq56xzu+GkFfqxq4Ex2NQNblnb9qlZUEHte9axwBgj
GeBmU63irPqO7sLt5GT2LWRuTIzM0XikcoCrsOVx2YEU5rIsh2KPBMRpjALA84puJpeMLgx4WGYf
vRj9p95p//QDF4UkKp72FFQCfKZSgc2KbEjjN2RFd43y/AFpO6VWMe5Fpn+vsiSlYyqrchaVoWRO
RUfffNKawT6VXXKLv422+9ygsqkT3XPhG0VQaDqwfMH1chXUJgyEMe0LoWiXXT7BPkaUTclLtcnJ
9oluElsIcUbVEOcYzi3Jq5U+uTBUUeSjR3Ms2uBq8azahiKL3jja3tJyPDSYySuzJU+CO2vFQgbv
MHRMYzow715C7rALo2eGK0Pz3E+UfU9y0I+J6LFPzHf041JPSG8JjRbDLMLOpjMtieLT9cuJHJeZ
JG/u8uxp7gSeMBlbu9IlvPPH/U2WrgnTaXhk2N0GdKnVoWbABxK0uO8mEC8wE5npYUZYIzDl9vhA
J5c8kNs3ZYazo/Xon/fVrVnyW3VkAjVG1Z5aPga0uDLswNPaO3oN8fHCmm28+jjP3ByOZtPnkaQE
q2UPqc8nTjq1gZywjOvOcc5SBpM9tI2cC7Evy8eR5zDllspUCoB+DDW3+qwF9SB0r8BInCx/t3oT
zfCR/KGcGMg07vMqYCZAI5X6lhCORZi8Po5JWe77VfvQmUAgr1QPgx7Zu3ms3D237QUfeoYsanxU
qy9C9CJeWvoRU8AhTVL3OytmD0Pdqw50P2fjRSDLMSA/Nt4+gwvnIRz+eWnzJOSGWw5XVNycp+9O
heVVF7fk02AtM9ce4yXMSBktNpRlF89JzLuo/VvuCPu+rO4nFRQTrg63p0/SOpg26P3Gsk+5bvyO
tcnnMasKIv1I31pFxq/Z8zJmYJBPWyxObDNplaTNfNhjH6w3lo1te9DnV9PQzUPLIue7U3XKmLuH
UR55ISGOnVG5GkBFXd8yk1Je2kQ6X4VhKAtjRVWe5JIYYvhLxtB8csR98xZAjrJ0LzwAU7rpRpop
VbGjV1PW2Q7tI9bpeZ+W7qPPccDmRFLOw6GM6SErKqaaQHrPTJ5b7E7cfRpHmyfKWV7XxKrh32vv
Tk9pBUA+/MbF59U5fC2KvP5JMkQ9WJn/wMGBzZP8tHMVDhgo2amt8U7z6V8m71yN8S1u7QpT5tCC
ta7v4hg4TRPRrI7QTJEb1Aef3xu200DY3Akjj2jkLfCHPqPMxra7oDOLp+tdpUdMQ2D/ApEUyZmY
173Jx95fL8ur6/n6snYAx4roLl6IQQzag9uSM2EiLkiLtGVAeuu1gHcZsOl4o0g9VuUhcSBV7yZ4
h1CPRnGY+1KnvR7fnRQ3LNsYk9VX25GqRmrnSgE2kJ0tGSc72l7I9jqzejrIH9dmXK2N+RA2kZeG
NAGldTxi5qi9s4FZ7FoK/ipTu0ROlh5N1iRnKh8L8gkBpWY9a3Ki8f1N8bdfzTznuow9BgZnXKNl
MDkM1TJDOw6turozK7wSDYWy29O5YB0NyWHfQfyZLRpS7Dg6tCvxfWmWJ5/9FIO5ZQsZi1AuFb/+
MUUfxqq7/GJAznMfAs214fh6A8YmS4JmzCiZGsPqNLbokVGLnJE/jfq4B+BOXeDtqNvAVeWCMSyN
H6ccQdWfihj7R+Bi9iHI1nO7WTXeK1iw+vYvcaj7PzGivzZkq3jTv6WLfGHaHtEbk6mcTu7lbwiq
2J9HDuZLh0MdPLBtRbvMBvxdOYhJMrEpjJm4fg0QeCHGE4MRCqqZdD59xnh/uub/RwAZ/+k/vhjL
1D3bgPLHUcSw1Rf7l6gTuF3p2KKvj0Jgn3ZtqwsKWWI5ysXFaNonTiS7hCJv2gnbhlEQPTz6YEJR
0r0V33Idv9b1U86tdeOC6L9RTmhGzY9Nkue3jmrPmPod+eKE6dMCOT/xqp1rJNodJUCvmQsOGbXO
DKEPDDuCBf1NZLmYKAeUTj0d4H+AWwCZw8ZpzkneU3v5OAyGhTHutomi9DfK/ZeYhHfUjSbBl4vV
iEfOGMIa0jeihGkz0CHzIu2ASADVB3kq6IZMWd3nyT4VOaqBXbO3t2z2P3HBYzO2CIrOmR5wOWo/
6DS2zfZUqynK3Gq3xoJYWCZLivlJpG+rz9bSKao91hESKkl8yhxvOo3WcIpE49xZafNudHN5Eyd0
ShFjLllhq0et6byQMQSxgm7SbyuP67zpUpZJ2Nv7yVRPzNUz74TSF8E13/iZFr8yRCliNHNO3Wbg
2dnt7LpMYXpUCSy35qEoIgxtUMRPxEZXVG0oLwZL6Z7Bz3DA/KAHtSbe6VItHzWS/FZbrJeaYfRu
aCwCo2kz0fqegSbAOMxmo/vKoyo+L7h9yUhUFBgbhXbD5PAXjwo9zCVfZp4xRJz10juDADuQ6Fxu
SB6DHZLDAoYHpyashzsxt/XXkpAR9R54SlSfGA3SDVWWR1RL+9PH9LjzjOY1jZb8RkOlxNVmcd1H
+U1i0a3EpHJLnavxbGjknGA//iB2cqRvxNvjaiOuPFnrW+nXtMw1dKY0hnEQJRcTeRSJfzrvXn13
+NALfWb2yShsloW4WE5XnqyovB/VW5mjIOnXv6i4oC6mMZDHbmqxiby2aLle3JWJIGq/WEYCebFr
LIA7+J/X/5NWKFmjpPv8+g+Fq4EumaSkGIupBPazPLSGhi0+WbYN5DC2pHY6ourY5ikBLvHYL113
tHRsbkvPyMd7tTL8AxVCdOJRv1zHLuVWsniqZd1eap+OApFnwPkbZqkrOylcIDl4E3YzT/18xjtU
3ovSjY8NfGskeXnj+7O/KRzMY8ngnBy97QJD675bLQGr5PZ9qNVMMUh70chZd9Yj+01c1TT90rGz
HccI329iWEFcw0Qv+cHeDXNUENDIPXoBq4ydON0TNsPCR/zn9ab0wP1GVq96WUnt0dS5pXSnuctt
uq6m+cXDSWPrFOr1OVM6nJn2Oc1EQOOoeZt7g87jEIev62TMAqX7BT+jO4Iasm6ieHwCg9RclslB
x9SXIG3MORiajtjiuDLKg22142cG/MFakXIZ5Gh4KogS0XqzAAQv2BcnlXmbOWIOzbreF3k9njOT
DlNmTHQoTyXd7XVikXuf5zP0xo4uZr0LMIymB9dZvxjxdlvMfsVByProFR48gZixzH95UCie019j
qARAbceyPI+lXhCL/duDIqebAySSqI84CrZsfbutpVdZKECTAD8yQPVn+XfHdUxipsAyQC0D/vcl
p9FZpDfGpMGT5qBUVYRI0Fp+M038L1+ioZKw//El+o5FitfyTEr3/v3x4XUOQz48UMdFz8x9HxPU
mD0EPLxexlnAzoOYXWbfEUs5IXUKBgqD3altavcTJC5dPFDzOF8SxofbafUoOuwW9+JgVkthKW3x
JekMutGrmBk2m54NPaNOakL+yw8aMu3fvgtPmJ4PztASvglY9t+/i0bDSi/kUmMbq9oLPVH3BPA2
DoePna3b1aUvw6aebmLWQGZY7SFdKgtFE0Meq8+Mv715oWco3fnLJ3ISrrm61fDrlmTC/t9fqfU3
BBhoFg+bh/B8Q3dN/z9+3sQQNWpGO5zwGa2FRkt1SN8I50j7EcjxloRMP/9c4u6hHbzufXB+LhIp
3nX67jBUBDu8COyAWVU7MKraoS79t6p1z2UlKcHCxL3vch71dtf6bLANAxR1yYGlauxwssiQ2Qig
GyBg5mGCBrnzy/JgcKZ4i5zle1rvYKUsD00T44EuaLxIfYe0LFZ/MTDeyWGJT0z2U6ZJx06g5F1/
NP8/kP/fAvmmMNjU/c+B/Ofvqvru++/vf0vk//lf/0zke/o/HNslBGvolknI3uEG+Wci3xf/MHXb
JLnhccWptP6/EvnOPxwPycHjgrR0oavbpq+pMyPwb/0DSDOt5q7vqb0uCfr//b/+bVfa/+3tv+6Y
DWH8/Q4F14j3EqFDNx3h+97f1hlXdsR5ZrvCJ+xq9AkyiLhmGGfLHE6DeB2ZiYa1aTTUWwqMNVqL
ibRX77z+zfVFK+XEVEAFjq9vX6nl//rr619c31eNE/ufkQy62mARrCGyrIYpIo4T/IPq7T9/9Mzu
ZBQ+zicnco5QweBb6mXIULQKr3+6vowpYgpeo0wGWmveXfnqQDH+L319jqgC3l/f26rPkltg5bc6
u5gNcCtaulo2CsmMumzxwDMoot+TbXu1OWBv2hInJFvXzbCeZzPfU99HKZFgqrBZiYZuFqPS0SOq
M/hXgj19K5FfSJpYvhHkSfypLwNesKV56XQssEPu/tTuTEv8KKWT3FJ3HdoE+IPcWqNjotFsXY4W
hQwND38x3c9YGfeFnOut5AC6kVq3SwEYFKPqi5tisScddhBGnB45VYQp6Fr6ityA40+EVTF5bzrz
DMgKzYUJAqyy9eKCuTzjbHtYiv6QWoO9tQ4LKObAmF/yZEqCEr/JOKMTiLkJjNJ6QxB77udh3eNk
YGkhhFRSY7vVSxDUfYqVz2WZtLSG0ZL/5MX6FGSERUHDeu8c3zdN0y17O8LBLYV/IyecqexltSOP
dSo2eoLqNUG+YO4YKjOp27OPzmqxvmjJ4zxkPwomz1RtIxxgz2wjQOK5Oek0FOK8d32LQDYbENxn
aI7ufGPE9hOlsVQlUIHIw/ouj8DAuTolJ3E67Aq96HmG+9UmS7yL1TcgvC39twYvlD5vA9tj0dyb
edc+GHloT527l4U20BjSbGJszoFXzt2G/Lq1q3R93DZwlcDadUFCMT0rs3ZIC/8cD26E5Tdls2ou
mF7ZWAMzYqake3RWMCqe1Udx5AVx5r2K2uEIWG/amN76wVAlDTj1ba83yvrUF2ij0ljuqdioOCYx
K6RyRBlcrZ/xQMXERJPKrnC5bCLmxlVaGQdZdgdG1MV2MJyQw9yhK1FnNDE/sslaNvib+2BuvQYO
j9yXvRksCQ4yJ4e+G0+YBkBBhnTfBTb+gxUHV9M5y02qgduNHnwjP9netKu8ifrLzn4y0umrGLFF
yrXGcUIDlI7LSUNIs1jWgoZd+CmhyBtJcK9HzLlNjcp5N+0fq24eof+m23phJqZRFpxRjOfw06ic
qgdvWuj7pbZxhbY64Zz8uRNmtU81HSrwsbWsX6mhZtNw6I5OLW7Y5lZsXkA6LCleFc8kIUdKCZoH
+D2RgjyTbDd3Vatajn14EzDRuIqR2rr3yR7js8rgqGmrjrcryivrrBNQGgc5B/DtdTyPEOTRdLCN
0ANiePmeDfIhXf0jcWggZzz8HZCfARfQQ40HpZFo87OS0y0Tdqv6wiiBtLajyXZiTeL+VFrPpe58
5G7UBGCN4KXNbfnh9ID3cNdT+hdRwII95WKa7vdou8PR8ajFarqIrmeDelGO8m8Fl9nRNUH/xTga
hnUsCLWJc+Qn876nJq/xL7ol+PWUG38aGJNCf8wE1SqJT8ZFM5bswBCQWdSs/2rlKS67dzRtm3OE
mVE3QimMxa2RcKZuk+rOUZ+kbsvDOs2YQlwK1CJxEbpGbm/p7PtRWL8KmzUVAuSYLvfLRMm4LCy5
nbouPvX+EwnR+BVkPcqATJfjqlenjmuMGaVD0TEntsRQlrE0locpg6iOjdb2UcnnSfw0ct4qRfwZ
Qz+iLmO75Oku6qqtV7Izj5JHGUfawUhYOVXbaWNDVGdrHvcNV2NiSlYPnMyW82ouGM/xxlSbJQb4
uXgVQApkDy/GQqVVGElgKtX7dW5PzmCQEIkwOKTtHJ2BIU3VzBlsls5+mr1vfF0W4zdZHKXPfd6c
EGTyj8KpToxOsO935btN3W3ZkozQMMlQaw1lNOWo3fz26soI82g6ap0+Et4tnsFMZJtF6zp0MExL
WZHQA5iU26zqcUho9CfrrJvjL3hM6xET1ytmF9pXch0kBZlBJGs6jriqp4CiKQ5LOuMWSQj7kRjh
luzHuPV0HaiEzTHW8LQZR+zAMVIn67VmX2vD7C43B/sccdR0jI9paj/MLjM3lj4CfaXaEZE3oUQ0
q74Wf/5cZNCUKqGsLXdoXphXBAPwpKVP18fcAOFDArQ50c/wgwnpfPISYPiwS05RmRxs5mVba6ho
ZzDXgm4JGdH5nhxnzmnow2t5rzWahyGf2khhRPvSVV178C5gqZE+Xs69zi1pLvhjuiR7QJuatv0r
2hv4VfYgRC3QRGdTHhbc1yHlwwgytn+kz6XmEt7mq4kXIMHxRq36c1vyLFoN8LmFwKkAzj1lGPbb
jidKbWaz2MqeQvVMjMapf5us5uhP8tKM+Eo9KQ/OWrxxpMDB2o67wsLPCcjld+U7oEPtrttXSUu9
Fg+VuJd3Em5h5/RgZJxM3lDEiU7d0gOnm9ZjrKf7TIOHgK3pzDp9mzLeCxiOvUJecA4SiLuWBVNP
VEbrxV2adQm9cS0WuZp7oodJdnAs51HTAKnYKOAVQUG1fQmZre2cuDxnaB3UyD5x57wLj76ctmFg
3KGLAFmb/rzkbCRyCi/2rvHYoKVoSlTBx8P2YbKx8CnJJUN7KZUIQ8MN83P1YqLQlDzSsV54l0WJ
N3bOok4Z+0PSNFx5if8xKamnYWi9xKBpolgw+MXQ7m3S0n4WSiSCOvlDKNloRvnQrkpSo0Sl2Ks+
GyUzjUpwmv5oT6hQDGgmgoQqYenEp5RgeevBwXPrNoj8X5GSsqCC4Nv28YMsSuhiP3GcNe2LNR8S
BVpYTOVpELcs/Y5G7saZfQqFHXo3dSWjdUpQs5S0VmDkMlJ5yOz+oUrp8FAi3IA8aeN7EGr9hnTQ
bDriH6FRoZ21ffdoKtltvuqY5TTh+ktxL84mW+vcfESBpdpYSYKd0iqFkgkrJd0p+F851GiIGnfe
wUFXBDC8c01EXtrTq5DJ/jMAO2fL+n+ZlSzpKoESgS6MnQRAMtolIeY5lErO1CUiS5IVxhGA9nZQ
XBtLyZ9G4T3CnV5PZvokE9jqKsOgBNPrl+OgoXKdJCfXL5FVlcCqo7QmSnLN4PJXjkFyVgmMpRJm
Sx+JFrjyc+bnqLZkAJ1gXDSMpzmS7mjMrHsgfNXePW5AzwslAetowYBvYGrgfj4RVty2SjB2Wh2Q
e+Tbm0HJyUIJy3TUk5NRJK3kSqCKPoAdv2Qw7YOeTDbGuVfmD4/lYDL0TwSSGqQRzMmEF1FZwFUw
SSQvkLsWQjc6xTrBnB065x1QrAj7yp1pn7Voz1NSWY2LeO969GilXX9Yi4rmpbEnZ7PFWMElFZMo
m57KzPueU9aLRECexrV+gBgNGMF8Wchg5W3+nLZkvCey5SGJWErgMhSGVFvpH0BV8onA8GOIqEWf
G/bm3E50Xr6u/qjzhSOrlP47+8Ak8I3spqaeL8hrpnfG9A17VcMMGUZxDsJZJL/pXD7rY20qZGTj
GeYpHiiBstQhwqq1IHFgURYeAzUqQJAna+FuceaQuAYVixa8h9ROjq+BaAQ95UFr7fZgl9MeeG17
1AQJo6iARcimT/mEenkq/UcCA24I9coN5/hn4XoSQXpFRmurV9UIUJKL0P0D8+gjFYlo8Kga5BHs
/kDtXWhh+g7covnBjoIK55LFxrV2A2rypm0YJnYlhYTxUr20LLaBgzzSYHRI0/ZpmhMIWqM7nTUP
lXP1dOrnaasvtLAHUsLu4bWgYZjbqj8roLA/InqWeSDmRIbk9gShc6rjSOlbIe0Lh7QtlmNvj8u+
cuH8NxSnheQ63ZNbv6UaY9OCtfzPTW3N5QPpZbh0C7HBTF2FhnJAoGLluPxciae3pnp++iALzeXe
lOa2FOCX4rGg8nFg6XA0n2UF5TcuF+5uLyP6MfAjigaDDZ9MvWPng/oaSzLLaX5JozkNqUG3ixES
FB/ONeNnsCQgo7KBfDpWDxpe1ZaPti+EQ0LRifsau6a+TdyVBU9ykdjtmcqNLGzpnSiA0YNQsjbD
KKGNYtqh2cB/bVWbGVl0VTDGZS4TEKksPPned364BBmTnA7dSTY3maEz2iJJYXbrGdceGyFb36TN
StHHutphJ9hSu2ToKIa6afNiOiXWR1kRvzIwm+1a7/cV4HZ9ESJhB8Zw/oHyUa5RdXbFHPbPl6IZ
X6e6X4IZY8Kf97cOsCYzmZr99QUvBRVshL1vhCAPzyZ9v5r6Aw/SPtQZ2oVmzru0of20TUKmFOg5
mOkWFXezh11ZtVOYOhZ6z4rnbpM7SKmMJJzSonOtaJdtobVTMLwxi9ThWgkrTNvS/vMnMgDbOG9Z
rfFAVBtwX90+riitrwAwsCdJtN0Qz+OxR/cf5o5jpdXe+1TeHITTuse1JeBHPjZkwvfXl+v7igw6
bqwRP/DVP2nrMgqdLHusdMcNFllT6JE+EPSTfMZI/rQYrmzl6NlhVuc8QGkjum21OD5QscyT2Xej
3dAaJIC6YQiR3bBT5/X7rKBr0vJx3dUos3oqvhWCwvzRjMwKytxLKgrXEy5mYtkcxajUsD3yCuol
Uk9JPWG3m7XDGl5fRDatxwpfqtk7JctGzTbWjdbw+qKtDwRvSHepx9q/3m0MbNG5h2Rpi1Col3Vs
nqvB8vdUcLU74u2fcLLiQI8MgIouF1W2sviuXKOEU/DBrvl8rpDJmchX6P0EdvBR4Xfzq+kUaxhe
DUas/iJ4uiQOV05p3V9fSk18UT/2ZA9USA++/gL8Cp3IifZg5zCzZ+m57uxyM+GoOHS9ES5sSg9Y
2w7XCviEKw+VAOiXmcPZEhllX0X2Skt2/GNBeEROHFGK2H3FOLn19NOaRsLDhd2fozV6wD/oPjUN
WwM4e02C3NFDy76P/JR1NSl+DZ12iPyJvqJmXHAxKYP/QpWUk4MzG9hFPI+JebbdOCKDysFgMer4
3BkfK/ZbL/fHH0gRKldIejADW91kYLqMCEqrmdbnXGClqOJ8O2cUII6eWE62ZX8PY/GciNI/2qOQ
wWISJ5k5nhHLXB4Rj0/UlH5GeO9+QsoIGQq8QV43HzuAITs7I/5mxEYSzt5E6Vm83BJE+0UVF2Ia
wT96ySxXWbCmMyCokz0Y7mUSQx34oGqRsGb/Jm2+ID6b5+ZuKUrrkROIKgkp56BLfQh+rIi1XJtT
RtuC4o0QJYlpg8UJjg/DoSW1m+GScLrdUcgE8zvquhvsx9FNbGWP9vwpUUU/DGvZDGJw9tliPju+
8+m9FbHu3/JUpPp9sPVnmiPIyoEfIArGwTmp5A2ovT5YSd4fXNn7N0kNayXrB5w4pbnzaSA/TMmC
pcjWdxMVsgfX/N0l1Xpy7Gw+rGxHOICQiyz66LleJbtYwQYjg8Z0afte7s2BKFHizV8FFQd3dtW/
JbVnbcE08MDVBCNUnKE7ppbsA9VDWGNHGco0L4+x6AMCbXDFwHlufbX859eOR8WnJLbxfH0XeyEZ
3reqGvL6IiVNkdls4kI1VrEb1ZR2UvNbug346LW383ubm8/vA1OuKgbEBVhAqAsyyilzhd7sVF9l
bBILr6cqhI5XhdLo7jnVz3/eZVyHro3hvAxQCALDpTTz+gIdkgWEskwI2cUWBhWP+uS+T+nTvP69
yZM+7K91m5Vq3iQcjgfGUHWcVy9mEbOPu74YS7+TEZevEDR5jsTmShRIXE7XTU/U801f/1SoHlBI
Ba/Xk07NscYtE3IVC275hQvF0fVfOoDPA0kjyjEc/6g5NL0YcQ95GUxYTDsg4DaDcYusqIKN+eWB
v3bY5frjkW+PoYgidcsKGl7C+kGLmZ4T6o8GHctFq9IXzvckF/0sLe+ME0xn/LcSj5/HfVE/JnEW
JsQXQz76uMmi/NlZzYzDC9PjFP2R6g093zV1e5e1fK6pxW7Br+s+NuJoP6Fabom/Rxeu1oYMkWqC
runNhUqR7jtvTe68gTbuajrUZnuOqVem2aQOGR/NpMbUUhPfjybk7cnK9yO58qI1jJObuY95nP1m
qJUf+H3nyxI0iej2xZomW9lMUC5L6NukbKU30paNzLgBHN5tOk3m+IorY+/1ugy67KVIzW/k+orD
UY7DNk4+Ocff4bA75D7wwaSPhqAjuWkwXGR5nIKl5RGNOyja8FvKdfPoayThmC5S/WxHdCkR7wDN
Z7CWe5KITcoP211bHETERzaDmY6BacMkJIZvkQIcV/dLIcIHv7gpIYIjafDt++ubPbthlu9bY8nv
Wr9gRufo9q7pk3Yj6l3DkHfHZ2Zzkzv8bxogN/W6njEtAjkdVwIjihtUNKQDUqbXPW7vojWbGyMn
XuJqmX5Xg5ctDZqMhJfemPxwHN1iKXcMgh0gVuLcby8Os9JCy74XcGnJ7Lc3C3oAgNnyI519+2iU
+JRFURDIXQlTa2dpqjj7oNHG1j0RcUZ/afR3chjNSW1jiYoITtebzBD9Y7mm7zG7oseeMAUSTcb0
nGz6JWc7mBbxEweBzLwMspyZiidP/ar4ShFPvNVWLQrls2PEF5c98dQPyWVRv+hWWu2NS2oXdubG
coyfbuutUOdfKwJm9My5L0g/r7bVg3AcLbw/Q3HBO4N7wcGnyrj5tsVgiLBAksXO9IzznEvWXDeO
VaSD0+NpVmnw4ohHeh2plSx1T5ounz2vCHQHa2bDmsVTrbtpJ5vCYbAQubkQ+vRguI+YzBMtoyLY
dh7pZOP+mfxoL8AjrLpzIYC36XscSEXZdIB25w0m5ughjy4j3CSca52+F6gmIgLnLh366yTIB6Rp
e6/ZIEEEFFML2hV5dxM/pvmt+cMv00hujYq+i1irCzbGP2Jagcc4ItpIWMvwYpJzuY4BZ2aAZbsM
j4mr8Llv9BJCHAHLvVuSbGcjjfFluFbAhJ7Wfdid9Xv5WaESbgqCGpoU9k0ZJ29V9pOTasLwjoKD
IefqHoodtHyObM29TGEQrD5TK0sLFsptnnuLC8Rdn1rYUZyX4JbFFlwfQm7jwJ02O9F2dd4zfaYG
WZrB0EsT6hRc/LFwwobqJKF6sCd8vzyBAfTE1NTuIsYsHdUpdpntOuO9xpS+y3LzxRqMr9Ssmn07
031DdfdrVTIq10f4IKmenLuxq4MBoBctgCZcEh26H1QiGcTQnqlus56j1O+OtKLelECqcmvEfZat
FfYeNj9QBmg5lEjxafUZ6zBDGpuMb9JhhUY52erto8tgZGbX0+NVC5yKfF3KA8tCHkqb40qXNGYV
7VGIaHhKLOOtlv4PyvUWpm4JYUKW9D5xbkkJ/aangyj5HIOxxenOAS1DM6qUL4cdVBbjw+xVCs0t
2Hv0kswujabV3sjBvM3MjX0JIMwxazhrtd1tZt0HUDhZ1FSm2lcPloh8JNHAPg6ytCGosOgW4Q2L
iNFEgFf7yc2+I0fFr7FaHMYKBofrBMCVcWeW54k61k2bvbSczzZO19QH/NY4NojeucWQHjgzn1ag
I3Fln6x0UQO8vN5ZNUA9n3ghHQPsae56IkNd0TlbYcIzcLoLcQwwhHr+1Dbmb6NbjyhrfP3u/GN2
B5fMoT+eyra4JM85TbjjfMYPigLUgipyfT7ElDTtJdLmTa8VH3gO2KykwxsiAhhe07ijI03gaNbO
LeHHjbVO3taEtlEUw92SwETkAV9u87J2g3Xf2PDX8clpO+76rkscAhyVuV8qE2WwrYOp8H9CguAn
szbOJc7WE1aMGx2j+i7SMMn7dIW2dFGNeBmHnOdE7zDqJedMQNygl7YH/dbKsecMRI+m59CzUEXj
nmM5V2G1HQv3g+kmUKOqC7AVbpb55FLS9ZzWLnIQdBlTbRJj82cKJBe+lzj9H/bOa7lxZcu2X4Qd
8Am80htR3pT0glBVqeC9x9f3yNTuozoV+/aJjvvaD2LQgBAJwmSuNeeYnGs2y5QfXZ0ekS/CrfdT
7I0iJyuzEBIcJ0tGcFxBka0iXccvlLzTYat3cQcpgOq9syG57KEpU3fliPR+mNnF9ImGXcEhvemW
udiSJJqu0gIcKsrrR1uUpzxvEkkHmHA10IGMKn2Tt13D0RVxUhVeuUOQS0rUeqFvdAobsctEgABz
ZlypM1yvJ1wuofGtzgBhZ6aL3XwwLjENzjEr3u0fiZNZ12Y1vJKjFa8aWOtHh9ChZRR4jSzXxXrb
lltn8lx4ku0vzjE4D3T8g4BDzl1Id2HinLE3Biqv0dJvvdz/jufpLBZawdApqfZ41/Ry3Z0hS4fl
YJeZh6kXAmogx7hfN0IOgxVn/I/nvh5qi4HrlelYSH4FfBMlXi46K8xomKJjjvUSRQFVBLJUxwAs
Or5d/AmAGD/x5L8t3wQm/e88e6rU29Uyv939XJ1cZymLCa7J4WFIzDkA1RtjMRa6ePIfyhv13q+H
nx/Ckgt/vfy56q/H6t7nk/NY6cTYLJyqg4TcWfnGUVZzQrny0UlQNqh/bUAFOeT4KjC4mk/kyKKe
C/ViZ4fdD4pi86HvqnRfl/g8CkbXW8hwP9yZcIThBZMhV0OL4GPJCYWqhq+ieE2WcX6LMk7TkRBX
ntk7B80koJjJEm2X0Wc09Ofdos7bUw0Cetv1/RuIYRaUv5u6STwXRYi6i+rAN7bqboQRljaPXKrV
RSIDBbJgsI9lfv7zdbU+UVCx/lxLJv+bWkjdEHf332v6fNLGlB+5JSNnrsFfy319rM91fT3+p2X+
6Tlid72jaPcIVGvMbSDiR0qNK2HP4Hfkw8iEh688Reqhuqee+3qonlMrUPe+Fv7jvX88VMvlfQnN
xuK3AHa90Wi0UVeibxDybdnB5eN/fNKqGuYcX68Do8K29fUm9Vi97NbMfnrvqPxPTc8uTb+aLkIA
Zv3vu+oldePgodZq7fj19j/+hXpo6aP1KdD7PxXaf1ChmRamhv9JhXb9Mbz//LdQmL/f8rcEzTDs
v3SCNPCgEf+Cxgul6d8SNMMkavLvFBjb/IuJCcoy26bAz2kbOdp/a84cXgLtwOu2idHB+F+lwBiO
/Yf8VncNIdC9kQ8DFcFEivvvqtCos5EtN5V1iRg1J0PjbEXDHDiU3P0w6ikUaGOxTsgtqqL3HlQT
VtTIuWpqmvCM258CIrpXgxNOOxeKY9GZzZbRVgXMdAeyDx0NbMFVaTYtnbTpnYCQXRRgn+l7LhSj
TSMGW8Zx0JZDBvISAgroAyZeWz8JODsZxS0MRmePG6tJw/aCjYM6tiM2S1NJ1GOcIJJaKFpE1O0T
AgT7qb5qHPvRs0JjX/fMb41GDwnTAC2bmMNR7zT9ZFROuaOy0j53YfPowBhrEPe+WKSNWMV07XtB
e/T7kYSqYcSVo0H/9uz6JqKNjqu4yeg+GT+E5ofbIMB7EY/CALNqw5Lq6Zl7+UqgHtn4Zu+de5e6
ARLqO3q49BkIsCpM/aUXYpcYy9l3skMZhNUrOVO3sT5fFvpyKC1qg6CO8eRxDlqRyEJehr7cpeOr
E8goYsNtt/UyYrhajHs/HMaVeocb0mvzXH9ZEwGKV9np0RRFwHoEVEUYQ262bhJEQ0F6C4Gm2nck
22+tHSiFvUHPZUcCABu7+tX3hrRTERrcgc8iBWm3WEWw8+2fgAXjdStNapHlnkc8dtdxiTj9vMyt
czMCX4PUemPXXY/SZp42tj/+AgL/Ojk5Tawg3IbMKTe4p1DQ0aVIcDRuGiQWq5jgS5pXNkxwbFwO
6DbgiykS3VLyx1ApZDbJ1CUzRGbRCJHTrdl5w2no8wQ3RojvtNMj+h/wHQfNuK2aMb1Yc5Mwsvcv
bjbjIBCpRU6h76yH4RTchokWX7J0aDZy25RLoj12TAsyaPZLCV8kwzdD93Hu92HJNAUzT5bdVjWy
HqdEaPxA5Hd4CNsSJFj/y2mG4EKayvciRutFjR3xR+IzJfciTtyV/hLaJPSF3mizeQJs5X55rAir
WGmhvRqGwbq2IMeNeUiMpIV7chmtl7TyyFkTh7hx0vOEqjETPgQiK8lJmpCdcbvARM0Uy3fJvafh
yW7b6RUtcf3ajKZ2H7VmviVQabg0/Ipj3NMJjOlEA5Ka6O7C0tWt7OiODtaPtvGQtw0HzzU55sfM
2c5DmK6ytHiRTpkrT3omWuvRglvxWvfFA9PiJ13XoDgPGUKHmHLgMp2nYaQMbmiUQ8Df78BxI9wx
xuXZReK1csJGe9es+GKMLdw3mKbbyuAc4iG/MTTtmNqWfg1EdNwHiyZ2Xpy/mAJSdm56VIRK5HlC
JM4+I0fw2ss9LDNmfpCnKxyYuUX3J1y0Vz0zLp0OqQeGS3kl9OBq8cphRzscDI4RALrT2QYz8Rsb
XevKC3UvfR8F5SumdZymdTxtxwkiudOm9Qlah4VIEOjUok3ZTeCn7QHQT4DIwc4uFrSPVV8wmQob
YKtOp9GtbYHgQoiBc+ZGQOIbNBjk9dHwMhxjT+UWE1w+huCSg2darckjKPB1WXvuejBjcphy16Px
re3bELIJ37ObLbaESQJHPMjaSwJTmwLL5w0GlEvhBMw2sG4X/OQaxueVMXbdjW9NH22MyiQNY7zN
SQcQhe5tX0w4pLvqVOvu26xV9t5DkcK5v1wnNtYXzYDCytSJ7p28seQNpDfGm1+P1b3CkiPKwKNT
+fk6oXrMGeRj9frXw88l1ZOikSNX9dJvd9VLE5WZXTsBg5CrUIuo5/9YY4/bkp6i+eS9IyytTr2B
0MNfFpyckRQOft7VSu6qx+qeWkjdfL0nFVIgoV4mBZm3f7309Z6v59S71Qsiy6glAchdzyKDKqCe
/OdPoKnPpRb4/HdqLb/d/Xyb+i+fdy0/OXO4Z/uvD//bqr8+2D9+188l//ie6j1TE5TrSTTN+mu9
X8u1zfAwo6ZAzvuv7aje9vkFv77611vUvT8XV0/+9u3UOn77pF9v/3znb6tXmwADc7f89gmrajAZ
01NHakzoKWv1fnVju3WrEwnxrx9c/Rf1knpS3at8+1hlTrPnFPgaOoP5+YbPpSZAVKj+6DVZ+Bpx
RyJ3MAPnkpQFIVshwg8vopJdT9UdwpryJGZswkmVATSfCukbVs9+vdQ1ZrZ3A+30x/PqIWy8v9fw
9ernWvARsa7f1ihLcUlF83yq0/o86ttEZzoTDx6TB3VXq5njfD6eYwJuIyJiN789WQTpQGzry+ci
6gX1PjBViJ/18SZIY5/zgOYyZ8FJaGyJBefUDw4k8/xzjWP/RPmDWY2819j0mq3egpfVZQAA8lNa
LtexH4CJlse7OkQrdSqozGuzM02OyFKGS3C5SvnNGAMXRw+MLpTDD9F+cCa3EbzMb5lWUcDHiYGq
R97Mqoslb3Bwl//48Gs59TZ+DfQ9Q7GuhOgP01Sdp7YVR1tqtPXpexH5uNObFlIG4RKota3xNcjd
hzLgMh/jE1pVUiTmSpNDJ+0I6mENkNp2u+Iwj3scwe7Jy3r3pMuAI19AxgqmHsa/zAJTN62855Vp
CIYV0ePBLuGQyQafUvLp8p56WHWLsZfYKG1yMcfLGzjkYGBmrublYGiU4BoyudsMPDJDN29jy2KD
uhELEbwjODkILsVJqUnUTR9rvyrDGYkiIIwApTJVB3dyb5sRRvBsLdI/K1kaREnguNcO2USOmrMU
R5tQSKLFNMeib8cUfVgYbHZW0mxqCAgnkJ8W+XBaI+tl+kYJvZCa5YygaRe6Q/1qUPdrGJFwOWO7
JdN9btgozKsoI5MhJfIcAXmwHqGmHXULqtJiUCqIDHTwIChRWQnDY+gnayiJ7Ceqe6PrbBrLguUu
n59M0mll03OrBG552JtcsQD4q3tQZRlklc5FibrUb8CejWidYDks9pkxY/RESUnnYzhBZTWOdXbv
SaO/LvufQiPFYhVk1kGv23GvPsMsK1GpcChSjfKuepwtBUMDhnm9VheQgvlFnDrw8gNVmIXuqRWu
O66xJz+f8t9uwjny5rWV29ejVqDecGyfLS93bWcm/n2tmzOQe8D0VDd/3wHVrvjHczOiANR+4UIp
nLOhj+uZMePus0WrurWqb/vbY1dEMXVXjLJFLE8uqm/7+XX+1bxVX9mvKIfmyxjQyGHHUl9P7XAg
9Dk0P38H+YoXHO1I6EfdgUylvrC693WjnutSzdyOnvUtkKagSBJlVGdaow0DS/5fT+JoooPbtfVG
HXVqF1L3vm7UNlAPuZowXE3sgyMlnErHqUSi6ubrIe7k11GqyMm7vO3i0VnWSiXzedeyweYNnmOv
lXJRycWUcOxLPfb1sGxRqlmwGVQ7XnXnv25mjdgd9TA0vZrWLJKc0ZoQLo3EvOnQhgqZiapuoois
+Ilk71Vb1wEOl2Iftv0v+qU2rgX2J7X9Brn/qHvqua+HHXLHlp7YMcDFtu8dCeKhAk0QormZR9Gc
3R4c6oTTeJOMZk090IF5A7voqL6fzSHtQBAFxUp7Hl4XDVay4rKNSewxR1YznUzNRlLQbAbdvPEC
lH/mINxTjFh1hUyCYNNIz86TlVyFcfI4koEoRfyERzToA9WH7VMvlNnlnNA90z2ob/F5KJBQMBQD
BPyl7TBUhOG5B/fdhDOcbLkjdBZiwCnKHpWO9vOXlorar52BpJvkZD8UE53rBo3yZpJzIzuDa1da
J78pnLOQNxqTQY2Mq7VTUrLu1FWNDtwpq9YFkXgnWg/eIdYjUNX9c1/52g6PAZyPzAoot0vRgmk4
V3GPmHuJRqLTbEJDQHrd1SmaQRtkFMc5viW8hCXgPSJrAURma/h+VK9FWcDMMVO4Q/HBqNqjBZOc
CQEImVSeLDpUXic70CkTq8cgUpwVSSP4lt2eXB7890iYPLhfHmNeXY61J3lVFabFTLXXni0af4U5
XCPIGbai9W+9hExKr2keR3dvMe2lYSzXTntJztUCD/q+rFEvJdkR+lVeiE0o6BXmU7Q2OvqVrlvS
pNDDVSOv7u2IBDoCqUUjxLiqDF1f1uo59eqSRNO6abvHqOcaCnP0KSCub5d0YXlu7e+LraHlpO91
RiQhYlY3FSSoxvXwBAbdRFxZ0GnOOrjx6dJu1QcrPKALfWpelX5501AX2OqLYBT+K2pZaVQP3+jK
zVtv7LYA4ABiezj+JpQYoTxTqptC00L6f/qH3XIses2wXlr9wQvq+ECPokRfl8kbda+fEdghzulQ
h/buUQyACCcEA1GEg4gTypZEAtTgagGO3mPqvosBr3OXjGRZ6sEG4Jt30FG5fH63qBokFWH0VvTd
2HzyZsjBu8C2BJLWc5qZF/qazXOodQuTbUq3iyALSLjpcxfBMZsBTRBnFc+XpCu8jUV4hddxdVBb
J5/ledeOTXu1aKUPEEhaLGNOpOqe58UoRb+e9OUrRLyfUdJFe/W8KQ8ude/rRi3mfr1XPVZrTQm6
3cMdPquFf1tO3dVNN906rvvr873quTwZjyQvpevC+ZHqeb8lcb3ejGUXos6xyR5wkgcCtpaLvxjp
Pcm2yyEZ75PG17aWWZAyI2QJTZt3VkBqb4gByJl9UPL58wLCdbtk+NB7cAerakH6Q74eYlG3oo1Z
7HPPgBye2dsmQgjRFORe1tYQYBmazmOeNT8C4v9IH/Df0Gp6YDmoKQUD+Dq77ccVhdQGUF06ncZh
0e4XM/phJMBdLfutJW6bdNcxuBFR2FwCmmHrIo3nd9HEV8tUuk8mta8DJSZQgoMzvKXaWb2OIwWM
L5q50xA0wQNMyCd3WqZ3G94oNMRAILao2uui7QtVcnlHA39fIAIkY6iErEyIK7ph5A2yHvPeYsic
+vS99dMMtoGL0i4UxROcuWu1VrYau3rs2BcfiuGNQ114pV4AOv8aJXb+MOLzOwHZSbf5DFsYLdZy
W+r0/id/ea2NiUSjwukPdesvz2MVHdWXmLtRW5dtbF3BmjJumf1wQDBev/VcckraGRFeoDfBHUJm
49xP5KCpT7tQU1h8N/2Wa82yF1Nn7I2sj7454EnVp+rnCJdC4prnUWTenZOSnfW5dcKIKMwutm6H
cDauClKiP1c5C/swTI75jBCrg4pEuG4KvO01j6rPdyLLw5cK7PDU0qR96IfpTa0RFh1B2GEw3Zhz
bl0WCEvkk/JDGDTUSG2un6gMlke4I1CcNEIQQWaq7w4WxkZs2rrHYdT7xzhd7tUKx8rJ14PjddfR
XLnXZYlvS31rxyueTB00aT2l2bbt+/RkOAkCHfkD6u3ZJ3WSjBAPW5FpBQcT6sXTQtCEWuuCCnWt
drE+cIMbtdupN9q1/oNqtHlv63N8jlCPbtTHLwyGl6Yon2N67QZKvN1cV+RHidK/S0IKrP5sFT+K
3j7ZSWS+TN4CJdgkpRF5yHQXorL+XKIPi6Pjask3LbaxIM9NfQIPnt61GqrxUM/LH/Fk7wMnnr/1
ceETzlQvjN+ojhqleyBTnmuW/E/53O8mqI+vjLbMbRJa3snwg/Z27jxKm3I9CAdoLGvDa+ZQCdOE
kzN+KKJbbIckVMglUAxvQih6ry2B4mS45uOZiYFxQ5k4B/zBfyHFc90C1XnD4MvPHZhc6L28vtED
5IhqHVCimLY73ttSE4IyVUZyVZTUobNoGT6X6AccJ8vSvnst4W1JZndX+Rzr107Q0lCQ/2XiHOAn
3ntWetOmmDTrqnWj6lq0jfO5Cn84uK2FY0AuoFc470SHywdbt3/hEoEGR34dQaROArRl6N2ca7po
LxBdAGS6SKtGHGI/sr8/UGmQkWWP1sWyR0Ls+V+btBmN79Q1Pz9PjQy5J8LxGgkFYUtx129qy86+
59pZ/ScDXyDOgbK7roZGv+plsmmwZOb7YL+oBaB8zSAZa/u6M/AI2G3uIn/v9Ouy5+cZ4L9Tum9+
MiSnFDl2+r0Io4pr29LSuC6G+8VDPDIYbv2zzSQ+p7ffayvX1lnMOmr2T4IfdW87JLH2rHXh/efa
/OgBeKHzTGi3JkUJ6VkYmn3NzgRBNPKCd48fSy2aWkgtcjKy7hEygBaG/HkASePcly4NDbVIUU5r
Yv2ad4IY4FWmdXMNxmE8o+y3tuZQ1S+goW/Vohw9j73edM+UVtIdgFE0+osX3SButhn5kExtRckK
O3zz02JSu3I7VyMCZDYPDJ60/eJayYMIKUkXiG5/5uyVuj9ob4mG7AwRptaG15Eg2qcLvQlIH4eX
vdjXavPAj3ge9CZ+ttuu3k3hZJyQRDU3U6vpa9Ou5MjoRS25SEZdPxjGHQwSQnVnqRkbmvPU1/3D
KOhaq8Wg8G9L25/ftKRqN0PfOZdRD6OrqdfpkQUi+rb0KTEk8ter/G/60FtPIiKDcoEmf0rJcLwB
FUF+MGWbH8ZwURuoZia3CgmbIsNiTI9EFs57PC6AFgesKmqRwA13Hu0qtAKcqz3THy/C1ErAZCjN
ABJ234wco4n8v1Tq3uOo4DqZj+VZBFm+J5SpPLqF7925Sz5TfLXsH33ebElC0l7T3gqIQynbq8Ix
omsnwSPMILL7Tr4s/i+H4y/jougLIAw5+qqqtiMo8UP/0hCGpdYVdfov4hiTR/oLRMhMPdm8mA7Y
bTF38KmdH0PsHyaCTr/5pJFtFzeazqjVwhsI4TpVRD6PulEP+9DXiBlnZzLkqUm9Tb5fLWGFp/8j
tBRd3M3/oTcOSdmmg/3/JrRc3uPi3+gsf7/j79a46/4FPY75rGXS3gYQ9tUaF8ZfAIE8wzNoVLu+
Y33RWWzxFy1yYXrwqUiLN3VQQn93ym3rL90RAuWTjkLMNn3xv6Gz0Ff/d3qSJ+iw6awI5AuQFlcy
on5DCHYioWM00afuyUMHqbFKaNJ2uDVX5g8apm/9o3YMN8RhOUcCmn7bULf/AFPkC/4buslDAuA6
jmfAmpG9oj/+OfHCJd4rfzlYE7B4uOrdORuvsd243R7TE5U+z/0wxv/ff4v24ffv3KNIHnCAQDL6
BukhImBH22+RBFBFCDD34QvM/8O/lISb30lbf37RP9QIyL2bwBv4jx1At+XOAMvdArDFdrrpkuf/
eavakH3+/HeeYXi2ECbDMdswFPjrtx+1pRCdhEPdHEI4byfySffCtm6mzo9WVuHVl7hNo61FNunK
9aFGgPtMLn4+UiBjfIOqIb2IvABrowXejj0XzSCj0PWIApJsx9zZGOjSVlar97tF6C+oaw2aeFA5
SDKAg23/HIg0mfjhV9YoigOuIIs6aN7tSYYBgVEH2yihaE/AwIbZFyw/ppPxQhY2AEWkubW3o308
bFr9GHVIIQmavqd+bgMHgq4wkU3ZLPjFLTe/Dro4QkSE/MBuXgj9pZgUT08WdcW1NouHCaz/w6WP
iXYyqxge8aJvA0H8XshkxYha4+A274wy2POs92jmKlIW8xOh6mvohxTNM0dOiCHSWC1pDCWER+dU
RP1xNLsfVukj7F3SlV9YH07eX+IKqIE5PI1zBdm+vWiOdDONYi06tuySGGLdwhRICeFGrA4tvyWJ
e3GGbeZ+J5EET8pMxsUyoGH1+vEJyzWe2Kp50yGDQa8oEW5qu5ly3RpNa838gVEcteU6/WEU5oel
8b4RgM3K5MLkmqzKDNHfel6+NorlrjRKQmkgKjb9GGzZbAf6KAQnUU1Kc9A4C7YG8O55ZlBjRQpd
lWiF7fJNhHRR43Qr+vkjXaanCM8sqph13ExP84h1A27lfiiA06di+bCs/CmsflL1ee/bOoNA7pHE
k7QaA8E1/rd8K8bqLUCvrQl3ZxaevaPR8uRU+Yc+llu0q9lGrie3pid9dm7m8tat/XyTtlhU6FPh
w/c2HmgJiij3ocPpCgbQZinQ/qewAG3yAJaYcoTIs3HTQz1d5S4tgswilC+XyeoeSNbR1X+1Jt/x
ONHmWOWl/aGR5rA3uph4JWaXqXaLM9AgeTj+1aZ8g7xl1BNp3VVqGSQfWqTsmFnzLaEKuyIwiREo
Rk+N0RV+l/SUpyxNUfODWRz1QlhKASm4ax81rGGg6689PkhNyuN6KZAo60MoO2LmJfPFoXbrdB0x
F1uJtrjzjebeJm8er5RxVSZ+yJzNz7aWjiwv06Jjl+nbgvEk2B32nzrtxlWEbbSc9U2MCJYMO0CR
M34wfSBeQv7QiIBw0DOG9b1b1gUupOMcTzcRzHGzrzQQGVFNWH00XsLKvJsFxhO5+xamzyS6Likx
YC2bvOyONk9CwAEFis727tMGLtCU8e0CzaiQnqTtyoJVKstER7nfTHPxmOYjXCoC7KwMoGcNEKtl
4FKWFagoQUKO5sO3GUydf0DUABP7j0yTNPyILIg+33H4noUpkmOvL0xSLEApaXMbF5MBlqi9eFX3
pBUNGdc9m0/teYjGN5x3sVGF1Ztp8j0yvLZ7IkiYIyPcceQRBy2QHWavEwTjDxLzQykad6SZHAZC
eUns2KYhGjImQRydDDcxJOkfudE9mGNynZqUw2yOVEPeWI5FiFjPOd5uZFAgiUaCbUzmyxsJpw1Y
qf4Oe3u4SvyZeKQQII0WwbB5DgZCKXrsQ8wCc5wfNeEknD8Jvc2WTdDnR7k7eSXSlNnkZBbK0IYq
fsqs56aG66l7FUDO3L1zqHuSloZ7MHVWczk/d1U1Uu3gl4+CRY6u25X6PVMd8oiRolnuLr1D9alH
BEOIHF+K0iTuD3bs0P7oWk5UA3ksG+yMtNvhFJrBvVexKRJ+VHsxPxoCb1eW7x8Wy70HhrN3+WCw
NwmDJaIjtuM7Uu73fVM8aXB2cF7OMZZpabllpyBS2sEP74MIq4f5qfFz2EHBje6yO+sxLLAwmZ5I
RdqFIn7olxrbjNwZR/vDLPmc/SjPMTibmth5qovtEFYCrb71USbzk+mwN3IuO+oTTnA7uzP0/C73
61/+IjYDMKHQlMcxwMgV2E2H+n8KEbKkyuQR2ubUebgOxLwnIQdvdnvpdTYFTTFCtJKrNmKzTvLk
PmmcgxDGs1nJuXBA6iI1cvEJcf1ZN/N0aTKNq6YfQg1rzI9YaJw7k/gRl8JA5v3SPaOZpjwI28rn
q4VUkwH1zMfWb97kJplrLjHElSJd5GjKU2AhxKGoL2hoyH/qPjqpHd6purcaTEdBFQLiJkV89rzZ
4DoaozQUbffKFZk8LjPaNgk/uB8QhKO3+Z2w2wuX9rfICr8BbMF1LwjbVdhqLuO9IOaKQunep7ex
6UwLMFz2HfNTtU7kWY0QPSx4RkrSJIYjuiO4BWLsQgDs1uU4pnfe2MwHqO8YoivwP6No75K5GNal
jznKa9y9IWWXZNVi/W7mtQELoSk4KMxpvIXifd0H7aUmn201yvwIeeWLcIBZSXdnayiSyDV94Bp9
5idEhTRAF09Jn/PGp2oS+c520BelCCCgwfq/IHnt84YrQJSjKTOY+7UeX6GL4nIT4ezQFrClGkfs
yYsLigsd0TsiWidurG85y2r7qsrNjRcDfI7nADrMuRkflzDfggi8QSHKLNslKdObvG9NDYKjR51K
z3Fl1mLYyrQ4sqQa4kBx+2x1h1VxUf3ZOthTMJAnIBC4AE5XKX9lV6ApCgC4mYP5MmL795x8T6zr
mvjw/jwmHcxbt2YvJSy5yE3C+1zCHnv6JnFs13i5Xl3BrlyXI/9qMt9GYzy15OMUUYUJtVn64+DW
23IMfUJxp7uICC3Osfb7FHQDlfuQmezYoogk2wfkGV8qKjw2ZwYTHgyLjHWsVyZtWJpC2XetTHuu
yHAhBM3zVdRrJLdFMEZRkSfrMrfIAw1tWn98omHsjkldWEj0JetA3PVu8N2eM/LYO+2NxipjHW1m
a9BPjgWylZr02Zz2BCe+e23wjo3feZvEdFZeWzlY+6adSCTsbQwrgNxgoPV+8Q6a3VxhobmxRhcF
wpLSveDkM0wmVfsFs4K9npxBP3i+ke+IDd/gdUVWIIicc1sMobUB4sxYnPgweOOPRZDhCWJ45Q2O
saWKup674dHrepvUa23D1QH/fKR7GHG8EyoFIrztEY5K+5OzHbamYboKLeDGHVjKlTf2j2BiSuwk
wXuJwnH1+SFifDADkTP2fGNqy5U/xW9G7sebWkdZZ1OX5/iAqBChqV1bsY+5JcbspekvWhh067ir
Di74scNSddnaJ1ANBQ44uaRr9iWT0FUa2Y+zFd9bkcDWSnvy1JgUhpqOYGjLx/9ulAx/qsFq8DF7
17b0acB2b7j2JnVAKEYSVVtHHKdSfA8826GgRM51RfTjMv0cBAdVEBnVJU6yIydgBgUdImWvIz8w
Civ90Mk+QUaDEav5j5ZDc1tWP+OcHQIy5A/bxNkzL4BOkkxHS0HACHXncpPMXbCdqCs6089FH+D2
kSPOQKvkvL1gCpanXLLiZGo4H17tUZwoYgHS2XOCC0XmBKzvLhC01JANZOF8ZYwVWuueFiz9k+LA
lrDkTMJAR0mUAW7R+GrSgtvM+Rlm/Nj4vJKtUxASnS7ZFp8wSmGyOqfSifEpBzUJHvH3tBsy6J0x
M5AkX9ngubayfgMNjAAjcJ8B2X9oLmn9NCQKt1zpjdaCkac/xZicZaT2NmP2RVRSLfbp6Lyju9kw
2MJ01wy3eTxzGqB8L9MVAi7hu6R1GV2N3a+p4UI8Tul3ZkXYFU3sbJSdGAtDapSeGOYPIVf0mVAe
j/JjZ1WUAgmeoSL57JikL3dYfTZN6MVrA6NOnGprKzLYVgFlZ1IA7isdxCiJBo9AtqO9b9T9qukZ
tpitNM1J2XUHgDxKOSvmQ0JCinVlx+n3qBgLrm3HXiCx6QELrSfbvnZL52fPhHUtgAbsG8fsth7T
rcYWP7EY/SrIFyfVhqFtVSbxqjb5XV0kxvvJBZeHdHXd6kkCKK5/ydzhXlTQMYxSsF2C6Bh6+Mky
M+juGtnPEcDiI5Fca6HUMZNd4FQtE9s5ebL0DMaAOY5HxqjXTpEBq8LwHsN13BnmUJ/Rc5WdsdP0
umOymSZbxpQEJFbo+pO2Z7IBlTFyUbAwU9i5c9zuQxHsrGYa1lnrfetSHN+NrT3ElbjH6YYkT8vb
PSg6dzVi5LRp/Qwhita6wS5czRWhPgnUNye+YEV/CC5Z4Tj3bVqiawxSPKCAFRJ4djrESmRwvBfP
dVIKZ+MsXXHk0XexdNGGLtBu9Aeb0C8CvKKZPsM07C37xafz/I7v78G15u7IyIqseth2K7aau0nA
uKzZ464YCJMFNnFc48Qi35bogpiSQdSP8xpdGTFLluftOt18hK53AyHpu91k80Zgsuuz8DrBvnUs
GkbbmTvuAcN99xzH56TIcWYAQd+OBLCsJq+NNmxddvdu3GLyhVZDxs6xG0HneTZeis6dmMW13dUE
fQjDBYGaaEI2Sw6x0pwXX8422T0Bga3hZO9G4Wj7YZR7WmbrG8PR95TGt/zv3RgxY2xkPvvI2XK9
MMfQ4UWdaMUeF42xPui8ecdPFQFToQJxKDzdWbuC2kNLvaFIUThjFcFnSXw3YFCyms7lWF06Eqmw
ns97M2DMF1cpmVRAilBjVNOkg9u2Xguj2jbGkNJHz74LLXobk20a/2hwdNiMasiYqd9LSYVHGnxK
DRsVWHDVo2tfPPB79HepkeR3+lJ/pPN8tLkErxGH4D1L9JnzP/sv9UJaOcWrTh7Mmv4mOXnVXRlr
7xXoEDJUmHzles3lxCYTkqhAl2HOqnX9+y4i0eOGHhjt6qb5qZPLsSqqjFpBga1SxPVuSQVafdr+
oCruUQSjC+5KHNJl+j2xwnaFyxMymF0hEiaXpSBJ/JAuJCUAjvA8Yh96oO+B8M4NMrPBedYmUdCa
cCiFG/k1gNzlEM/snwH8zLyI8cHXUHrjZWdX/Qf28ntybh9EETwX1MnXZCszZY8KdxVmnFSFRly4
o23yyG6OsVO+EOplEmHolrvA25rUo1b16ETYZVOyELzlXC3WOqPlvGfrXk2NddfG9sVyCaht9DLZ
E1C86zNrQj3Ip8lc72A79pVPxvWhDJOLhqx0k/CzMaq1bist41Mi9wG+Adhh1uw9XmigVGm+y7P6
SS+on0x0aIIpWWjzDjZImfzWbW3OzFSTtnPF9K4bCn/TM7BfuSMnQUK7t2493HZQTqkOcRLvdffZ
ZZC0MwriN/C3rwU6jzMN/WN8q0EwPMwRuNU86X+5kVtvkr2gUwhbgc2FcoUxkui9TbZgUbSyZM/k
CMwA1LtTFkwdcQ6bLE8JoStLgZ9GPFVz7O/k/C516mY71y8mFYy1m/wXT+e13KiaRtEnooocbgEJ
lKMt2zeUIzlnnn6Weqbm4nR1Om5Lgp8v7L022IOC4y1JTC8QZ2R9Ea+gro69we0YIUTYZwnlDwIJ
lP3yNRvbN6PoRCQTOKmGfD6miOE5UHrCUGIAk9he1pGmgoYhnHiEUQOFiSMsApwKErd1lSi19RRb
x4Sbn64NyXDKSNCfczi5M0BOX1Aax1L4VZlVChgHY9/X4whEpyk8FZbRrkynlY4p3FbEStgMWsJe
Rcg3paxdlFpRdgVF0JNtEmPR3ooBebdT0nLPkXcRESpJphCTXyUMcwfMleYr4pMGsyhfUYs0qa1O
shERaRc0ZGnN8444EjI4gMtxO1sHQGPNBp7HZpBlQjdKbTctMmSEevSqnKdrPotOM0QMnOodBw6N
/fNZrfcWwTS0aQnkUduyeGBrbUSpGxgW4zS8P+NSP8ol90B3U2tGnOzTQgsvNf3gyDrkZMMIzpaC
AGpsn0w4bqSK5XwD6ask//VEBMYjSMiT0WWWsRlcAeRiFMsG7PN6/HcuJi/D85sH9wMODMdH26D3
HYOhw7yRZ6tGfaI5tUdQLiwsp8Bp9OanyoV3pNAm7Ngp2y4pT4VMs1bj8w2UtWYjtZQVUmmuKygs
YTqrLihJyyuMBKcOZ68UBdq6LaxXU2vRoam8p0XatiuSlNa5CfJtwnU2owfU8gv4DVLcLJ6Y44Tn
HsFXwqSNd6ZYj7rB7ZNOtjSnBQ1lC1BWFDDxA2snX44At+f11fWIiEXVnKGD19lq5MrJBIjQc/ut
k+uGQ1h+tYjbjUkCaqGWsMUOaY3e9UYa9wStZfPkTU2Dg1gStx0bQBvoHfeKlP0Vug70MEr6tYZW
zwn6rlu1Etc8FzebO8n40fqaoWDGd9YI6iFThNOQQIWfpn1RPHlTk5ye1UoAJ+PGIfm6slh9Wo0I
YBZNn8+jSNqGH7rwJy+V5RkZB3DYzp0dleAltASJtgIfDf8YLZDsZfMcHaQm98uWa46XQpXVj5dY
KfaCSgOBggl0gpX+FBPn+2zViVe8lMsEArcKnEEDZFKzwnVqpMoOyjt76rXJUaQBqbuR7zUrYjyn
cf2Zgn7UkDMChSmEu4FbyI2VUXMQpZClHZASazRE2Dc6kyC28xxA4ciUFkPP8yuLnXlvzZnkn5q3
V06/x5GcRWvOLyiUltYi+DYhAhx2OkW5xWmSfcWChZaC2GmhXSRW7uTwyMZzCLgwGy/H+jTKcMdp
9joUZuXL2KnQFBrWAYHEU0Lqn7W1rK8bST+NAgPoTtxkxFPnQ34XfkBn7JalM5w8WwzyMononmMy
aZTx+aGtNdD10GzJhao/a20z49hkRkpL3mrBlx4Qep+YR4orrITNarE0YnRjooBC3Xwok7LTocsP
xrzYBXpEvEx2W7frHKm+NfIqzLL5TBs5YiLIccpstLfbVdkMP5bMSDmWsqOeRo6WwoQLE8he5XXS
94o+C4z4J2HVaTklIhJvu2uCdaW3+7DCFmP20l0gTUE2W5RIzyYjEiRX1KJLWEQbrSklJgMReY6p
8ghIIVfr+hM/FkubXrhQoX5WODTnfn4koblnT3B5BujIo7CtYqSNC3IGMlcrZ6xKXycRxG6m8pPB
4CMGgbYI6n1E7xV340Fg5wj42ULJ+xT1csV/tvpyU4XiXW34DfSoO6vtRXdmg80ArFqxmr9miO7R
bBp2umjCCsoVnHzprauRXVaxtc+5FuxSKb8VQUTj33CekS8RO/NrLkkfNbD8VUciFltNusRUZeBZ
cpKDtHRqlPS4MA3n33OniemBM/C79FdigJRZrZOWPmbM7XCKDk/Oj0Rbm7EfcvMMXaqmIuxQrRty
aMSbNIECpwuYfQh4rQkNH24TuLfS0xMgKEMnx26zmbklHSsIBk8UG6htZm44VZKMl3KofcOYPuQk
ICBAObXMl1aJCqWt0qczjSRMEA2EEQDaWNYPaUvCwtwaj0XT30R9IBM8p3SCc0L6b0HcKnZJNWoU
e0jo3IkTpujEXkOsFBMoHf7ovyYvC5kiqGQzd2KyjoT4q0nn6dhqHPuxAFInD1GSQlJxlrlu3c4w
INZb5U0alKfcjYneHE4J4fNztZHlql7rQWddxtwT899xsL4KUzkLMre5ZtXv08Bp0cFOGcy70Ez8
e0kDEwSQDZ5JUpkpjBYm05npjDFXvZIA7fvX2HaKrwWImCVuq0zBumrkFzPr+AgTDsgpwrWc6nT7
PWWJIRn3QQqvTd0zQAXh6s5wJJ8FS10zIoKBlu004dIWGEGE2jhPSVHuRzYOF13cDIr4ikw0XreN
qG+1KX4kfR1uBaIc1jAXwc4R+liyq7PFRn/R6pHAW/XMWCD2iLEPdkC5UogHdl1Xst/k6XUwhvqo
m/2m7LLGW9ow8VTJS8xFOKSlco/m6QeRObshhv47ir1mpymRI0y5RVAiK5iAbr6fiHfW2pKHbsgH
QYYUJxXvmYkeiAFgc2+0l1yIw42iaqEvPGpCjKWOUUFDsmfF/Kp+1qn/noWhwBdI5CsKAJ4Gk34M
NR7ZZp8eFYEBcM5QFQjtoVbMgLxXpLtCZdw1FRVrA0CHD9Fax0HLbhReniny4f076FEskIcwBpeO
QCFIe/HXv0tXSBxafDHDeJvWzwo0Yuw3Cn+ZpFIIKdZezHHjSgWA1HQ4xksIP7ztWAcGKKWq4UOd
jKM5IB7/d5/Tr/xBLLuYcvLVxE+fcI2DO4xWRCCRUttGxLJVJRHRc+T9uxoA+Nyt5/dYPsutOl3c
zmR0AbCXiog5Yp2URBQXJTuxmUFoR1599RQNaao/xSVfsuJpFj3FSnAwwH6ZOuQiTd7KifVpjaxJ
40BdEVk3+0lKBZAA/MP92j8PoqRwA5V5ByDrS6/eFAaLW6PEqlQ+c+p5jTGWSob/tGqIzfBtWVwa
PavvZqRlF/6SYZy3EjYOtygI1jUM7kElJzgPh5ku02/Iy0gAJ0hbuK2LT+9F5SgiTZvEv1iq4J5E
lrEdjK3U6T9LG1lbpQ1R3soqdGOjm47/fta3xDNzoUos9Kd4bQVx5vZmUToZpUAs8ojosNz7qoJV
YqQ6diqFtEdhrl7AgqUbKfWN6YK9guFDl2sgFLBfF1Bjt7PJaR1KDzkOduwrs600oNJMIsYUsiVK
p0pUwk05DoSggYyNkpCuh+ej3wjTGUqEwcAij0+dmP1mKk+ZSW8wo1E+6oGcvdWJ4jWi5SGSfgen
P10WbaaVjM8Rk5l1uJAsLxqsSWGaIbSBRdYHH9ogGKz7FRio+QfErZ5RNonciXEoIndZessW9C4h
KhuiWL0gIgzj+oGDnWkUzZSwBQreupGUvM1859yTfbLTGnq7KrRcEJmoh81yX2pP9HCtdKu+fubK
lfr3yAJekzPu2Qp8gGaGxKMn2TvE+DNoaaddtBPAFJEHHgmrkQJ7kDUYOOR4/oOctks6JeIKHM8D
fQSc//a9KGqP0f9PUMUHoSskN1PACMiRFsOLY68RhwvdYRg8wk4QPshmMJTOpQO6lzVJqhPORIu9
vEvqoqky7606sMYs6EkHTgYKZFarrprEIJ8N7UOO5WUrYoTkm6LdLxidS3G9r4qIJVI+tJu6So95
VcteIdc9BQkpzwoLLCkYPgFpFPepZxSLzttjrvVSzFW5GWPZkalYnUkBpyha7D9jBZp0W8d8PMOR
/NDE1xQCOahunlPwadgjNYxW/bgqKpUgcNqzasB6JwTRXVIbgod0fOlWMaubgP/KpjiyHYdPjflj
NBKLGGrzMEuoiKpc+sy6nglelkneyNXoZly86yANl1WJIcLLBZafapHulXR+wsl6t8eLiOzRSj01
Ld6KiGWnJU8Mh9jyr6NpDRhz3Mm1tcHXEXi61lEdkVU5JQIXH8pc9kTEVkkhQt1E6EXUJnHCRfPU
TkgrTTUYlM7FeKuIJ3J1jUcohY3lQLfcICitr4YK37DGFlVa51Fm0KkvE024qfuwoNGDJsMpVUdp
Wy256TBxXRVg0f2YfiisNXMtZcapMoDY7RLYadt/P5Q8xbeKVETYEIrl/z+VRS4wqVU7kfkwMH3g
Vsf//q/sD/mjf3+37ppFefv3FWLxnpBpmyFWoLPA29WpA/AuPkfm8XzZJCcdXUmCFzGstM1SHO6Y
PZtTNiohS7ZQ8ehscicYZAsFymJdCIhJAOxJMzCvyvIlRPECjK0pCU9WBE3hqpMCCVcR/fNMljLa
g6+iM37TyxwK0iYmbnZdzcGpIiozjazlzGuIt2LVc10/6RZIbytxICdEripcSPBEQzkmWIHtMXL+
FAHML84n9NaiCnAlSdnv8+/dJB7oCIZvwWgraWbthVHdFBo44aSq3vE3dUwSxvcklxyycIeDqEeD
N5pqjjqAtPnMUg5hg3FrzvgMlXh5maqxX7PXxxsDrXCX55Nn4a508yqnecm14VCXSYGiZfIrQi99
mZIpT4p1DBCjiYOUyjq9ouJt1lDjXyYZYcbTf7ig++Jsxp8n5f2jK4O9nla3OSXDmZjzs96knT3q
mKzBX+yYSQGfW4Zh1WWDRtq0wBEjpepGQffnaOL07LDw2aqdkxrlH6NFinQte1iEQ+UxrAstqPh4
t03YMymt7VJKdlhkuNNV5HngGOJroZTHYTQMcGypsZLC1tqyxd/UxA+sRhlYDr5pFvYhhIiclbtI
vD3sCTuykIKN8WiuDUNpj/1CBYVV/qiIMiFAC7w9xmiW17JWY/qg9S+odMBfL/Ma3EcF/L2JT5GI
AJk0KjrSbSnMv3Nhpg8EFZiNpe0A9n1TtGg/EPkOANzmyZmfcaLF0A0rHYoNBF8udtRadp3l9a5v
I1ZfVRqSRoYLkeiZ0U2r6geftbGuIvNaVaBzkootLsjXs5o8ZUhDpJHKPWnrLG90gMVI5uN2/JMh
q/Xl06X9pGIs5V+iaK/aOH/3ER5GI1b3mqHt2L25DIYYRkrwUZgsPZDlEWTcF3cuYu2oksxGBZ01
fhct6k0/m0LcXwiko+1GX52LKPIVEZhlWwa6i2vH2BS5zgKbLJSM7da2QY/KrTIYh8BSR08zMoZm
NOR+05H5C/so3kStACh+CKxNrbSQtjVeBpd/vgktXdmVYtnSg1jyHm/fAjpXVg5JAMOFpDTtWAZs
2JPo0NZqcEQPJa8aORHPhhQQrFYrhb+w7UHh0pgusunwKjGHdDVJG65MYHsX/r5wVXBHDQLlPMiO
6daprNYboYvvtSqojtDU4r236tkJVSN/QbLTEONRUgDjO3MsFuUbKaChUrnDHL0ImteRNsbJk2dm
cNNwhRP390p2E9sCsS9eu5olUgUx6FUyzZRJAXthEYSZw/gyeYXUmTny3ESvzEIRzUlp+BrM7Jc6
itSXqUBEkCWW+cLBxEC+rYwX5FWlI5EBfw5SC0RxCS7ARB5lNigS//2SDDkZi0Yprqb4rc90XGAj
u/XAElgt1sI5SjRtg3F/PAZAoI9dF4/HsaiUfR+xx3z+fldjHKysHPhOZmiHVup2TWL4Uq+br11q
vnQjushi+cqmET16+lwvCBJ2KTMEuEcGXxY1rI9Dck70SZV4l5JpXY5xg9UnZ7Y+8EGgepdctG7f
7Cvnddw0pKMQ/L6qS3ajjSjNB5m6hMEIrKG0yz+FeSEZQSrPif6kkVfHEWybR6i9cV74joVE3xdh
srUSHOo5QcnPDTD5KIBmrjlMrjW9rR+kjbHDYQyRGdCLo1YoJVSSwp8ix84po4YBuLBqgMmhCzCG
g6YObE/GwNwi2lHIPOqvXYi1tSkXD8M72xotPZPi6vfNmGynp+YrWDjkh4F98qRk+6A0R4dUgaAG
Nclgn8qOcoqHQPdRiCWevkRtMZk1P2aQMHBLj/Lz1A6zSrD1vIdeW+T0R1hpYqgTz7BFRBbIQTnc
OUSKod3XDY8GParZ+uneEiLEQghWIRCQmfJEigXTGRSnUsIxtrJB5Koyl72i6fohodikabJAOM/9
DncI5mNGwCd88Xs2X7u2acAsB8A3KzOWNxwIBItUBl65/ASGB954s6zHIWZ4bsyEtj9Jn6oBJlfL
Is3vddD06lS44kwdgp+IziFhsagmLy1B0udwnmRbYSjGsb14SlnPW1ohOYxfl2VYriFjhL1Ro20p
FDE4tNH4ZElHTm8RyYUkzilKRWX3n3GUhI2T9rVB+B4zAV7kssmibjkbi0RY43IwRSk9tqa+nsde
3WfxQJ0Hr3OrDjpJwzFRcJlIOlsIAUTXZCKqc4SqivLAQ/I7Z81LhJCZK2s+6RXL8kmTlIOwcOJG
Lf4fUnAy0KMaQ8uSWW3fJHtMrs8s8tnAbjueEFpMBsexJeqYT0U1WIHFBiFOAm4JeHtLhiTBxX0B
zXTCU6GSK+nJxqlT+9JtsZrYfQUqRIgGkVO/30/IyzbmDKUsMct6T2V2DJdgWPdcb6zWU0fBoHen
rZNQG+m7hrCwbTdhM5eaofUqlaSTuevBoqbZVjOEZoWV5tCX4TtAfmTvjIy9ua/P85TzaGjIneQZ
+ibLtEGRYj6HP35jNEdLxqCjtlmyLmoz84JUqVfE+6Hq1MNtb0K3q6vm0mKrBh7fNgTAAJsWikhx
l2liF4txk8pm5mIc9obRrccpw8vT6jhaaRx5J+0m1wnkqxffyPKQcQEKgkHz0KTqF0EnrKnutWzV
83rIDzIOmoEcNysGfZWK9NG1iE+pFMLjksvVvl1oLwRlzle5rjLWCSymhIjxYIShGx+S5BVGQbaF
JQ71VtZ3lt7t50TrfDVJzhpoZZdQFt1RarXfGPFIL9SFmbQLyx5U28B+sHo+/P/93r8fhuefBsuT
26I1M8PqvNXcXDcUv9FbP9QMcYeMzRTIm0zWalDnG2WaxV38/IN/P5ML1vyFpT0n4gBWzIMJvfcy
dJ4mkxTholSALfDEudnmZXgbkbvfseFvYlc6F2/mx/Bt7QnQU6OHJKwFBr8ryir1lXZBvdRcCOpq
vJjzIfiES9iNl7b2LLSEAvY7KgwHZkNk2dJ7OKwrj8hEP/OKlf7Nb5zKm87/ioxeot8AAfwqX+L2
uLwbpK6k5HU62rmw7Ibx9Yuxj9fLQYAC7r825NORv0eBf8oTx7qzIhS/jI18TBRHuaVfxMAABABy
KnqTW6du8VPdUwZt9cGoTkPk6pfwVc3JnvkaqgMHQsuKkecIq8xiJ7WrObPhOPThOgOtf0AZTewq
Y2suM8v04oqOIVsn+yDzkMLI1/qrFO3ez7ODadwF4ZuXjjhvrbyknYO0hxnT+FNvEJZ0rCI/4fBO
RxWZVuNU28ojACu/UXWrxWaGsI5ckbPjgoek3xSvyavwgZSAURK2h1Xp9dpKeVW/Mnkni0ToOEv0
2x2UFwIFuVT9Pkd77IcsE+1hV+/Rt2XQij6GT2DcyiVyzTMvbnbU78kbHwTeDW/RvX+V1o3iILU9
kMlSLfZ846mGhMij45RWyEWGo2rYlQNTkV0tULnSRU0i3BPBngiwGVYD+ZbdcTmBjEv2hMaCq8Zd
g9Ml0whQcYhLuo0+9pdyzbJHSFZst3ZGZPPZzNtin79KJ+1eYAnWL73sZyh8DyqwE3vogS2srZt4
Me7y7MpcOMKG9BbKy7d+izdgYTacOMI+35kHBsc0kvdkk03PKyCk45j98MHCblgXv82hfhcu0zZD
oe/lm2Wl7l6eIRDRAWNh/YhxtOY20+TvlpL3s3GZ/R2lH2gBCJHdGpvDqeEZ94Ed4sEBnCubslpJ
sTeqHkqMjofq0dpEiK9bx9iQISoqm+TFFAmOWUtkzjFk5lZ1+3u9Lo704WgJZgfEZfSaPXXVLp/I
kz0I53Av20TT3aYXwUuOxBVsAG0WZy3ekCAThO5DusjnYENtmhJK9ug6O/1tdrnDMQjG4zlbXYcq
zx27fW/d8q3ZBYwBH0TDu8I1tpMCHZvd+VG0Rk0SHafPbNscjHPlfUKfaPeKV61Q5dau6U6P9AND
yM24oHEp3wikYxYdwgOHd7iKTKf7I/uisxFPtLWNCPEoKufOl3YMfcYPjjLliz3fU1CPAtxj+k1I
rXIkn0VEqekXN+tLS536o3whoXRnVZ5673bmiNzBl77aD5FALe7olXCoNxAuUYFazuSYb/XGvJFg
MH7rNqmuXn/Kb09HD1LcxRb99JaNvnBnVpR0fKSMg8S7upa/27fkk1yDemV42mUx7OZRZa55o09c
/iQyuDM/34s35WJdomTDGCyAcekKR94hmvVkm5K58SUQuuZRbhCe5Iz6NtqWJ/1tXBsfwb7ZhV7h
V38txFQn+aqfmybbyncG2xO+OJh2u4feWPrs6WCsXLNLxqxrDTwBfPaF7YfipKdEJezBBmGJ1ZcD
CPMMaqC/UDyo6HV7Hom28YOOc54xwBxHpDWKAyS+ueNZqHnWcNEQJkuYroU0zwUapeZ2oGx45+3q
NfoUDLxGTvtNxzqt8PiiTmQZC5hs1frSOUJ97CWAR3b9Pm74sLmYIKw9H01P7YNtnqqL2DEldCEH
FPFOGD1DcxBAI6/TV+02eCFVmehasbkiiJyWs3CT2TteCTZh1sUomDgJr1VX0mH2Md6pPjvTzuHU
/Q6P5qFK3MEVV91euE1na7+cBJaoVAwHax9qh+B3NJ1kD/2ECTAb0TtPRIna7U27G2fjPbzxSHg3
NsqPsG997r+Epp6BQY4fzYn85hVU92THKEUd8WStMDM40bv+F+6QiYcsX235XWLQP9psJEhy5gI+
EkQQeyxyrW0bolNwEACLZBhZK/PW5G7zJ4YrYZt8iHykV2kjner+M9nnj4BLmxocvTLR5Q5dGzKZ
0uUXZQfL/il+9mvOQ3H01A1cpXCTz+vkz+peCTk0XQ3MU6ceJr6Xp23EDaHdcxyirnX793zTVmCz
aJ1tnNriRjiwgkVlPbsKYhkWIP5CVhbh5jbpE243OtHKQJp9UWZbXnev1kESvWqHCVIz7Nqb9rpH
gM9dOglveJ19Snf5HP+GYPVc80ccNjpn6nmWbLQLvWvkHjphiiD1u/C7HTvOnJdYv5DQSWAKEX/T
DplvtCLW8d3CBO1I+1oAAeqwBhQ+mfMjxw1+tCMQTvlMKFQTLOhZ7O7LEtHpITA+NAHHgitc9Fs4
XPRpS1ye23rENGMA8uoDlICv4iHf5zcQNuYXo59oa+6KYw6h6T16reYVMQQYkUK72ylfwpV3d00M
XeTyhhnjiTdiITO2deN7GvkWVAZooNJGZo3WMdbkU+KetpWHGG91czVttHRPdpAveQsijbfOJ2bC
MkEq2/pPAEJqcltHBy8rumRz/XWiT9C7LDML8orXFsGgM7wI7wvv9LAiMDc/mbtYYd8Ev++a7bJi
F/gWvb9d7yNf/VKtS39CmFhCBYCr+R1sFHJw43V/TUDJj+v2RcCBkdtw2pCo5rx5OwyK80qOWT/7
8EX6vR55uDHkvfEH47aNbU2zjQM7ee3S87gXbjP1Ruxor81lRCb/VaC5XMEQmM4wlpDUoKw1UCbD
JlpxYxZe5Zl+3vnNcuIKa895tZEKNxIdFlbIH/pd1rkmViRAZFf+viHYBW6DYTVfSTMw0vVTWwkc
B89kbusRkOY1aXv07LF+oVJIyhddhc7gtuadRlLoDxRs1W9z7axbl5Ds6GkfSb6RLhxQyJ/k+IWh
YHFtT/GpwFO5HetVeOsfae2RBM4dw7rGDl1jY1K4VN8EKwAQDF814lzxqazpilEG6H5YHut0y3CO
cg4VUnwMP80P+cAhkf0mFxIomd35xCZ9lPt6E237XfeuXqvMm9kIoym9KWVk42bHAxUtfpS7RLcY
vvXR5Z6JoijfQXGaixMQJyyAkWMGp3C5lT/VRxXh3LBp/aAThdpvqK2wexR/eLty9Rdv2fyGdxEb
FkklqOQQDj4F35XdrY1TI9viljHpvfDiftfe2HYGDwHWzmH5K/fQEd8S0wl88x5Sfm2LVzyojkIE
Ld68Q0U8Ex8W1hHdqblZ+ZS42C41SWwoUJzshTquIxwmsktGo4eJud6D7xNzKOYBHl+k7WIKs80r
G7egemjDRTjnN5wyk2pTjrO9TpCKfiH2XH55sNUYI3bkhTCjDHbiA93KDcLWtBUUW2PXfjT9FsE0
c8XF0S7aAR198jqvA2rULy58YTuQArtNMPy4DMyLj7h2m99+37oStwyPJ1R1CPJfC47qbeBTt7j5
Jd0pjautiThbm5v4YO4rvGAEeESOcYhOVA7hB/dMthugRWKBUb0OJPpNX7ZVsn76bVMU7KvGugdY
Y7jatK12NHJ72jFXZ06h+gEOvooA2RUbz+rG+jf8kDiwqKgSF2NJsUtNL3sNCC4rf96Fj2r6EMsL
Mdr1G1PnUNgEayqo2EOigJCa8mxq7pNae+a1rwBmUdZ3BWs3ABi29cOHwVM1pYynodnItnDI79ML
GJ7hwzLcZqtGNlP2n5mErTuGFraTEkyfc8PKbw1pw+djDK4BkqKR590uovCT1wyCTdmPXrhBS5Tj
a3WbX0IPka3J+bnNNtm+/BzgTuyye3isaKEsaqUewc4vg4Cr+sV+hkaUgtWEXu5aexTLoZ0iFt/G
5+LKty2dxQ/xotwZZvDP4o6iR3jH6zOgSEbOviNJ5ysUdtkHszsahey3DXYISJ5b9nv4w2mcC1sU
Vd3RfGDY/Ur+Gh9op7mpVup3sDcxawb0fNTIdnmwrngZmetV+5E4Kkdz21X0Q6YS7bY4+ECKuI9A
ipGySsCp3b8xKuB53b8x+iDJucHY4pJYf1Kvwnu+Fr+JbKxCu+VWPaechwg/ecu7TyDD6nfzx1Nr
hHi4wFpyx000uMoq+A527QOqXYKYdyPvBdfY5tjcIrce7N7ciOv6HYR4MXGH8mb/IaEXQPFs8YEY
aCXcYFprnnVpLt0LYs6HOYMNhzf9vNNpy9L1vI8+qaqTP04/KXN1kiK+ZgZ8of07VKgs15RN6LN5
yneP/hIp++xHe+PqvMafgZf7gKqn2LV2xlHCX/jDbgHRBeioiAHmylCQwtvqh7AX/Rqj/MqCT+1y
+us7VidudOCymtpVsmm3ERb4s3R7HjZPkRg9nLGRztWziTXZMHjM88Lj/CK9vRHxKnUuYx+Wtk9A
VmTXH1BMZGdaq0cuHD6k6CLvol/sr+b1GS/1l9yHbx4Cwk1aF+/Ffc69kufEJfCmjUGUEl0NtS1b
t72yn0mbs433FHRD5iw3vtj0DresXzZg+RnezokTwbl0gl+U47TraG+TX5UWg8pIRTlpR+RFOuKV
Uz60J+wWhwQPzL08lp/I0a39c74psPVZBdfwFnE/2cEj++UaHt4ooectekzxEp84jmSOHCxnQMyc
9tE+tPf2wfEYXcUdRoJzvR4f9K7qodjDDt1t0ou4Mt7ANK5rBKXlmsOTw1J7p7Z+GT5Gn23Mo3pB
oCa4MzrSLWFd2O3eaNiD2G73pEnLtduuRVZ+LPterS1X01dzqQXGMg7ZaBwZ4918m6ed5Q7H4Huc
Hkm7FnJPE71Spbe0UfX7xjFl9M9tg8OHJo68AckW35830HSsx131F6w12V9gZ1IB9GsSq0OPv1h6
2m4+VidOQTSH1nbmm2285qptJ493QNwrq5aF4Ase48gmoY6RxKThBdrEPChZbh2f5TNewq+Csixa
TSvxpza9tF1xgD8EDvKncMGufONQfbZv2ClkGk/pIrzEcJy0jqCpoScGDxH0aGXBVnhiF//9LJ30
AQdqZbntIiau0XBLI97H0PQRpgEfnpJCUWTrJsU7vLKRmO7if78Pqc/J067mUrHSXSsN5ippeI7j
eQIrnGCYUpbsTciUdm10Gq9bb8HWilrBT0Mz3eI4ZOOX4C6Jqb1QKaMQHftzKia1lxV8P1E1YHWe
uRnG5w8JshunZ7OBx3tRkMG1e1WaKJem8n8/TGZz6NVK91IohKTkFqwoVQrKrIHibP1av4RLD3tL
6M2eoOGSISz6hFVeCXQq/37Ql5fMEEKP5QJDTATG5HY1MeVDZD4QWTZ+VFGYo3vEgsjgWcV7ipKD
Ee28/IhachfSc8jEYqxCE9GAhPW5OY6q/COnIujRhGZONy8Brxc4JOu/Ou/dsqbnIl21dyzc3XU4
/ypVcIDMLFPChj3msTfYcS23ioj/mA+iV2UfvTKxZiReMJC9GG2fegtWCyYzLM6CCh7TY1ZRrz5/
HptTjVqk/RESYliz6tZM7bUTlpQzUnVIwfoc9YoR6vyYK0HxOlX0mayvpdk4p3PoV4J8VGg8rSG4
FpJ6MwKaI0PW7FSf6VgaxZeJLgxY7qzGznyt+kVbpyFqoGBaXsZFPvFxUMCUasCcqPoxBWjGxvBk
h07fpqwJWyuIcPRFfqA0+xZw/6bHZcU5k2WbxqB0NSZ/FOfo+B/Szmw5bizLsr+SFu/IwnAx3LaK
fPB54OSkU5T0AqNECvM84+t7gRFVKTq96V3dZplhoZBEhwMXdzhn77VLBdMJZoyBSC7SdVU4aoGY
upiVfe3Est+3KZtM2VIMLBLKQcoo1lLqP0ksMJaObrszGI/9wtNc/KNPBJH9Eh3CR8XlrYuaeGXG
bBcatQHELG7Cwuc0rDnzP/6N+DlHrgEB9B7oAjsK1B1RNrgz+dAToIvVx3raKk656QR8iEyCKWhZ
L0j621ZJPUsSQNIi3OVkuYOoGB4///iPfJfp06VmqI5Fh0iccHPs3uxrM7PLjRp1v9xeLNTKo3QA
MXGmTAIlt7Sodql4pT//XA3s0IevremGLR2T5pbQpwv7DSyjVlbe671W0mlJ3FmJU6y0iCrp7gYL
L/yooqZPymtseNeWRM9JO5mTbWZsYeH9xaP62f8v7zU79wSm7/gOqcMT0HSwsaC9JVd08gS0yFQH
5KGEO6pgEULyohpVeQWoiCry1r/1cvqTExCG4UvAq9s+mm4xziU7YSCNF4bDSdiQcLgWXUOLajjC
1OXptZiBq0EZC+iVF2Q7piEL/IQViIf82ceL5iqOuPAkjHMDUMfiYWMxUS1hnTyJiI7dmBNHtLFI
N+XknjzaholOkp0WAZ6IN7n9tlZ/z3MXYEy6rnCiFj1be+QAuExiIupcgoApoqlYaWeRzl5fmPwl
2HPYbnFcleUXCKurfECZCiMN1UlDCxyEPoa4Z8Rhy8CpD5+Pr3PPFA6wjUXWmahXJ+N68ETOquRV
GydhIbTAw8ysorvw8rwN0tORY+i8O6YKf8u29feDGNpyPdRSL6eYlSNsmkOb2CA9KX7XvDE5JVi7
Sw9j3oJjkPxL52z70LzG/0FCaBcfLJ8RFVf5XQdXzrni2a9zR7zKemKW5N/jgujLAYBGbhVrtXLv
1Mb/lZVJufr8Zukf6FmMOkO3TJ3Ic01qYhoiv72M0hQ9+GuD44Bka+rZGbQCC40TrZYh4ZmOZZBs
EtvY9tCe1Kms7KygA3/xiKpZ+BGEEat/9aT+6kTlYzUxFwwPWsHYeXdu4pQX3pGzc4chaNyxeNm6
9fb7v12uUUkrswMul5E1J7ECYSH9/nHCTmkJ8c+01CdP//feJBCI2qWHAI6azCx21PrStZx7ewwm
blWgqEcYejIEPIQlmuIM5SYy6Z7YRTQsJtrI4FMTKvRi7Zm8T3VLi92jjdH5ycvnz+7s62tIUxcq
nDeLgXjy7PCb/DUGewRFi1LTKTK3ASLR4dFpwnCmG6QnTG8evqwIIMj0cFr9IXSoK004mR6bHDb2
/tWdgCgjYv95HWqvtR1RcPWu8ziH3UPIcyFr7P3DsfXdH3Ai9tgoKZiG7W6iLNUThurzL6adv7OO
ZbMa64Kk0/dfLEKDygBSy02V7c2GErtl4ApEtbbqQc3UIVriUZPbmMJ5CPnl808/ty4ywibimQpw
zzhZE0TvikYkrAnDxOlRKE10I93UtgvXmmc/hiYBzGVXX/jO52YtoUJMEvB9INmd4OSinrikIe7K
zdjzLBHcfLec7Pvn3+zSZ5x8s8CsdXyiDFhEfrBYy7VwkguT79kxycugGZL3gib36ZgEHtuVes1L
UWgro6MFMDCLyJ4BZmbpoX/DBIlgaRbNNX6ZA6YmmvHoh2OYsm6xD8r2ulXxhzq6tuiGmC6VTcXA
H/zvQe6RBI0CuDUYyY0yPPo5a/MwAaM8+z4P3B8TcMxxUWl8fuO06VV+P9sbqmo6hJgLVSLZP1lT
hJk3BuRxDm+I02c1y/hMxMlSRwRF/B+vmV3Fj7i7aTmAu/GUgq5JztY3l+ni80uR567EdiSbVVPX
7NNJp7Bs1Rlyo9gU6S/Fo9nuk+Qu7Vqjjzsc+rJ29wbACt/Yf/65H3cnqCYdhHW25eiG83aHfpt4
pafVYxnFxWYcfSLfeCcrbvY8y1v8aEy6pXtpPzSN+JN7zvdzTLIgNdMQp7tjWQXBOAwkw7IWwI9A
mc1W9mtehl8+/2ZnP0foqsYDZjZ/C4H87ZtZnOEMWdrZxqF2M7r6WiGmICjcC3tN5+O219Ds3z7n
ZFJTjNgiZofPAUlRK1Is0HxzyrdmSo8sQMsEfcX7OMi2WRX2zNv5NxFu7SI88vWpNbRNu1LISKAM
lywN9Fia4aurkJ3QbPQTrjgdHH4P8kGHgq0QAG4aj5qRkD32+1xN1/BDlWVvqih6ofs00kFU4XoP
XoIPTHc55ocGQcqkf5PrmyV+ctUJOnRaa2dz6QkE8Fm99LPxJz5zZdtxoMQz2SGPpJefNz9bR0Ve
EPkeB2L8YgBFnjt7wfGUVpvX1+jVnG+ajVIC7GOOuamrF9kWGZJ2xMe4czz/W5dYpAo30HXMXhy8
3P9FGiDJDS4dbNskDSIZNXtVmuZXdaWH4x2H5mLtUmHNJA3w1sJuE0aIB5ze/xKM49ELbj8fKdqZ
hYkNpW0yGagow8zT3VIcj4rBMS3bhAlAAN3vHto4PRid/kCa4g+qETCkh+iAnedJJuFdJX0BpKnD
6n+VBeZuSMUD5vWvplYsNT9/HMkk1yyDjDWjLmdZrK/HwaewU1iLQPW+lK2V8nDdZo4pcd276ktZ
4a+2owO2NrpUwv+StbROFYCghvwRd92DWcubsW4eyGCcVa27EuGUjZLIm7LwlwIbYS34C2EczI2+
WfgdXs7wkOjiCi/JQa/bhykNpXwJh3RrGNrLQFKoqwDsFxQ6jFJ/blJtnfe0HgNuu+vSxSIFhFLT
sihHxBV4FubTdeqiixaV3Tz4lvby9vda66rKqgPq20XVQqjQkfPVsdz18OBN2oJNqT5XYbtxwfEL
TXwlFmGLz2IXBykZ8PqdZ4pbL4IN4ZePyphd43aBueP7j34XfSv9fLyqfZg8rqfc12l1LRr7RZoW
1XynfMqwI95FrcS7ld5hjcvuOYMyplwMVxdGyJmFQpfQUik+magy7Wka/W0ycROopXo5oI4GQ5Z5
5bCrIZfOLUkdMinNVZDIlwABO5KMEjmLymOPqp4mqGt0mwvXMi3nJxOoodvE5AoJy0OeHlGosrRt
lyfZBhwI8vRdpCjBZFRLlg56ucbSWgJ5QEIreffc2/VPLVMfqhJlje87Ypm1Od1ER/G2Xd1fWMS0
j6cOgxOaalm65kDFPJ3bCbxpFb+x0o2HZYB6V+4glaXxgrjc27t9SSDZCJ3Q1uNNZcPZ8pVu2zSq
e2FRm+DIp7cIvi3rmeOY/P/0rFgPkdO5QwNe1nmECJCs8f8lyvKNG4KpY9aH/bBPY8SJRrYtJ5pG
PXnORSuRFcchjkbrJzD/GDsBZfn+Dt7feJ25CvInjCW6iOa6RDnrlvVitJQ7o435LkGtQ5yDrSWy
ceU21gzLRvw/P5wYnI8MkAwmtQ19ClD+fSBWUZ0TwpmmEFqbm1qXtN7LZxhUszYuj0WXHuNmQPpj
jMBisufPR97HHbSYVlPNBgltS9M82WdGbY67SQuxozi0m/ArEaQ1HKnWrQKruOr05H4kBubSHu3j
s2TXDu7attkYGap18o3zKssar21IDY6QfKIlzKPqebQaoB/hremik07xyPXPSWgfUFG/fP6d37aA
7982oRp8bV0TmmWZpxszL4jzVMRFvBnNWtBbbBkdlo70Tp1TWr0NY+vQYg6gvW3Sk1ZAW3RUJ4pW
zHrVeSob49hMv+0E0e1Q4eXPe4eKSfY8DPdGcw3Gj+geLPp2eelpfZwmuHAOHWzaTZPLn6a036as
wqRubQGh30yme9/ADTw6LyEmfBCUh89v0rmBYVD0s7hN7ITMk4/ykQoTHCujTRTBNbBxeHj2OjGb
axudN5YxTpS1vHCc+7hh5utBTDeAnE+Tzem2S+SANYmlQgnEj5f5czZoR5AMCzXXHt9ueeQmS6Hb
F8bjx22lUDmSG+q0WeeDT14Cs6KIUbt2tFGaZjfE7UaI6Daw1KvPb6l27p6aKuUuw4EsqJ+Wcdl2
9UHAz954qXmwWs7wGS8aBTeWyuxbQYJHJPRVqJorB7aAqJhlSwOnVTNsA0SBQKpMOHCj/aS4l0bW
me0S90AjRp21ULU4Eb4fWr2i92kYYvst8QGNgf9gmD1zgHsFU3/ftN80N0TkE8KI0i4NNfPjgYXP
ZuqzTSBhrDQnn80CUksoR9FGkrM4Exj9qIDAWlDtjHk967Y1TLcZBk1wDZBIUjIL+QaoihPv1scE
T3C4S1peHVy/AW8dDSOgw0ttaHiP+ySCWMNK4AUzXnsKZppeEiGHGNHIm3TlVul9LDCR9xNB5g06
VucCAz1uEnxi8eRoO76xDJTCWZod8KK3Pw4QT8JOAvqEiZxSKzi4rvteV+aubEEyjJk6meK9le8Y
xRz2MUiO4Ad1PZRvPXA/shQ3gLjkXNeKZwDPq3w6BlwYcNNLejrRcVKaSjOaI8XpgBtDGK4+EUEk
gSrf3RC9nG8urWGXlKjRCoAortnsMuJ3ZpimXnDnLI28uvv8Is6+XEQO0L6QOvz/k4kkEQWbBy+L
N3g6kVTxtdVIOzp2feHQdqbeyCiSFudeJnWLWt/7EYzbzUjzIo03nUHTCW2i04DsYJ6uinbHFuoI
8wA9OM+mNsyD3+hXpdtedc546ULOrW4WG0tHdyh+cvffX8gYqtiIQbNutAruRcM/Fn1JGPZzlAxf
zcnKWVXxj7IwbyYjfOL8+J/fcO6CYEEXjqqeVuR4Daw28pnNCGp7me53ib4sKd0Lk7X+8ZBMEYyZ
kT4D5Xv99K3tqyjVxowZw4poMUg4/7M4j1Fn2Ydo0KA8MGeFRr0JWkvOuppRDpCcSLphpZdQxCMM
D5wcNqNkyzu17wIhnxKYObpL2ECPPLDSEDhdnobPzTbEUAhO+DRxPpRlHKt0QPi1EcrOZqd09U7J
82du5TzV9atBvTjrn71PugHrDuyF86FzE3OTbIvq12bobxWtAYkc5c8NZVOQkA7Kmjj40cQ/BOCX
TgFX1bEjJdc4SBHAfD4w7OkNOJ0OeFA0eYVmEE5yss7JRgfw5BXRBpMxLh1A/w7gBwiUBdTKAO0X
Jqmsru58dhNsCQ7Sqdaq8812xDFBW5O99h7WlSBpNxXbpZAFEtS0T5QD/2ilhrK9N69N6V4PtX50
eooZOYNBNfJnUUdfpFE/JHn2LHv1agpGmlUoJ0X5rXTMZeEpqGvZL1GqpgQpj6NW3BvQmnIZTODh
1yCj2e47ibHMdOsKj/F9a4CAyQkR9RsDvIW6osO/cG3SIjPrKQ045jLsVRSnvQrWUr/yGQ6zyAxg
7Xx/+3fbSpZvdzkvqKj42Y9QvbSqirPP3qbCyvyHt+90a18S1kVJIWFlK8pdCmzJiUjzpcm5mF6I
suvQB/nDxtSakgPMD4s7HUrtGJbpc+iVP0ml346qOCoBu8y6Y8IuyuIBFsfdKMqObSkhnaX/M/yh
SZAjjY8owRrucHhtMlhk0cSZsonBooZlvbQMLic3q3lroHuc5mLD5rdUCPjgpXLcOi1Ogsy7ryv6
WbZyYRk4t8HQVMExEoO3nI5x72fF2G76MAAgslFqbab16b3Xuzs1XGpe8ZiVw7Oao9Vx44PMhgtn
HP3MEqQxGU6bZpq1xul+X9d4qwX27c3oai/g2r4C+/9ia/6ykOlDmH9vNGNjbIZXazKWmQh3/K9q
Zl9lrvHstPVDWgDUc3K6fvlUqSLICQGF7qYr6j1YqmT94Jfx9vN39dzsSk1Ls9jvsx/7cOxuoa32
pZdlmy5E0UYAedFQ30m6hzJKt2Me7dTOXhk+Di1UmkPKxaEjmXVq8xDXqCNsH+uMfxvb48+wF18T
R30ZYcGFzqOWDM9RpV44U519vJpGW5JeDGe609VXKDIMSqfKNtjpbgqrI2W7+uLV+V5Vg4PHZiuN
++UQEi3umBdzhc5srPnsqfJM0q1krn4/tpjyuroSBWOL8JS5zmjWenHFW7M2s4WphA8463f+qL7k
sfpCnXoFsW2ddu6NqTcPWPNnUe0gYwY+bajp9edP8kwBhZE3HWcM9mCc3E5m3cQtBcB5nuRYZ1/B
ja2G0fwamkyXnm/POJ9eqSm1Jc80byxP7kTvfblwBWfOVTwZlZhDiwOWc7oNzG0R1ElKdakY2ofp
+XSW3HgVEPP6q5Dtg6pGX7LEuuoj5ybAT4bOIwuNr2E1vtS2d1BS8TUFsq8IXLO2duHtPLMcawaq
GmkI1qQP3fkWvmU6UodGCd1wrs5eTbM4xhUDKPCKg9Okl5rB5waLQcyWbmo6kpLTiYiR4WZ6NaYb
qgOr0kMND89kBnl1kVv+Q+gP/Mf+wus8PeOTlZd+vWoaBh1ooctphvrt4J6PXV+qLsUrHMtPIzrG
Hm+4XV97WXqp8G2fe9q/f9bJeJNKGIVCTIUyCR+rClwMphqkLk44WvBc9BkANgdZozDWvlrcjHlm
Y8Jx9g6xzQzHBZb140T0TYS98ujnlfmwVTPxBKg+oZNPOgm4pXgkdbcJwPCo20rJj1hifRD6Rk2x
ForE3t7nTXl8Ix8j0UxoP8Lmy19Fqm0Gg32h2YJdCcdt5RNsn9rLNGtvh+DF0+2lrFKUdPbOwYNN
yUXvs02dDWu1kPu8bG9kAvRFGdblWN0oXXGMAPg0ClZTDKBxe520w9ZocKkVza8wrI9txVV66U2f
QjBJ3PHBjOmU6JJIowyT9jywQdjE/TjLfzhbP+J4Ro4hzBdX/UqUzbeosjYlyDJlMIY5IG3ZkzVO
SI4BkWZV4Ed7I1xKvspKoJLEjSd2FpogO/SKVdKjlFaT5xxpFpXFihysej96QwwLNWUdsQqSfDJG
IHiBtTBGHSiSF+x4g3GC0mpZh16HcLPuYNMBiuoGQmXzJrpvEjaJhhSAQWI15kdM1H1kibASzBu/
t/01ZCEk41SwZ4QwfHULdNahNNYpsUCOkh/A6OHRYdSPTnoAdb4wcvZjttpvq5Sl0IQaF+EXbskO
ktGrxB5kB9XRcZ296ZSvbZAdvDI9KFWNlsJF8ySwtGc/K0d70mN8i2mUfQn7LSzDmW2Bu6Vx8GQD
R3JzTN5AiqW/8U1+VuReq4RaNYADDN9c1Qrh4+O2t4qDHOy9Yw2YSLnIaR4Akr5G37o2IriHrn/V
Bc3XzPYIPm2G9efT5dn3R7NtjcnBQLZycmC1iqqoB4sJSa/cRWkxI/vd3ZRG7KASEoO1bEZJevKl
veK5TQr1D06viCnQKp18rOkPMFS8ARcZ7R9NlTdplFDPTy/MRGeXI5MdJh1OSs6Ab95PRQJxEPB6
mZLlKTdN1+CJggSf4NalmkJOMKL1wD/IUr8OiMUptMs7hXMzPouqbXGPqcKeHhxlnhRJ3pl0FPBw
xAWK0wb9e6dYV/znG4QCHPqcmeuN90z+SxLIowVIxCu1BJDsUHxsCOSp6/Iu0onUcqy9m+h0sExg
yS5BNB3kzFmipbyClbvx4vQl8+r7xvd2cMX3cmiBKZA21ZolDoWUar5HUIiHgTjpmsWQWUejAQMX
MV02w9QjjJW5XkIr9YfJ6aQOz0Y6btKRwB3fnmvSvkl8FSH/i15FCHNaDPjkes1sI7gv8kPpZGjY
BaYBtR6fp6eZQQbD/9VHCye0vnCUihILaMMAPis8lPCWIPeyE/nuKh3Chalj5zNvGHD0FpoXUKhp
w2uHTSpZBSE4BapQVWLXCz1sPaoMYBw1EMKxG6yJ/CCFAIF6HeevGKkAk6qwufsWLD/CiM4TRBrU
4pj3XbEa0Pzbee2Bd5A4tDU4FPQe7dbaVSomyrj0Zk2Px7YNv4xRDn0jmUTieD4Dlw+YsIKfv4Pn
1kvL4Igu0bsxVKd39Lf1MlArM0mjNoV+SI9Jf0yseD906jrSiKv5//qo0yNam8MbzkA+bnwbkmIK
Xzilxg4mcd7VyoWvdXaXbHGuQpeCHI3j3PvvpRZ6nhWi5HtFm8onTc9Ll36fraZ9e6gN3zSPeDGc
7OCGL3zNc7seqjSUpNhqcQ472SJbJbKCNGZ66Wn7QkBPEiwvdX1j+3Kv5Txffv35jT3/iSaV/CnY
9EO1ATg16hY4hpsyLDGAlUeoMs+aOzxlcflas4ZAdVp+/pFvU8fpPmvSx1LrRK1sn4p/xiqH6k+C
wibsY38uCDls0ThitpQEjarlbKythwo2E1lwXfzgOMciguJYDuwRym5q9WV4zOuDwkJVYXbFZ5rU
7EiDcU3EdTIzlQzqBMkjdmLuI0RvFLpcTHHj1sptaz6SI++5eT23Hd63DlcaWQPUtvctHN0F78o+
COBL0byt5pr7UMYY42qYcIk0NlmiP/ayuEuVdJi5VGIRNC/82ocmLJVooZOfQG22w3U8uc+LCmgS
AkBCwrI5p890Dsf/W+hAnTCB431+V8+OWsasQSuI1jQa1PejtutdstJ8mWy6In+Nhy8S2kjkjlvw
dTe6WJLzHeJ3HC8VMs8NIHhAFDIp6IoPJ4OqVQY/161kA6H6NRx5fJI89CGun5NJg9GX+QHuz/Hz
L3tu9afzhOJdnf7xtrv+beZRZRkhSIZ8GLGEZOBq5hKd1rT0l5m5Cx3tNs6K47Q/+fxzz814v33u
6fk5HEXcZqaaYGzu107MGAud6qbTtacya28+/yx5pkJNCjEp32QOI9k8nfPqziHQg1CmjZGG933f
dosA2bpHNVYv45oYl/yXSZgb3adxPag+XnYHZgZ1Q40H7bqVPTOrjeG9xBn0I8vqb0PPOMCq7BMX
wKkRI/JTtBfPwotVCWB5rvktRCO51HVkeT2xexWMQT8EnGOOj3UD0mSMHpgbYfdCnlr56ZY9LbZo
3CYVbm2S257ezCWWE6rEPmG7kzdRhhupUDhvaOCvZ5y8KBhn7PWV9EjMRoUlhLqzq6291iTjrq5I
0yMYEinVMjW7b+0oOkLgOPZotblG7nVDljgk5w74JZkmLME1jIlo7ukwhCOjP4jY30375qI0nhx2
xH3F2CBSYen5/ZPwRmKw6mOYNTfEPeRLO1L2fWQuO/CzgeL/UsZyWJp+vSNjtr4xS5+0KMyvJPRe
WGLOvTRyCqCm8cDbeirqjOO8QneZU1fPOV1lxlMLjqJWxZOZm3savk81EWUXZnr93OCVaDJwQ9i0
ik/HE+dLj9xCJggrtm90gPfIbl19oVXzAhJuMKVDaVMLrgrkxnJDIg0T96YPwnDjhclD2dDWzHXa
vgmpHXr4K3Xzr+jtCbdqxwktEe1h8cJLaACqg81axi0WYM2EBvH5e3HGKSDwWKDz0JluqFWetJA8
ZYjRVMYwj9xkhX4Kh7tKxbsvtRuR8K3I38pnAaY+ZYC/Hik+YXtSIsweMirkHkZERdbrtmEWrtMH
UvXQb2F1WpNagBMXfjuRHvGX1li5lgE8Pod4WSsEUMTqFA2tkvsatP7m8y/1MfEb9COiAW3aTDmU
f6YR89uMJq3BSWrdiDe9Hi4Liuqg1JxjnRFlUer9SpNuvsgS0OGJrh19+Aqc4VPsvR7ZIHUarYOI
YwDUSsd3LsxD54QYiLZpHU27BPtDYdbrzTF3Wybb3PGvmiB+VuLi4GcYo02BEbkm46SE412Z/RH4
463f19cmra9Z63LyrCv7S7dK/PS1jnhQUOqRuSWvA2kFdsePaFJnT2gNah+h/LpwT9UzMyjaCKQC
CNxo7Jx2NdXQ9SzKRgn67JIgpQi/XzMwbbjqjuRnNCLc3X7Mgm3n72QHeiALo/FaqrAbOv9FHQr9
lgYa3e0YYpDhTvmcTYHqTRuevZHXZYh/kA+ZLru0voWOCveEZEWZU+NILd4WM2iVRQhXldxOXrYB
6rjpBPdMVgAq08zexJEUpO2mnKUcY5fpJOQYPnXhqfMFN8XfAVAD0hdToGjbiWvqvuJTvH+qCsNH
ayiVpVrkKE8V494xg6cUGdLMaIQ263L2So7iXEXyp90xBVth8+KZ6sI12c2k7QYh26KwvkMsffVc
b9d7sJ+80Fx4RnaY1pPWfiQG8/u0Kaxj46kqy6PWNC86vT765k9toGt0//nBhlofffb8XdduZV7T
IPf3UOvbhRd0v65d1biRrAaeCKM11UIs6WVBZIq0D8Qhc3yECMgU28L8yuvNGE/c0UH9nmbDzwtj
4dxQQJBmqIhWONSedtUGmglxVRvJpg+zGCykMQPve594Vb/mPMf9CeShFQohntP8hc8mSrQLypIz
mxYMgg46c3Na0U8LvMRdF0UybdBkxuPr4vyLZYMYbmXBvUFOupFDsRzxkc4CWMuX3uIzsz+lEno6
lHHZIZ5W31N67E2XBOkmagiRzNNwIzIYZjag+4VRYK/KMCNdOeaDyTuwSlwfeGi1cfOM3Ge/dtZ6
Gt64TaFvjWGKAGwlEEJyuVRz2za9ew0tc0Fg0jFwCA5lb7FmV8OesCz/WsX+453FsPrXf/Lrn1lO
8Krn1ye//NcxS/jff05/57//zPu/8a9rktuyKvtVf/qn1q/ZzXPyWp3+oXc/mU//++oWz/Xzu18s
U3Q1w6F5LYf716qJ67erwCo5/cn/29/8x+vbTzkO+euffzy/8AigEWN7/ln/8fdvbV/+/AMB+nQO
/Y/fP+Hv356+wp9/AHf7maWAvs/8rdfnqv7zD8Wx/ol+koo6ijEGICKeP/7Rvb79ltT/6Ux7TUn7
G8U+/tU//pFmZe3/+Yew/6li+5sMWaxR9AW5jCpr3n5L/6fA5aki/EV9Nnlt/viv67v768D316P7
P5hHDda4f58Lp+4CBadJcmXw45BpT0P4tzVQ11Q/akyf+o+XlRvbZTER9b2ppeXGLEDoOVnrEw4J
3E8bjW3q5XBO1WEZIONaN6K71BJ634j/63KQfKosHCaWXo3v/fvlRNyUXM85Q7Ihc4gw8XPcAT/b
Ae6imj7L3M3JE8BWrLT5LUmL8YUD3fvp4u+PF1QZsaawHzjdrsnQGiu0OmJPUua3zGnpgfW4vDHs
7ImCQINg1cmizeurymyDC9XVk+3I24czVBgriE1Vm3bI++9eApT1mkgTe9LhzefMHaK1BawzGRpi
fstAPyqhtwcRw/5+3DFlvVgJeugsTPZhJeq1UQX0ynwVk2tXjZf2Su+LsH9dHIJwxhtwWubzk3HS
FRGLhFKKfQw9dRlWxTeTJJJVUbgaGU4B4a0Vrgns/X8HqASENDdevIjw6sUwySGQA5bondVv79vf
4/kfaZPcZUFaV7wY73f1b9fF28Acix6TA9tp3ajPYqp8fSD2fuuKtUc9n71Zri5gdcNUibxHoYZr
Q4/ZFEznmmqiv8dFYu54EYM1taYQ9oBRtSsSFof9MNQ2gaeYFUgoDW9VbSdluxB9U4Jzoh47UGJh
0Q60fWf1L8j4wU6Sj1ZUkJ0iscHrQ6Jj4GXfrVo+KqEOPibK73jJomsJEEulMEHeTriKPT3fNZJp
znN/VakoD26mgDypHGPrh/Y3xdKfVD2VF1bDkxL3dLcsnL5s3x2NIvMH13pI3Bwhpa7Y03ZVVx5n
UAIYwLJE3MZZRXGUAPginAcZqjwnLX9mrg/Y5P/xQth3mxQw2SJy196PdS+c0mcHapimU3e7RgWm
qbrG/dj0tOvrB+x2azMfKuDDYlvXybZ2lP74+dD5OHIslS2qMKeTGZGmJ7UbcqJLxcoasW9dTqEA
KOx0nPcoSnHZ34mAUBU9vzS9fZxt+Uz8AtNzoC1/WoVDTy3sWo/FlN656ambkEmiP2Sec8cGHYqq
VMd9YoY3OnHEhH7Z1yo177LQjC+wyC+8Oidn078GA94KDYW94EGcHn+wGGrtqGjA7dGaZ1FnXBmy
BjwxQmOK4Sc5w0/TVoJFktLWi4OuxVOVXmt9xvF5TIOF4ecaFhYfyuVgmrvOGeKltOJ7lALmloRh
MkjLyN0iL7lKymqAjMXkrXHK4nVrLh20P87clipYx9Rp8uSsenKWc5GEu64ViT1+r2yfcnq6LWlh
z8weQ0Qfgn92JcQvpVLmhRmLbVyZzdIdrO9Glhf31Tiyf1e7GU1E2HOjjRepI8Q3y/2WNEtj35q6
chNX3tJVfbkgJZuo+yYalsqAfTG26YvU1gQfyqtgDWyhvDD9vm8M/fWoBCI5Iafh+qF2QQqHhVo3
Z9xA5N/0Sp7McXfB6cHGtS/ar41HWvDnr8fbQe39zsBiNcK7qKFNJazy5P3o8wnebxcGGGjZs2v3
hrs8KO+0nEaANEu5kolDPzU2nP3bPxwd9+ZLBPfhwqKsvV97WOgFhlVksugDuJYPb2ru1xnxt7my
q90InqemPohYxmvbwpTk90G/1rtQBQnvWLPEU4xrvapYCStALo5eNWsZeyTTl95DqhF38/ldMk/O
OFwb8hVbZavIKy1Qsr2fyPJoFDj8aZAU5DJaSkzyh1mH86glGgrRCke3JkzmXNu1auvVXqMknCeu
czutK14X60u9sCHFtQbHIOgZM6sPNmbrGVQfin3kmnJd0gefpalpb/qO1Cx2ZfR9K7nsdf5iOJgI
AQZ332uNedUXsXdN2oB24wRWsRlqRy4QdRxUDxKl58hligibJDpvVYUObGsfFqkz7fsiJArrJOpX
RYmziu1RROBrAJ4yzJaa0sqN8HL1rtsEZKRcKO/yCKeR9O+RRlvPslnDeXElmq6p6PH+HqZOH5Ik
bIid58HxrkzrUR19otsCS1khGQBY73Ys2qQj0jWpZiPXPs8sK5yzQwNZ5JZRRzQ460ih9ikwDkSX
6kTvT4wh2oaKNYvrQd8Rwxiu2HZ9TwQU5zCCdop5aebnvbEbQsvYwYw4oK4N1nEUBTOBDh2aIHkw
kW7vUqcK153V3RQehd7Ea3Uetg3/jBzkeSkhjY+jwDmtUXsnJybFEC5kkO/efk0/0lhU0k6Jz6NH
Os8pd69cIquMMfe3SgyatMuNbB/4JKo7QSl3Xb9xm264STvMVXGT7PUpLAPne014oM0Q6qJ9XcCr
HAeHpDIZHKzaUNaFEVJUTZ/iPCLb20/vM8e8Z14DRcS2CB3j9yFAaxb71YOvY++GfKUvZaH0RC1a
7m3EIX6mJuKuZg4lHrTOFm0x+ktLzbst+/91EfrVVVKhkclNz15GxkSYGyp5VXslhRyJkbwy9X4n
0sadFyM+MbsHk48bLSWKDRJgoX+11Ymr6zUxGIf+uWIRfojj72EafiXlMR61YKk1dbyw26C/qkSX
zcdOfYJU420bzXxu6iZe5hXM4vF/s3cm23EjWbb9IuRC30wdcHjLnqIkTrAoUUTfGmAw4Otrg5VV
GamMilhv/iYMiiHRO8DM7r3nnK2R49UaSUuyVUW4uqcDbquldY5b5AI7u8vtkwNfb7Lcm42kuqpW
XppBhNUYeE9zuga71kWp4o/jIVgTmDUkThRNPl9VQQKUo2fkhbu/GggaMSg5kEkewHgLRUlso1WO
vGxM76U0yFef8qNViey1bJY7fM7HOsnl4yZlFbPFQX6cHhGClwS+b/huByZMX1QwPdvs2S577yEz
yPXzUw4eRAYdZuWOp9zvqwgJ7odwwcVoMvlIdCZfs1PWxJWBy1bjyGHWqdabJn3BoT+cW9YaoA3Z
7ZiQA22uvv9t3qaXRXPTFzOqlswmLh47KzxbbyYwX1pRuizD8ySnfTB0SIXwffhiefTrDHVgpm41
hyDnmoTRtdM7eGo0P42gHGAkAG3xu1uzX5s9oMP1yLVmRS3t6kgz+GxQe5OoZzbkXZYVTa+UBMvP
K3xoyGuuE67UgO+MPvmA/CYuLYmYQcoeHARrez/77S0rmRl12RocEFaXxPToyznAqhAJErW5Nb4k
1veimR+DMjev68zJYkskOnSZXVzmRt5oxF/N/dI/CSs9pOBS7kd3pC8oCEOFXBUFCKcbn94gwq1Y
aJkBREe2J5yPF1F5884uiix21yJ9WIr+zbaUOA4i6I4ird4SvAssGMGttO3+nhdIgFkxeCdmk292
kCwXHG8fmi3nm3QyaP+1APh0PlXC16b8OXW4wpr8LMDdvdjMOs2cq2LC6jtenVVmj0jwCCfyOXjb
njXcCYDIsD3qc6U3Vuj2H8FskOPsiDdRjf2d7cldPa0/Ur2Z0VEvoKNLGDRlPnzLQftWvfdVtMNr
biTAkZzszt1gTLQf7Wjxg/ImgYM6z551dgQPqJgcEX/JErj2NADIELud7AGFmcanpddBvwt0tBKN
pxXXttdeBsrhgzNDgBkqEbIQtD9rjhQ4GIBqGkZ3D0RKnKRfXus2T4DnELRors2TrrIkdgPrJLX1
NXMWa1/0ZOMbmledMBNGSS9fB4JFp1ocgkZ4qK/BthK7PIe8pe419xHLieSmCJR4sIK4SXwzdkdk
2rYzFNx2rdgPAteQ1tK5b6AaoNZ8RsxMKmBVfxnsQhGFViYvvW3/SnW1EFa5lJTRPBPZTNZD1XX+
rnbn4GUKyvYWzm0VFfj7oibTnR2bdXPMPUyPA4HsRtJ/VZzQdoadDsdhmtS1lhijlp40cCEPljLs
O42JvrJrH1UcKBarcZbn9Kp06LW1rSMfSfXbvA3KV4lKd2aWGBs2NXWtnJMQBHrJ0bhHi88/t6dr
IoR/o603g/Tn+LM4g41HmP048pYN2Mh3hp+3h2FqiCU1V8Yb2tOK2g1hjN2fAlanhxKcVtsolE0+
EY7leo/OlreMJLe4rkEi6YV4pjnmXdKa4WSPMYDUh/axXgE+FWMx7915G7abira0bcDlKBSOIhYn
ay3ZIUzxa10ALjezJU/N5rDXqIYIQesn9IyHmZohyjIbiDPMci4S8yHVBNGeDrVEYCYZty4TQs8d
IY021bOnqepqiesiB41Gbj9FO9Gly2VaO6rFTt0Lnwg25iKbIsi5dqb2JRgMAiNgAkFBSZ2DmjrK
+HJgzx8gpVcAdJlh+qHStPqscCjcmXM5QZoXsdnPwbdeLN8kyTxHVdvTwQTiq/Ucs9PFXsPEqN29
Dsgvano9OZIMSXNsKy58exbvS4EeePRy/QJCEvuOomvU281HLeg/+5pjXfvMexjdnohvYWg7srJU
XE/+VcpxeOAcvvJwQQq7hulwN2SXCvk2EX9De9ZAmHmqgbxD/WIxNNVXK3bbjKjoxsoE0CR9P2el
e5oXRXUJAtMONHnIV0OPVdmB1wUcZxKXdJVDwZCtgN3uzhNWedSYOzyVxKL2/nDtfQ0GsOouuTRB
sq1yPrMO6w0lceAtHvU47Wu3HaPKCNy7oSU6UrYFY3k7G08LttmLKavbYBree9NaXvN0O4CZhyFb
tBtFLK1dFtOtSIisTQxoYYMMCCe0aPQhuD2oxgIYMNLyoq+PcGQ2i3hU5OWUC8tiKkv/mLS12ssa
3rMvMCySQgLEwKqTuLby4mapaDjs+l4jN3t7RHIPp0PnIgQtne8ViV/XIiFCnk4egchm4VwBQaF/
rQfzapMFh/CLVLfFOWUQJ/cY28sbxQ5+sFwwG2rwdewgMGzoRpGoFPzyRv8ja+V8Er79Khv3vesK
yl1b3zcJLAm05z9KDJuUJODJZ03ey3p00JErrn8ziLsBbkwyQBGz5G3jThQq9vjd1ILTqC4EUHaH
2kAb7BivOEe4u9CEbTjAg6Fy9g6bTv1MIoasv00wYY+yzFmmCdcVhvuoaqXixHfcqG+yV9e9bM0w
lVkZiFa1UKV8gKxkvmXWP3xv+uqI8kTWQezmKoi6tk45xDnxCpF6h574SXHL7oXX5OHcvQq/Kw+1
MgAJwIZJQQJBD0mTeLCbCMUQhMvMuLH7IQllIW4001dHvYmbyRhj/1nO6PsHZb34/Hcx+NjmcXl1
kH3HeaZOvtMTde0wDUyx9OtYMiajOE6L8dPZS6MHEKNXTxKYbdT5xYZLs4/18KJNIFbrMkC17Gyj
UecduS0BvCXcmcLoUUZWZIfxYbQ2uWaMi3pSzM0Gf7pzu0hiLeZ+7DgYl8T8dgIAT6HxsZCSOC8t
YQdp8yB1YADeMu0NSLeJBUTe78JSX5BHkZedDcBNMwLTe4VstwQHBxgaKAtWNU6/btQK2FmVjkN2
zskULuxxP0KpxZvKWzE+TR3xUug95YmZfg7ddRNaC4OcYnuu7tNRVrFc1dFwF869sqP2IBU+g0C1
R71xXMySTRZ9iSadct9pGZdzOie7tRM27PARVKBKIiMHI0fR1475zFkWEVgREMDtrnd9eQtX9ftU
6q8E5vjItRXh/BNCaqe50zxoKSiiQxmwoFOpRZwR/ZhgoynymXpOff6LivdoN9m4H2wYInKwX9gY
7jmLvqMza1mT2LlTj7xmb54jW/MewDfmB3OzOQ4OXJu1f6waRroWnN996WcxJ/SdGstT3SItmxSr
nKcT29r/WhxKDNySB5bNr0My26SjotO1ao6VCGsIljaf9IzVoq6Rl6xee7FhXYW1VT5RVZxXJLCo
OTFO8EQPAFkX1jH3GBAUGBXCanZsWsGummBXJOW7nzm/8O2xZ+Bhi8VSHBblPedJv4DQydgIimSP
WNCK3DS96obVx9YIWEn6sidMJnmoAQXn/gwTABiwxXpDTRn8lBpLpUSxGzL2SWM0Eq6v/VSk5VjS
ebJmzNU6lEWCXN8tck8u1kTjvPaIxutzEo/NWAXlPjFc5JAtAhwIvFxr4yb2mX5Yzf1awTJhSu0A
aNinmhvOK6Tx0rHaqJagD9r2R4WYg2BowiVL872Us9gHLQF/1VqFnkamz9KI66Z2nkfjuzSdIXTH
6ppyEAxLEgAaLwCT6nQeK63Kvq4HQo5v/cSRYTKjaK9s8WCa/E4tIeKbJ3JyEl6F0EkBgq650/h1
RDOVdjfcol2lWvceGpmJyLVIlNYNGHDud2cwdIQOrbpbCNNh3I8jAmd4IRF/4hGk7RHkgAwK2IQy
rfeDQTlOurG3t2v77FNNsFT8yF9bhdvBVrCK0JMqLeCk7JvsLpMV7JyQeQPnfAcAmD4Qnu2D68ub
9NF2cRx2pTXtQKqbe5G612Jgd60N51BW3lfLGEIim2Q6GEdz8zO48m1wvlXm+E6yFceTkUCacWeq
ZYpSYV9AzkHozAfr0K4GlJxpDTMdlgXg+bM9Z0evTl8avfswUpbnCT1EMQeUww6gJL+6TdnlErPO
wjJw77Vx6WKrKsOV9vTRc/GPkIj5OOddVIlGXmmBzk9pgGKZ2mLdmwFdImvtBxQQTcvuU+Ip1Kuj
BdCzDxkpQ9+0X+l4woxILPL+TR8s+RY+YqS+RwtL6fGkNVpULQnYgd6DjQHK+qDa/peDn+vGddur
ZBk+GzkH7SjwYl2C/DL11t37tipu+T3F7ed3FRkKt1la31tLtp7+9XMx2vNOWxeDVafNqagQKBgm
98XnHz+/UJR0pKJjbN93FrzkySZ1Xwngc7Lqs9vOskooC62E1pgQiLD9bPj82TJm71lDDnOLXxDB
oHZMdaGfvT5Lbz+/OP/7nWsleqhS3Isq9b9Ys/vNrjDjTK6i6YTlCkJXql2Z+fBHb+6vZedwCYFQ
DQzmBH1u7juiU16ruO2Q1QgNoVQD1ZEyEX1g48HqxvWehGatv1IVq8gz1jkOuiYsXT5CI93ndfcu
moIg9bIYQ5HIB38+Bg31j9eig+nIqmwDgzNMphuXRbB/66535iXJRsSTgxCJ1vbN4MxxhnA2qhge
snDWduS52rvjDNfVzsSuTOmPOWwzpYOqGsr0VGX6wW6zmF97R1MmDfOVag5NQ7XbMaWF2VVA7Rzk
8oz+5W3JhRtRnnxAKQb5Z5MUTzYDqeYWp3/QBrVDlzqkJUojffCGk7DX7NE35FWYVnYP2KI08uxm
tpuDyumIWsKVQDiShxlFNDt3yrG2KayLls4ODRGhA9WhGmxXUCA0PfyL6ibkEqLXd+vU3Ik1X2+7
tGoPbFLqkFvcPEmRa4/OZBxtczYjimjzJHRyVKt6fV8gsjwxvbjxzDG7+n4PObIjMlgtSXCH4bdx
xPCgl15wHDha7Nba8J4Mh80kSQ0ZaVlZXxDf3wnHYbNOIYYV9YIatlwCVuxRQVQCiLN03KJZn571
3ChOCsygtmUei3HFCY6w/TCYsr3XaZUB4WxDrw7ENSnWvWfOX+sMghXjDYfU8ObJ7fs7Jy/Kawtm
RfSeezPjP4l9k6fcpKZ/YN+cDy7CaF14+yzxjQcng6Pl9/s5ydOvUtS3fmdkP4CSjHjOUbjkXtT1
jhVpJuwd7pbvrVZVkAdx3FcKZoAHXPTYEg/qjSzvs4KXyEsl9D0eFPtAOuXDUwUmz7SJNM3anwOI
+zu7avPjKv2OViC7q+mo10B6L6tpKgZARn3hpWeHrjblXqn03M7WmYNqeRhIBKBCsd2LaprYo7gt
7SC9mZd7c7U87sY53TOSDHZBh+sgF8A9mAhCq3OG5bHjeD+mU39p0/ar2dZ6mKvKOXqoS69+3zwF
SxkHWtvHvsv+P0JKv7Y1/RNMIoAIg/Tr0CVvmm8Cb2r9x2W2hyuCiy9G5RgXQxH359KjgzCvfSGo
vX00LOtEue0TbW+gHtuKT7Pt09MoAUUUWXo/CcT0dUPCdGml/aGmf3iDJk2/qezCuBE6PAvmsUEs
hL5CNdt++Pl35saRN/5Ts3J6wyb3kNl69jTPpYhzZsA0rDgCkLrLyaSpxwcZ2CNOMLKXCLlv+2hq
bQcztrL2tQuzK6jtRu4kUQZXYLx0R5r04PnPRqcRIVfQxljhZ7QIvfY95c9xnt3nILGCI8DeJfKg
A7i0RSHTk/7pm8zAeZbMtcxZP3UF5XNFfn/mlN52HT9mq/FNV9+KOZkiq4KZZlvlVeiwVTwPhuPS
KS3UUmhaVsPRkwVLpw7dI02ycu5Gni2LnFlHaZFwsvNzzNwuHOqW4HyrZVOFvmI3N4zzCdrPnSau
7SCahruAgowshaVC4FxmPy03M1BvadA/cjckByk4+huQwTYn90T2YCen5fz5hfvocbWLn7bms5LC
D2DZpdWy+vTop5me/ed3rdp6+F1hCoRGgECKMW0vOkV/FFgw9JTnLpzLHd6Vyqelma3tDIhICzmN
nVdD5BcgywzlqPtnhK5Tq0XSB6k1w5t0UyLHW9mQvdPRP/Gtq9twb+gszXqqqTjA7llbmbcbAzAB
YqAIMRf3aZndnyIFmle4n+ur8TxjZzxIo3uYB/BPiuWaOEx1lxcpPSnMWAlY5cGSSPwmVE+pzfol
rJnqfyrOmSU441kjLJzpV93bcFRscdFWDBnuZglxa+dUlhtbPG0/nAGlNqv/kS4cSbCTvRwBGKHx
xcHhWvOhmYbq7HfBl2718occGgH+9V+T3bvnduEZK+zlezmyOlKS4RYb0hvDhQ7Q1UEXFlrBKasp
YLYSJnCkik0rj8RpVk5cdslyxrVpU1ZVNzSagKCONYdDWhE7vQxeLKmZl7kC+zfoWwcEnljq7gOP
5r6fjilzsgCcEw2qoBpeJbXkCQf+YTYqliiiDRmaJTjc7P2kcIutAvTOVNW834gml7nsEbXQBlvM
5UzZuSM+dL23jBPuA4E6Lzukrv2Ip4Xs+HXq9xoWD8IYd86I4H0qdJs2CGy1WmOO4XTko3Im0RcN
PK230tjUrO+5YeoHrRpuRnuoQY4aEcPb5JCBDmOkAIgUB9neVD9pzWlUa7T0XI6h9Be9lHrHX/t3
nSZRXXm0cPut5aNqvIAEtZTgUTL1sGaLfVxL/d5IO9hAgSkYE2Nfr22yGs0siSYN1247T2FLFvte
N4p9Zw4p1KpC7ogHiYgDaC/SnXhtW7qqR/hm07m/erueYi8oHyzqbAqfIqy09qvLxhCnM1WPAQHL
Sb7XgT7veyMAk16jcKzLFeQL61K4dirfK48YPepqftlGYQFe43SoY8skiY3uh6AZfnSD+dhmQUL/
9TG1yZEezeR9cLVfTmpVe5mQDMPB7zVHzwPwkMO1XTFK6z3qoDzzzqhz7ZgF4ktm1E+66af71E22
WNY1KqTfxGqgSzALdA0ly/5haJjTjDW6YB3OUWO9JGn6PRisOeyshRh7109REcOubjH77huqVSIL
2BMThqlWEo0aTki/UdV+pW4XwjJvvaV4GTOLiUc5PBbD9HNVaLKDjznntIAXYGfmc3dJms5jpYj9
gqZIPu1X/Rsp9bTw8560oBLGXucvMRFA+V5r3chL6/JCAe+qGbbS1uJgIh3NZDMWQ4/qvk05pueh
W+gHJsLseJVCnGUsV4MWRYyM7IujmiqaRfVCoGiHq6WkGnI4NAcdrNK8dvuoJN1v1ezXRZfIp23f
PCPKgg0O4w+JK/52AaR3SWwWC2u7vLUPp1j0aBj6iugs2znQnKblYVx6O4GUa4EcFUv/jkSM28MX
71DIzUiNCNDHIusiczLi0tiycajHA48D+CppZOh+3M/rF61uH4LVPwSaPh6xU+vnvpP9vrMXdS9h
KW0HSZpfA9tDzoyUrjaDODUgATOKJ0UJf5nbyEI7Fy0cvc9WUHAmdYMyRFlTRCyrcKVwmZ+dfOAK
6kFGp+P4pcgz587N5N1EJO0DNmeC1+byGYk/g1ViX93rXLEmkPVZHEyNefKsc4iv7UVeZs52ppe2
8VSfEFp2V9EfIGZ/aXz/zSXd++gv3rEvR++ug/EV0KeP1xzcNjba61yDggwMUd3lq7zUk6WeakaG
u6oZn9dUSwC0Nf7VJgNiz10/W0FyWCc7OHQeB6WuJkarpAFK/57qqO5MrsV+3wqXcf6yMVB6n+tv
Mr5UCWmNwoZnXXZnTdrpk7Pmv1Cy08pp1waesbp1Jn8+LCb0dL2rfzarpMQoBJ4mzX9DsmUCkLT0
FxPCOxhZguaaUhy7HEtw6fcM3NV9w4ELQzGdF1Kr2m3YkZjpq6Xar/U8GDuGa+mRU+lPs+XVtARC
h35dMzJaV3EYC+IU23FEKO4Ci0sJvoGspCJOgKRldVpsyH2VlXncBHaDcsGG59EFYUCrKUzyVmcU
zJRI8kDPToq92Zt+2r1eHsbEuHFa179aJG+VqElOg08SXmtBvcpa6PZGNe+J9aOOlHSeRdYRLZt1
6ZGMaX3XlH4VNhNpBLPuC3pW5M2gi/nBPHoMGQ8++KzFB8snSnVxe3BqYkB/2IzFrnCX27rSyCLK
iWcc6F7mTseES9kPqVEfXFJqbmsgk3TiIydndZtsDj8LAbwRo0Vznwb9yKHXOEx58DgNjn5OUlKi
U+W7xEsnoejrGyxbRMcs5RmtTrqXmz+A3DrGkszDjQxub5Cy6SbZQihObn7HVAKYCnFEZaoOnUF5
0lk5t0QEI6KhWzpjdVolV3uCI0INdCE5Q9MRjESBMr3XsjNBUxXbOfPMQvVwVCegfzpHkZbJTaij
S93LtaRf4MmFrcYljrtJjdjUhymUK/KoYHW7S5AVl9IbT40cvg0eVBZiRaFQ6TB7naT4WPIF/shs
/VBOqR8nkujsaqFC71MwtWKBKdVX16EE4OYrXONenqUnTSu1p4QYh9KJhpxEXtrR9R1W+yFsfnla
E6aqs6/tqIBm44/dNRr6T9cxj10bN3xKd1rDUdUa2LxRz4R2NpB66RE2rM00W+dgj+cSa40gEcvF
gdVmG+FVECGtayP6CgOtWU95LdzkaLX+dCqAHHsaZVFqMhLX0CmF9MYpELwsJ0KZ4jMFPWcOZXDG
8F7cI6J6xt094a00b6vZ1mIC65qoMPvkYPTG3v1mqhpYImeVq818XVPFd6psn9010ONkcD56vzH2
BS5f4FjHOq9TJiD5tm1ghOngDrGB3spqPNiUpXeOkMxHDbDhA9kllZsioZ26q3SHG9knY2y1y8WW
bXXbrwb1J6nldA405oZoyfEFKxm5EgyXl4qMzYukzkT2X7yFW8XXwFPrUwfVeqZfrovLKjIzatFl
RI501tuJdw49DZY/j4fuhMR+HPjgDZeUoVo+ndDFHFNzPFpBb1LhakZIQ2Jg9EDtWgzluPPsvObC
Rna1qeZ3WcEEZRnSsDDqliwlb7mfHZ1DZyL8vT/1V1QL4x438r3mNmJvUYWFptkhbPDGJgyEXd8O
nbEc5OIS92V6KhqLkRLU8pNzKV+K0BW6eefh3YgIBof9plCQZJK4gqm3YtOm7b4oJjmdZGbi1/Ix
RSr4VAfmpRx433qjSM6JHoSdmvZCk19z3r5QTx2yVVboH2lwmVXwxVmJK5uyI+dCsifz4o9fPn8m
//1/fP5Mq/SeHQFahK+X2t7uGEaLsT3nOJ7OhedkcGS3bz9/+Pml9/wiFMIF4Do0w6FFopn0Aham
WQxnbTXGih2DP//rh56mD+eevQsQ7vbt598UCddZNjJkrz2P+ntmtQCZNCxM7/nXdbNekpZtstRb
nsPnI2efT+fzW53UpRPeAzaQpjv/6wtkj4ok+f/9obdwDs3d4qdWZP255+WdV0d/HKDnxbbTOmSw
i8Pn//vXX9D7xKVs7fyQIIr+v5+tka6i2n0+8c8v2fZivUleZZ8XHOvd8Vybii/b2z5z+1d1uRy9
NWnPjFWf+tKqY2f7U1Ci3XNdWqHbnz5/NPsWWROp/WTXRc0KmkJLKsv2lNNhHWnCr3ArrSU/yoQx
K+Hab+7qvH/+83L7ZDrS3Q9G8yyAunmm4nCsBUgePnWK/9/C8/zXFh70wFv04P9t4bl5E+LtZzaJ
X+Mo/mjj+ee//KeNxw3+QeCGj0gatSJxhUhU/+ni8ax/OJtOltgWDDtM7FAe/4+LZzP4+Bj1XcBG
4Nks/tf/uHiMf5jWljeBetTdiFXu/4uL59/lwQ7UNQNNJjmKBt+TgPObVDewFhefgdYd9WG+bW00
RwPQ5awjHclvoQT6dCX+8Cb9ie/izx7RJBuQyRd4of+IAqoam9VUGcDE94LZwW71uy/ET86onnZz
kk3/ffliJvtzm9Kmov2jQnR7gTwQYZEE2dm2vymE/+BSSkcNuWRXdkejiuk3NqHmLS8MTd/cfn35
61f2Jw8FIgdsEmJHXp35mwtHeqgaWtzMCIzKj7IqPxIt/8itvV+mP/76kX6TNW+fGo/kMCX1uAb+
41MboaeJzFHdkUSbYB/4FH6C9PSwVPnfvX8G1/zvbyBuKhyIRNkj5/7dvsNJuqbNz6uyyL4k6FJ/
8Xti3cgIUujY6Xbq2O79kzGMJfDnPvakd0sjk6bA36X+/btQ//Na9V3i5Yh5sQyqyN/eX0/WvjYG
c3ckvSPWCbpyp+WRFJAXQ1teVKcehe39on/9N1fQ5yv87RLysbe5LqgGF9fbb0JtzXBafETUYYaG
KFgfTybKuaKdH/tRPQ6TltNUvxbN+kJWSLJrtfxtsIe4Wxik5zbWVc7cz/Qo/8aE8udPC904aIvN
V//7resO7WRWWdOx64t+l9LDxqC6BTHDmtL98X3Sb6YBPetYgH7XXSIo2uphKTey9SSffGfZLesU
z2769tcX559+TA7xNAQh6TrLy7/fcetUTAuUjY4zcD8cO2m20TBJWiG01WabO8IjzMUcvxOu+Xdp
vMZvmvrPG8P9w2Nv//8Pd7uPrVwi4OyOyrHuZh1z7pRCl0+VtjMH9aL0gLeiAKLquj/y/EszJH+X
hPhni8Afn8FvC+pc1oh6Gp7BmplIFj314qribWVcEhYsCX/9VjPQ+893Gx8n/gSYaaiVTO+3ixPz
D67GtquPxIYwCvEublt+zDqqEJoxzEZp8fQoK6r8C1Gczm7JtDGskBY4eBzGgGBg4rcuPv9mqZZL
kHDtWFoALRiFkdBfujTf5K23qT492tb02BaxclrOiSXy2+LNNejPCqle1ioOmvbapYcJwSn6An7P
9vcnl2mitEJzbiFwW0/LwiimNddQ+NeUc17vcoEyB4OONk4g6afbZh0oDRyDa8UJ20SKzxuKOJVH
23ZP0nTDzMiOlcEpPrPoYutBc0NZRPi7bbRRv7zNQoFGshkhWOekVac24Dk2myCsbO5Hjx4SMg8t
ROZhkWGEUqRPj0ti4WtYXxCwHm3xXk7FW+Whw7Oo3GUQ5zaFQzdL5uLFR+1UHy2BGtv1ZCIpJEmF
15A3D5YjfjIaROnKO0MTmZGHKeJupnWszJ+ah4RBl9mH+9nt8W6EEMlu5nUZyj3OSj5X47R3HBEN
vJ+fi8foqktGQB/Kh04L1VK/GTwmJm3Sm1nx5mDgF8DHMHKfD3t6mzVenL8CEi8ACkk0neCJya8d
A4KNDIWw1uNjaak0l7o9TwkL2Pb2J07xMZfl3my1Z2dMtxj9+mOoBVqz7AP16w0sW0BHS62FRaZf
EgmjHV2OrXip2szS46z6i8zlbRH8Uj71rePP0ODZJ8yVhh1o+KLD5JIZW/tq3iWk5e0Sf32gRuKC
XV8CXz6i3j7WeHezUvLvN/XBQynI3nW79C1weAuapKe+e6cBcrH16m17iGadHzNa/CS6TfH2eFT+
r6JId4FWvVmrfnG2d4rDz63q3Fuv1F+0uYo0givKtnwzivpNeszDLPXS98S3gGL22/TBak2G74Px
WPhDZOsYGfqUZk2STg9ljUAusBgpLxAldzaBJvsKHUOjtzsicC42RlCUSssLIospRNUU912u0Wop
3ooy00J2xzs3lb/8LS3GtPiwBgi/B0RU7S/Kc+Pe8UB/j4175r66fj57r+T1KUM+bvtu0WMjyN8o
T3Zr37/NINXnxb4G5E4TQ0pelW1awGv1l+1SnrfNGUzMrTYZFMlJfSwMPhv0z/7B7pF/JPLFGoou
FjjzT2WxfDHyZrjaiufGbH/iC4F95YebDLSD9URxfVj08IDJfF6OvZN+FNuNu9ZcB4NWfbPM9IGi
2AwTb4ve2JYSP68+kD68BBX3SntkucVcNb98pmYYGmvxpzIZEUf8KUYCE/U2Ss4RdtlycxJCuixP
YuVM+LlsyW2rJ3Y8nBWXUEcPT6nKZdS2vBjbBwVwSv+ZrDuZew/6qoj886ZH2ovZB8wLWuN0W8KR
cYXXlV+8oXzTevvY5+Ork5/lwj0guVyMtHwjzXPc6Tok+mmbBM0cgZVv1LsZmsjh8y8EE35hBnWT
J1/87YWOGk8LoT5vObGfO4NHSdiHokGzbgVygdBfLmoZr926w4K9GzzbjtdBXfQh16KSdHd94r0J
Vm06zPrRCRh4D54ZNWQLxjNRT4wr0jx2BnXjMxyMFmW+uNV2d7mM6LcV0x2nJXQ67nQCC+twMEYi
akcjQOaXMHpOqii5WZ3UuZYooneYyuSe1D+/tedzZ4om1LP5TOLFyRtZRUW3bZOtQnMFWTx2de2Z
ewt7Iq6qBVFCaI7ipl80EPWoZMK0s58y6eb0lbpgX3XFF5VKgt0au94HFW9cZej7QuO+qqCVMSpe
XvQtO+Tzgvw8vLhT8bFtB3pdfTipS+Q0bw1L3Dg2MO9H/b1PdFKEm1DqxsOcBJdlwgk9yzZKXJ8R
wOdHtIxfpwDHJgLUz4ufRFfy78/WpPk7LeeCagqYy2Qm4WChDymY8y9EsIQOl3WmJC3lZfo1JbCt
aPg+9U2wnOakOBnBf7F3XstxI1kafiJsIAEkzG15x6KnJN4gKLUI723i6ffL0kxMj3piOvZ+L7qC
pJosA2TmOf/5jV0Cui3miihqwqqGECA3al8b+Iv7qEt2flNc+sDAd7MR392hk5uQGdoKvUuPoNxq
GK001saElreyI/QrsJW4gKDXgGJb3wPBTurFAuFxdTRNdPImlo/EDYnE7X4zRoRrDOlCyGDF5EMt
h3Qh0tY0O7VphN8TGxQck5LIwRhZF4hKvGYhW+vWre6YvcWEtlC2++onciVCxti3FGfmKhx/uiAp
26LhQxohsNe5Ha8Hn9mPLXkycNyfTWqTJpyMW5nhgXe7dlXOGhqX/rN03rp2uJ8JgmYG1nobWMYf
WUwGY2YiPxiXZmORxAD5hsuOZ+kHv4ivHSBu6U0Hx8HB5lYTOYwrg1TSJAVpsFEo7oLMBrnOocYi
OiHlL6a/iCd74xRYRw66lg2HmGnFz9ks8JP0oSXwplKneip7962cWQJI1Z+Xcnq09F4u3etiygQh
EEs0muyvXtn3ROdxOeSAvTLAHzPQkLVsrRPOtrqTb7Pn/7zRWvBkf8WRx9wsZSqJCaqRDyaBjqXh
K64KI0Z/vjS0Bzunxn+t5prbTmSts2ja9cNwiXxLbvqofOndOtlikjFoNVS7dTgXN4tycTCPLh10
XlY4hcHAWkYcMMvLUCbxqny2en/ELB9Q2aq6O7RZP1QxPaJ1nb6neuKbuUgf0SJH20EzTXtjekkr
B0mAXR9oviGnTslXv2PuVTDHuhiINrIkD/d2lZ6tZtw3YZ1AlphNdE0J+ccW8h6sjNTahqSTYHHD
UYMZUIl3USLeggjvHZUQsDPnrwlH6cZMgDSX5qiQfyLxyfdms5BqXi+EfKJV2neoQODyGObGTRq1
YTS+rdAZtLF9Z6JfLycXgt77rSd3uO2nMtv2g7f3O8whooIpQm5fSgx2Vq20HuTcgrNX1X3m4sAg
Df+Ay8cG+1kMP/OY5Anlv8FfrI69NpHO+mUdFcODKTDckF6zQlwSnfEcY8o4NLvBRSjv9mrclgGU
1bSBhTm5V+xrMfO0+l1iJ4jl6uJMuBb8XJk9BYxJZfHmTxEqRl0ytDMnamYiDK9DpBQx5MUiBBsX
lHnS+8G8kmJzmMSuRyKyzqv71haX0HPKdWK0mEqlG9On3mKo89UxjGWlInZyIwL9TyMak8ZmnDW4
rH8VOIexyHyCmyDh2zxh0EAjXGoJvQlx/G60CO7AghyNDfOnFIVHgHvTogJ/76mkXplwrqM2MzdD
X030fBBm2xQjgXhud6S2N5dYdHAvooETad6hBRv3ftDeZ9OIgg7jn02J5kFgqQ2TX0nq2PEbvnM9
0tWJWSPBCiuGWJuS9LZ9gOOh5+OjAZunPUywpqBJrJsOIkkQtcl+GuShMsJw3XLCbPo4hEldQ34w
IGHf1MnCCL+PXcbtxIcKOZdnd1Fa9rJJttKNP+3WO7EG8/3tpCPCkSaTbKneRSYazjABsQzN9hE4
AdsZYVVl+WQ1DtmiRXxK/Mg+DIG9iTkV9jOkuWi24rsADp8dRow5m2Knxu573hjhjpkCxEQre68Q
fm7t/GvjlsbKtOAgi46iqE+ivWMwSOpdspeYLdK9uTsUnHeu6l4DP600kaFZ4UlbbTx0tKZFbbAM
/sGfIwrEkjJdDPa6FNwEiy4pfWGNWN0F2HhP2rhcvJUWgisftsbKoExm0sf+Xecf+sD8hS5BwCN0
Jkuof9KK24e17qywJsR24KQqK6KE5jqRVD6uxGKcK6PhfLeos1yTzoxkYXNCssz0OtjfylacrLFJ
Vbyy7gviZ05Yupl07OtdW0wPc+B2a/T2e0PMvFKbCzQZq4wab337TBbbf4Em9sCe9AUiOGJylkmf
0mZCnybVN0nf0HRk0En7J7FqK+tnr3jfrdng0LPXlXIVWm9lbq4cC1GWW5qokMyW6afxTbJ3sAmG
qznE4XdB86v/I260WWVt+rm0Q0gRn5bwgcJ7I9eCMMTE9G2E6BbNsLMo7dqSQqOQ2Qa5UnIwUCS0
7QV9ikNjusOjYI2cPF6PDqwKm+rCH+jvEJ1uQ+KAQ6+Dakd0bW5wGVPdbA0aaxn0pxD7LYHDifeK
xPM7OWVvMm0JHbKzD8vh858WpAQFfZrhBukJjhRJ83m6yulIsOriw63yB2+cr4snnwvfvQYgh7W2
60v77eg31yrUS0wub5Jzel0nzaZKa3STQ/MsdRvCNPYFM+KGuMs83wm/WzYu4fH2WF4MzykgGvvz
NkzKb8ohn4P+0pMrVIz0erQrkTalJ6GAci/j4VdJ1ZNNDqkYxQMVWGOqVd2F62DhQNVtqdsH70zZ
DCfhmqLluN2h0YB4kxihc1rkaFygvbV4ct9e9uAzHqtEtEaI05BXRTambd67E9oCtIL52k2USSSR
94zR9yGrOakFszC7CCY8lMUhsqcne1Kko1McDx4fPJU9DdquSJJPA7fIbTqMTxhIIOXJo1NUVHdu
xXSZSeUZNunb7RoMSYHpN0bjGPnzGvS+Wla6t9D9sRmrL46LZKiAkVW3iSJHPRArz4bYfeuS7Xw5
zJ5xNSWllmsCVi+sQzHm3Fz6RVhdtQl0awuL4U4XU3xOFOK6Wa3T5TzIVy8NWthT6qQzsdyGNdFJ
9dgY5cXz1DnP+ntSunZK4NCk+M2s5P/Qf1oDijIav0/Vq+My9BwUilLuEZR7DwGQHtKuQzX47/Uo
SeMT84VwLI4ML/mwdYuO3ikzwy83+O324oU+c2qH+9UqACpSDimRWJ+9W26mit9EjAnOGwxHkGfd
71YQ3bjhs8S9hmgRV2I++4V4JPjCBYKZ7+yUE9OQ98YIKbOoXvWGMZT119xE5cRu483CXSXMOG9t
m4G4a+Xn3YVCgyKYXm/wqaya5xuazHTe5qh/xxwN8MyivcwcddbnstVHq34pf7Yja1o39WNFyT6g
1fS8KrjgXc0J0BPwHJLN3kQ+A2w7QKm4vHEH8xuRnWyLaC/MeX1btYtGx7Dg/KPue7m+3fO+3Zzr
Xwtt589Iorv3bKYB0RttTfzV+EfbjE96K9FXNV6Gg1vJD0yxP1Lxg6DpddTBRM3zkm3GuFe2dUeA
t9osCXeFhiDGjtUTzfOT9F6yIf7RiN1SgqrA0oNtax+xVzTWi/5MxvBxXuav+m26hsaU2RTr3r1K
HzDT03GNGrgcOotu0tIHyavF6mhcgIrJcbLtjLgIxiCzAbtvvBXWbLyLkMxEQyxvjdF9znX+RFYh
Kj0oMvhfrQg1pLnHJHhuKgM9dvaZCoWAr7NOqQnoNZZflZtiTZHTd2jAR0bxp3JANYglMlDPGkdG
PXukYm+evrVvDwl0a5QHSQFtCWk4NCsVY2frXmFzF+AiDJgYWKAknR88N1fbG7AQv+RSQce3fJxu
J268KKEB7wPI2DU3uFC7ymLQqyuBYRCCygycHXHDW5HDdteIhx0UH2U7QFiwdiPYiSt1b81dCQti
3xnuPukA5+YbfJbuk8DGccAP76a+5o2zqwd8OKnF2+Qtzu30HfBw27RI34YQTZngRMPE52s/irvb
euhDh0vY0tknNFTK8CHDun/Ihfl21iieOet30byJJJmvrnXw+4Vb/Lb8Ou/FDkd6Q91qh4SyzXZ+
EmCMY0XPpuY8X1vc0Lq957wfm+jThdCLEH3ZDhNtketnx3YannLsrVVt2VuS0KkPUJOvY/TLta6o
JSjsrdOKNFSWz+wMZY2Iq0dR7uvzkYELAhHWdWFw6iaAbqW8TAbtUQrBCfYx1RukqfVYR4BTMRcE
+7Zw1SwWGynIXRErKpwaLgwgZSiwNOAI3TcDwqo26INVo5JnUlmCfXqc7LjctRmOaoIG2cS8NHap
Jst+NFZhd7VS/nbD9jqmr9CnO9jibDG5zP8o21Fcb71nubjbJIVcmsP4ZEaOJL9XlymdOKXCwcCi
oxBrBq4fniioGK6R7VxxiPm8oTRItn3SMZJNUxNhidWZv5eJuZZov2FpwfLThx2lYrZtNLNR0hoH
0gq2KZoOQ3l/eLHfcTn5HIvQ4aZJ/Z9+RsvbFgYnZWxj+MKOVdeg0a3NZ5cF5A3m1MirMnjAbc/b
6a1E6VlAHTBDikX5xZndzwHCcuAjjqtAERI7/kzrh0JxhKQLiNJSfe2W/r42aL3DKqOJyiUbKscb
0SYwtezkfOuZS5u7+na2ZSiOt70H8bYz0O0BVi8amrIkC7O0M4+K8R6UYcWwGq/ZDkfwKNgZHQWJ
JbEccobiox0TQINdbPjD3W0tQ46nR62X+1s1d3ujOul9U0uHvZkmD2S2CPRFt3v+qGOgc7MSyGpY
ZPn1d5wssfRo7oiN+xZKyu2aIUAY5e9eUvv4gUGIHbHev92prkN1PTXHqozytb7r5+ypyTKKLz9n
VTblvivVN4PsH7IKk+sSPGK5J7gAYX+2c/rQ3rXK03DXcZaylbbWIcFZKuWtneCtmxDP92Gr/ght
74vhlEhconIvI9R1TqCGdRMUX+umP0V1sctb3pbPrSXLfFfARI6bH3VuuDu4niGmH4ZZf1u04k2h
b96HfYfvTFQfy8wzYLqjfJAqP09WYt3N5jg8K7N4LSBnGqidDlkOXmcEu0XOT3UQG1sP+G6dmASt
DYoUejQA7Vu37JZZnirYSIiZ7OaCEXx6H1bOuQB7GGZrQDjXXEesRFa4AdW7zBr9nTv49raO0Oc3
Td7tckHZkA7zfZfY5gWGzCoeMUkyfSZzdRiOGIZPL+1gu8cCNQaRDiXt0QcODLDO/VeJiEwWGE10
tfHeVzh5oDdMsULHFKo2sy+wEJ39NMjsIsLJ2juyfCgnn8wNH7aN2wz9DrMH6DGaKEPyUw/zhTjA
FJlBZM3e6fYQCr4avlXlKE7cC+4/HmTlnfpUUf6bgQHQUdreblT1IzHjLq5OPOCS654kK2eKourY
QVs/yby8zxM32qrRQBKMiCQWE/hBDF4MP5cF00Q9CCG7XZgF1sYlOWLX5fmPzkT/MRTmt7JmoJCn
idhihB2vqkkUp9tDkoUQvFWwheQqTzMq3z893H6W4pW1jZvse1IhvMkrdeTTdE59MTmn21e/fWsT
tLmPZHtKqqaE9zqQiR7UIKllap7+9VBPsLpFQIA1BDsgnGZOumNathQG9VYa4wDJNqtY/c3UIIFh
F7CTSxbZz8UU+7spGHazPc9bM04uhTa0uj0McWafWhJnVyDV8fZf/5CGPFGegWgIwxan2wNwv/Xr
K/KZkVYv+l+8SWOTsPpYrUnzAOGa4V5tPnWZMJ+qBi+SrAQajEP3GJeld8ms5NV22+bi9D2cPCMh
mSE3oxNX6akiKKeYzfrZdFudRDRfXRhtaztDNRYQowkQiYWA62Mj4pet/SiFYT0msVlv3TROtkEA
BbMXstshDZdsOirQOcF+zw2lvwVobx4mnuP23TxJsQXhNzZTgNXQMPByoknVT4td1E/KgRjqV+AU
t5952jUdB6EHx7if4aQ9LgS8NanmcSXfHLOCek1wATEINhDQCLqPnZfDQcTn3MFiBf7WX0o07WKO
rK3rdTYtgLBPt69GfRX+9DPT7XZj5Hz1pwXCp9ZITRaunqbXa/l2c3ZKL8LoEUuCZD6N+uH21TzG
zwBnC/YmnOAeysVT5OafKYP2bcbY8HT70e0BHcw/vq1bmMYeAcNbNr38aDFnsMAkTzJ+5wU+ZiN3
uVX1NSe+c1WPhHaMTJt48JX6wXHkoExbwmdl7aupfZZGj6FapQ4+dDRLr2JPr05kPOYe5e2lKbqI
2y/c+kaJGdk8XqQS/MSKsH1qJDr8+eoNbXaWNnC43QbtOmGr2cSNrk/brepFdGr1EseuFgP0vnbI
ijDF0Ukeb+S7MXOxd7uR8W60vAqHryQbgr3tNKkgkwpNWY2TEEZlsdjns3WN/RSF82QdYK3WXoa1
mt2d+X9dCjosszO9cbn4Ru7Swr8f0j4+Z0QPo3Ql8A8DTJMiovzRNBD/1N4ZzOH0L55lZGXUGDcu
JhEPpDv5UboFisAEOUyck7eYzun21e0hdNp/fAvN29oVgc/JORwxL1Z7ooTHU+w6PAnM0V9f3X4m
o9cpIjIG9DjgnEM2NxDsVXILoDOxQjyqLEMiIBXduxJ8rInHEa3GhzpOvuZx063tud3EdatQbfev
VuZx5YmEV8rcZtzMAA9TdAkT/2QhK1i7fVhf6kAC0rnREYHfjzJPs01Sm99D/LNS79yl5oGggfeg
qd8W2X/JZipGodBoUZfS+VrpSVmU8JHWlKQT8zlUDOwkMQbNYBidYYB7OO8mkqL1OHZ/NBTlfZsP
e+15u/20a2OVCMmanXxMVpTlboUHjUwQ++XiEQEdlTQbr/uK4P975/rfaUxWUngdOH/0fW7CD+Ug
wPe6pzLC568i1w/UdBcZ8VG/AdOa9tRlPksCr5P9klHrpYridvBrCiPLe+njaQPIsq7HaJewIbcp
XixhE6yF7V11LH3Wuu9Jbn9rF/5Iu8Sf/swxNw3Ermh9rpDFl6iOkLTE/osVRN9tr8d4QYB7PSaZ
OyMNpoIjOs5aL0X7FdX9ZbFPS4OVjmkx73WLFiZpSTNLFrT2xfrKLnSXmXF7NATjKa+p99YwPODP
V6z9eVBY9PerojWcrT2GaLkSDjjyE5DQWeOqfZwRAGypZpF4o1VaMYr6TK1x/oXyOMjTyso867cR
60YgT19Gry1g2rtU1PltXhcGvbVOK2zr2kdh4nfq0T7dEL00iD41FIRnFQ0Veb5oNbQNYYh6JMOP
QU5vbWCWK0nYTQrdwuxDGkh7LWl0LAwOsFHDLLTz2oesQWDhZh9JYD7bFItgh/TMftFjqoKSYwQX
wD4dCAkqwQAslBN5YTVoNQ9OE/yNn6ijKWb/RgULTLoCaE0BU0FbOL/xizB7jZwBTS48fXkoFb1K
DRV5Kxbk/8xIvLr4TqUX0sbkHGcF+ISGmrCm2wwWtPM4lduOqhuAIhGrQncGt48yAmZ0/E1uT8fI
op2l5NGwcHedU8QSg6S5HLAapiyEMaI+XZubYEipCU3vQFx4jbVF8lGlrth1zTeyiT5mmSKinTR0
kO8WtmtK/nRTDMbFhcby30lI4t+d1+Hl6Q8FDqnwMAOG//g7Ly+yIuUDiRzaQrwN0InajJZVv6Rk
9u+I91mmQxS0m3lGIfPfn9v6D8+NX4HFk2ItDin2N/PezhkljjV1jjCIiXehzQt4IhG/SWAGw5LX
ylJPLmwRNYs3MtWOwTSddBfGWPQpDCJFK26i/jMZKfd3bR4cZwfI57+/SvcvpDDitkxPagd0orL/
EuRctnOZOW7GbePzKmMyTtY+krgV2zDNpNLwWinwhHCxnokCeFVQxpop+9RkjiThKhYl05Eh97Wz
KeWa9WHrXs7PQXi8ilzztsCpJPnknsCLg6IsSuP3qksobh9uFMTI1H27hgP7xrk2X1Pl4ZMT0RTe
eBq0CZ8MghEL5vDqRxp5KyMUIuXAjZb5nOlX6duxte5GRnF4193hu0rYpczXKAGfVBHjiTjdf9Me
zrphA+f5cNvpKW87klHmL5YGGRO3QdBDfRt/4G827ltbPeMD8zd+x8L+CzmWD5sYYgx1sTt2/0JY
RSta4ZswZIfExZSJ3L4tHFW6X803afVO5nSaFVXURzCacYX1ZrFJc9e6itHZubNZcRyAKPteQmVM
9NOZQIjp0I3GHpdzh0MYPGdBRFuc4gj8pA3GJydkAFyL6kIGQLEbzeWzWAwcA2Gl7NxG7W5gcxSD
WJCcty7ij6jDMrMW4NUJl04PFMsEkCxFzrdu6VFMOCoru6DqsgBE7RSpkQf6BsxQtcBtLkfoNu0f
8EcKKO9whCiq/Ku30BEz0/4oSERcJcuwrhU7Txt673nvURXqf49zHm7z1sH4madTvQNzMAQeVmnZ
/yDcVk8ZisKiUrC3+ZSQZ1x+DBZwY0Fugx+jATLMYltGo7lObRzxQlzrd1NpvlLogVeB+KBi/sys
9mIAcsFh4F3LoH+6Ye21UV0dLzvGtfGzsrh9ShRemyqU38RIuRdiktenOLtZJryyLuogshAfWHbT
3igsMj1TggMYl6QrI62P9Ydlp+o0QZvCX0i+Sf6RCcEJ55vv+ONgSlDuQme4I/j4WGuSAC4W3AKB
e7Bb4z0qWOf6pTbHqIp/ItJ+GjKdmOzmGMkM2EKMw/xmhxKyBoa32dS3J6J9Xv/71iD+w4mCm7sr
TJQAMpC/W6lHAxwTx+iyg63fsj4NPH5GDRf8YfTn0kNBFONUDCMHOWalh3d6YFZpJh06M3vV9Pnf
8Hf/yvgO7IBDQrKOdJLU74boBPVObp0gBMtl9K0u0gfK56OGvvNJwUVUx1AzzqoJeRPUq8LH19Rs
vti+/JvP5j9s7jZpGnw6NoEDkER+47YOyTCGbolHSB/PxDoNrKphhcEk4mpknWuY4j9aWrVxkT/c
lvlLBOW80/iGq/lj8ClQES/lBtPsF5x2XywnVluQsHCd1PPfMHGDv9DkiYZmz4EhHwiy13/n4VJg
O4zBcWWas5RYNaboMCs25ojtkB/ioEkiGBEJuYsWjst2Ls1zjOfSyTOdFiUf8E2QXFSGwdpAkPgW
/oS3tjQalWC66tsObp8xiR5mBzGvGoK3VcdIcmtOBc1jWRmrGpO145TNr4VKq42J2+adVeDhG2bO
Bkuv4C2gF7LMJ6t9NrIc90aNiUdGwunTLgcrw9nFH4LtOAGs5V9q2WeHvCmHbT0kMfb747qHWfnq
FpilFsHVjRXBW8QGJ4q5hWFPuEXU7gnJOnG4DbpmS4hllwTGl7busCOGvssdbH5VOWRdwz5ozPFG
FS3B1PzAeIkZ4JqcEbEVP4wuG/KCjU0Qw42KUGJvCts4BqZ8QEpLiKI57F0bcy/tOEPsxUpVc7pr
3DbGHwwfvaCunwhlpTnN2K0K1c+HNkl+9vjn/ao+/l8a9XfSKAGR4U/7nM5P+rd0I/Kc2PU//i3c
iEuuf+mf4UZkEQmyFAWRipK0HJtK+p/hRub/4NUlAukgtUCE5UJ5/6csyv8fQbVJmCBxjCZQDX/w
X7IoN0CZ6WlRDNuXJ/8vsiihn+TPlT7qBdoNxyaMzidPx/w93aiZjbkHPBVnIxTPfdtUd+FCAExl
y101Bd9n7NlP5lDFlEy9ua2sZLlvGxWfg4VJhf5uEJV/KvLgEWckh1ze4mtTLdP59p2cc8B0NNY7
UUc/nML8WVrdY2UYziUG3Fovoib/BmTgZE1kozMOPkcIjvFyolEwNHNdyUIc7KZsnuZ5/IZPoHvG
Tu4J95fo3qJ7eMUZip57NruT5fmw4Kfins/6AYbY/FR6LqxOV4sKAxO35HYownOPLELCWL93LCaN
oYkTURQ9CnmTbqADxx4TEuAyUdn1zaFgSe/seDQ5HUWJyjHFwAov5W0yl+SuxCFzL892Hhc23rUX
ug9jaBnPRSqpXDvzcQYoIR3C4EU3P9wqmp69wpn2S5pjioK/B4k56j0yTThDA3uUl8px5RRuS3U7
n3srNlY5EA96XXN8LiIkv40fXPxhjqEpEvEe4g594PIx57LpzX01YqgadnLtiBT/Lme8r5kXtyX+
LqI3xmsFDlA7UflTicG7DFMXPPsLtkCWVe3HkYFJl6XmfWWFGGdoem0ywpePkm68uL377JpxuLeQ
cFLAi/K+rBBieYV7mXvFBpX4FyQJpzK2wfQl6HzF/35Nvc1oRO0Dg/dyEQYqi9SRG8uwuzXvjiFF
5D64C5clltGjP5ECVHjj0xKa3pOc+r1yrf4KjXveGjYMBHTm8hGq7X6UaXoX98Z7rhbsqnqSIELl
a4fQt4jU5TOxLdpEsH7CqWlaSw+TGIUxLrGq2O4Ax1tYbuPu6Fu4tKdWtnaUKR66YMbqe0zhkpUh
B4bNvV1Pf9Na/151EIfBOvN1vCqlh6Tw+E260w0QndulJR+JqhLFq8vBPV7sfq4oxxKcsIb4KO3k
uScU9Fgm3TcnTLtN7KTwFyKoHX/asB5+9fR/joeyxG8pN7/CQ4RuamlxXSIcfutrDaCc2hiqiICz
eDrmWZHuJCObdV5PlIqFczSBMliTXbb2B/e9EKbxGJII245i1QR2+6VKIW6GCPAxEfMfmpxwWzgo
0fvkTHg40dU5xfTN47qtOjuNXoIfwGtqg9WnOo8DgziBAnDliMzdl6kfbtNOEqE7Gms8vVddVcV3
zNI3Dfb9UE35xcjFqjoKYJlEVjcdbdiBK8ejcezlsNxjLnM3DsSCKoyYmxGaYlnfixwTtXiEG2Gi
3sYRJpqvjnns7bD4blBXbczQ8PauEd+1zpK+RJjoKRF7Zy/0/LVvjoDLmbCPjnDvMkNEd9S52dqq
IekOZK/cFS0MVmW8Y++pnvzW3srWfMusFDMFuzu5luE8LC0GRqGI1yCCmMOSbdKntfViruMqQ9GQ
ziaej9PTXFvpgW4HC4sUD2sHv18834vDOH0Wod2TLzG8itZlcScC3oBtELQaxFelhT+DhysRM6uL
m6YwIopvRdHjm4iB2pY0mH7DyPgjoB/H/WJx99kwfPFckFHVZ8j9pmZTF0F+NHosibyaCULcxxuj
6LAwXoqz06ElugWhtJk9PpYeMn2rPPKSqkOsqnbLgJj5MdbBkgyzy7wM1jZkWIgGrxkOqSdWlhj/
8ALSKpIU5kWPO6wQEe4OhafwxPAusUzxVCJ50ve6DoEMJiOY9R6FntQyt/hGRYoplAsWnUeuu3eY
AG/6fjHW0sjAKxkjQmpjjbTSOCwmrJ+OuPgxTlC8KAyyRwf9Iq0bYUBOUDDIwIpDMTrJA7j8PYN7
2gzHOTMXeOE93S9e+OyAjW9TB54jbtHXfMF/Lx9mcc2xVmBsidSfIHBq9h6kMXCSnRVC+xTW29go
SDqsjrWpQm/ntebaZQKxtqqgP8emeah8O7jIkFwLN8126QQxg+Bg71cAUyST+1YERHX4r79ymAKV
UhqHHzJQMPFxkG1xh9nTDRMuHT4bOpUiR8Z/59AvDkWQPeHrHLsQJcugCvbBPNYILFqxHgZ/3GNw
v63q7qXrxfzke8xFDE6AsDPUnQK5L525POKzN8Dkkc83Y37EkySb2Eecm34YBG3jqMb7xK/lhfbg
rZI4vBp2uQd+TbZNWlUXhWxWzGvRNfND7kBvUVl5reEJbkLLDLZhmbwRT4vizK1ZDsgHCdFR89aL
gSs6hTCqRopTaVFH3BUYcY1JudeSH+VTcfd+mDGizmLc8dgU5lY+Ry0VMmwflEf5IzUJJlTCpB1I
cHtRag62fle9RqP67tRDSxZM9JCCya56qDp7Td2ZmbjhzJS/g8qP3GvsPM3Svscmxv746Wqoun0b
y+C1GyRj1Rq3AkBQXIb051C18mxCkiQgrjyk+WLtZfjiDV+BS9K1FA+9aQSUQDNkhAHnHTznfSjo
/TaFIgO5JblUMeKsODfkfqqdH5ikOlf7R7FYFTVDsRmaCRcHgTVWwb0If0N2GADCF9ne0ihJDniI
3fYgSiyT7REYgz5mfdvj6sxhMWgTsc6zL/U89mfV0+vOqHRw6m1OztS+E9SeHgximXQqV2v275gp
Nht8JyHDNaW/Skdrnykw1kBJ+0jWEYiZoxhvuMu2ntCghVPJ1PxJQjLYDbhsrhjjX/up9Ha3FYnf
/DrGHvLqee2p7iioWrDuwwhrCQ/i+nHEAT1ylvZSqxo6W68amOWRCxex/1nAjLoWw7AT3mAcQqu+
hq3wHyDrBQ++r2AIRhPmxZOAk2EPF3ysGl7bKlx0r0iKcKIIJybCLXtylXF2dFZeHlHCVkl87INa
rT3YY6TAw+WgbH4Jc9s9lJAhYEB6FwAIuDHWxsOGb1NGpXUXKtgxiLSYy8QGAzI/PRY+6rsym+RO
Dd7nNLH+4j5bNo5PuMFY2j+xvU4PGcyKrSNmxvL4sexwy1o2VCXhOg1lecojH0f1IfojC7Lykaxv
vLOq6psZOumptYfHysuAR9hMrm0urXMyLAb0lF5c6B6OuUP8RU/ehugAyMoIgq3mEFblFXVKiq8r
wcskYHa5TsYhsejcOwiymHl9GMugcBBG+DIsXvTgRcEdIeIUZLnbXfQwB4C55zC6L+NZbeJOR42a
CIGawZGrRUc0lQVeppWor5MZN3e4POD6GU0fQ+9YGyjj3Xbse2uLYy10Vr+/uOxpO3+cUvRSBEuZ
GNTvOpgkGyLSOCAcnKWQl/DeDBajYzTyiPNNvjZScMEyZIhqpNOjUeHPevtuygwMNb062XPUMBHn
iH3Orfggl8U8NDp6tCxxwSuiecU9lgFQsJeLaD6mYHyPAG7SNDGk8sMvRQ01XY0Q4vvZvL9lxi0p
ZKhF+ohjmRmPyAW2raItGfGoXZeR86rad/Is+m2lN9hEb7VDlDKhx3iFoO0uOYpBfbWLJb5gGI1t
dC12U2dBPEy7bANXhCOe5IV1HD/1vf8TI6rqnFmGeOnghQwBVVNOSUvd0v4h0nrNoEZg4ixeeDnp
ocySn3Nk9uAH8mhnsU7QcIt9FDWvXS0g/Tm9xqLDfj810KNHfdkTuDlXOJBv2TTUG7YiEwAGfnhw
7YlO0XpNvEk/ExMxTRyrvcm9CvrJ5CyOYXNmHAaL+MGcHb6+3+wByLcGi4xFuOGFEpelP1yVIlXz
SuOJowuGsYC7aWJQNqqDg7HMppgRfrRx7h1lUHzz8qY9NwluenHzv5SdV2/jyBptfxEBksVieBWp
LNly6OQXoiNzzvz1d5UGuHfGfdCNiwMYnp45bVkii1/Ye6/yuW4znoAzeZNVMTTUnTVdGES9RCdm
1GDa8iByNgYZea9EmrU7doriA2airddOQUKe+A0HDRImcNm7WAlM7l+GUv9RkRu2M7WYBqyNlnPc
BxHcuXM6eJKnP5pSc2Wb1zetQn+EStcweocZX9K+Jy4cpa2sLv80kORlrc+oo5JE4noaqM3qZCVj
dcWHDG+PK6xk9bi0wlIi+vkQr6BCU9eMCLXpH/MWRWA9EWrOwJsczXpO/WIhso0B+0+ojJ6vwT7n
P0U1ZUexdSQ8gAUEUexeMtRf7lflnS84TvEl0+UjmYT1LW6UvHSW9c6U87eYDgn0TFvtqlY3UcNQ
edcWeei103wy6e5QEaTsejtZn6DfGD4wDusrr4yX19eMtqjpA2gexT4dF3Sj+UL+nmB0p47+3u0w
HAxqgWNmeM0nmza0DuJ5CnluQWarSrEGTkmeJoxudaWvB08rvpHp1MEuQchuc4K5x0XPmq3IKM1Z
sTwTkpgik8jPEbH/82DqJ6tNfiLO/EaLa7FUbZyDYdI3ECy8TRVWcW5TMhoxYhAHK7K3aSVjcyEJ
PjJ1h4cctzJ/bu/bHkeHHQ4GOkD0PY1k5hcBCR9H4zIO5jcS/I9aZHlkvJvmdqhxPbLYWdlO4Jlx
ABgEY2zhYtCpraQbJwEwPabRo4mEJHafQsuJePLgwuy6MbzIN3ym08NUGs9Mt0+agZQuD8topxMY
ksuq+igrss3CUseh3DoCOyGugnwrnqredg8LdKp9hUwDJQhbcY38DatV4I+GMT/lB88KcfruGLP+
kI9RHFgeKIQSWoAwh/WY6BTXoR19aQq3fcl686V3F6Q+xL9Fy+RcBG/WlgbfxC4fkbuk5FSQe9nG
W9YvPpXk1NSZEQCSiLFOHa3VmHbVwMbX7LrqKOPiaWjSj2QHksM+IiFPbXUXeDYyQoMDwCuab2HW
iYscsBB0lnM2MFk/9MSul+41n8ghJqpUkLujdRc2BNdqCLMzL+xrSDLvkyTiGDeg2mmaUgfmauM6
aqitI+vWVxmsvq6Nt7JRschFYn2kyn0BqTc6Znucy/6BGiADDz9hLu0eF0OQ007U+01nkGM4DfnU
CWOmuEQWw7VJ/59fZdHWgCThNxbefJaNJa9GRhzBvZorzRBVWRpd89DRd9Kmc8DB1m96avdtoYtk
f4f5kSPmT6kL41h9WZNtixr9EaaLvm1TE9VyX/muU+kHu6SpTc3pR2ZyJ+G8JgGT2mqWsfY8KTLp
xOZw36mxW1Krwdfq5dQKDG+8lsE4Bc8RJ8V4bisLmoObVZxTdnxO5jQ5379rjIJYuSQ/kXttK+us
hsa7ai5UaK7CGDwmiZ4+M58sH9mY0aFxEPhRinfA5M/wLAxfBZSIG/dKdpuRWARioHmszWznoEaB
fDKFlxDYrrkZjZlaFLTSmVI/O5foHn1i4Dvf0Nfw1BIK5E8YphWVIf2+2qlVI+8rnhmAGgdjGYyt
2WsR6xQ/aVAIW2X4JRx6LMWxurNK2wusIXVPg6SNGJ1m9q3W1F6nrPxEpTsgcCL0cVOgluWS9HOv
CrekDiyPRrG2ygmVIFRqinPG7CESCGm1iiTvXGTC12EJIUw2zm5sFo+TGnppMzF/M2CRobSjfTJE
QOdQiZxw1qIvTfT4lVN6vSxV9IPApsR50RvHeYkb9nyaUaLyW2Trt05/RzalT9WS+YkpxjMiOToV
MlDdBQoMerw3xKwxDzPYH7U9EsOfFOZtcMOXkY4dAZ+XHsggwIgwVxq50u7x/kunIttVEQrApTWv
WLeM6/1a6Q3jSDeMMdyEG4d1eHMfQtamnZ1XRhmBFZo/QhtWE3VyfmjC8XENtwvYuxvd1yYCPHYy
UjLoEkDE1MtOGjAMpAzu9GvcfFgdKEst04Brq9nPIZEMfiONjVVp+s5oPOvSXPv+Z7rG1SWZOJZA
VmPb1kwevG2R7ltKLyI6E+dcybAlOuI4SC+6EuiwYUqYXRwzxTznwnhQDI8gcpHU1BG/kpGQvO9V
fFKd271iWmaPMWdE2rbrA4JBbM6ksl5ZiYW+ZTbJg9ZhMstRgV+FntaBTu5AQEZGYW0SZL3rGD4X
7JYumWW1h5wDnactGQfxavwsydU+d1OeQyCnTcpHQ9uHgwjK1CvO+dyHjF0X0nbZIhOezRerMvv9
Ok0vcjSd8zgRmDgW83C4FyAumfFr1BZkGs+oL42eH74aBEjLyO9KPQ+UA35PlSKK1AjQwPysvfJ5
dprzVGpCpbF+jQTbvITZ+NbkCbXzehf2ZHToGHpsrFG4R00y+yHIx+HqHsFqCtjGYfqAAa0jbKL5
0NaEHxmT96EsriaqX3RgKYGppUGaq4ZRc9acA48MwjUXTtAm69zb2qsU1tF9Ghys2R7JKRcP8oJ0
E3Fu2vqxjWV1npvus6gN7m9vut7XyXfHqbSIGZXVa1hku3sjWXVQcRmrf+5dBjpdR3NLLDHKSEIj
o4xfvwOMQlRt9TXp1p8V7kG4SJ+0GfEoMVRHIRL4inqzW3CLbIp8Xv00tdf9WoHlWXKSHleV04jK
/x4uIebxWGu6uFTa+NQTM30lw/ZznGgTlaf39Y5DLwisVaX0XI7YnZKCjUK6be0wCHnKn0r4FBMz
hZRenfhY5k0hF20R2T4tL8M8VjU7Dhq05BzjpFr1GKkT1veONJs9fZy5c9HFBySrbwcq5Q8pwj5k
lPHGroQOuBIJbVeXrPPrSt/eP39KN/IetdXzbav+pI19uScvhlYoH9MdgnXqZvERYUn/uBQ5dBeD
j8MBYhxF5mXNWS8QrQ3jL+/EdSndnTGQyK15pUVTwSCzzSQzE1y6iBCwofGsfGT3O2VEMvE+kmbe
6vMNakpQa22NGwDCZ2EvvybTbq7g9jbd4FY7EqYdXAwo92J9kqeC4BzLLUCKYaUP4omDsB0I8iyF
u1F5mIEmS7wg7mj7Y8igsk7Eqz3Rzsy1QxirFsdgMECkEAmA6ybe0yZMWOMRs8ksbQ8JMC5Wmeip
vfHUhSXvQsQUk0onOW2FoUfHaRSf3UxfH1rLfi6LrGWeF32UsZR8tB4OZo3pXo+Qmgyj8EeG/YB+
WIn0C2iEqIj8OwE6LBlzbRi2a36WOjx3bcZLLpPhX05pNBctj7SXgeWOXSF0vw9ThrD5zNrjuZ6z
cbuOkJxQrm1IMcCjZJfpqfiI09E6RrxLG9FSWll29UO0yWlZ8EoPgu6i1DTnJJu+CIyY/DbEr2oK
ilw0CpGlVcZtabwY3xT5olQzaHO7FW4PYxvbYr7D/H0gqQLU01BP5Vaz37IJEXVXce6gjgaxNjW7
qJYnKi9rl4fpuNWJcsZvjjc8Naxyiz4dKdzXGP7gm9fL14qTYy1ZRKXhVZAfQF5MFOCawGSbNR5t
plF/cU1C8x2vnLYlcVPBCFp7k5ivfW14x8jqk/M8oNgIpxUAcBF/nhlnJUxB75N7wXXtWE3zIPrk
mVzfLPDW4lb1tLkeSfp+nITex9FzH9pspXcIyREY20k7D1UHOU61poPgDHdSqi03RSZo5hNmevZf
UfQpTTr74OiwjFysVhd3JVUGTzYxoZYIT2R6XVDr0VQibnlBXuNuRCMwuodRvbHFEL90iwUZZPKq
rTTq+uyoL4iDr0jxSf1XRUtszk9O1Wk7L0dtToyw3xsuDnI37PESG13K63abc0qkhZoJYPny7Owo
+UfNM4uLp76UtvbRripn07dxRArvpD9UjbcbYo7qvkddbmQxfIlfZPoJ0GDjG6EqLtMMi+6pcdbt
1JvgTiBYnBmT3kLQPydQlA1AIATcSx2d1tR+0zWQKRVhsUwP5vCpm5JPPP+/VU3vvWScXOxLgHMB
la6gbRJuz9Qmf0Ul4GvYmPw1LdX4yDP3NXvTTS14oa0zik/x2n+HRItKbOqMk5naUWDhZd7P2TBt
vbmEBjZAee2Njue4XWwh3TZBOlfF66oXp8Z0i2Ov4efr54H9b8iKNasr+YES6DDio9lO8My2a67D
oR3g4pjAZPibhT+QZfzagSQtUo+1AR6xA+om99anxVtbQ2hydfO1sX50ro5WL3L025oSUTwl+a4x
kwKhhqh8a2IKJtb+gy3LcCfammGHMYmzYVYfdJfL2RMrG80hdDGjrp/zxibXWH6GjWfzSJ1q1rWF
3BrTjJl6oUDxxmJfsAw86QhvUuaawiTNo+pZR7KlvayedYts3uo81+dPSE5/hdlKO8jU7eKO807n
KP1c1uZzlDK7ycqa0OeJBwsfkbZP6qS7jcjjGR9cuDuMKxSmIQjDPtsRLdQc18QdwOqR3FLG7vMc
ebbvjXq0Q54N9nNG2ApE57PWLzhoUR4GRg7krO6Edhpzh/hudUp6PRWmXSbubg6b+kuNjpKku3UK
7v+WZyZ7UfgdqVVebK3Kgorlo1+v9BPWsCGid3kcCpq0dKj2jVxuxM+MR1Tj5nVELUlQ+3TjPkz2
3OpEX+FAIIR0+BDGXxttQaRkhBaCQoYm9ETI7ZmwXi25MKf2qOWJn8dZRWbAJ1n9WOIoZddWMQQP
rYkzoonP0QBcOU2L+TxPdIxa4z7RvjGEZQW4Qszc2sVqXUvo7jlCMsTqKcBjy9GBZbTFZUGWxMoG
4VCyphQkCro0kZkPc/CXCajrvtbOQMYRTjy8hn3SvrjTJ/S2Nxu3/Abw/Bosifud6G+m38nqbtAu
9S8zds4zw5wbnNEf01D2z5HAaQzOS1oNAnCF+BphfeFSsoMW+ldp6q92ZMNz0b1sF8wWgsfF0xp/
iRaYt7N4JBlo1yukGDSax1QOLxassVRBx/B7I+vnMrfhkYVw8YIYADMrYVqJBmpZBb2sVxizAZ6Z
oR0Q2jlkVnP7xADP6G8S3jbsIgqG5t6xaNOhDccnR+HSyIPglYzFD0MHpZZS7rBKsRVizVCwNQPq
Wq/wayzfQf4qJFuh4GzEnYFpU8A2GhKFb9NqQG4GO/Kd4mrU0tvYsN70gpDSOLa96/27CBBcpohw
JChAgxOKE4e+4/MEOG5SBDmpWHLQeiJW+3y5f3f/oq3Q50aYbaXi0UWKTDeDqGvusLpOcetqYDFd
BZSjuv/ZoP5sUqS7XjHv2LaiI7QVefaOxBNU4A/3L2jaot2AHmdz/8dQ8fRaRdZzFIVPVxQ+Sv/1
GEXFDTN8+vD//vz+naETerOOrY19YEfyE+OUQXH9pF1dLEX6m0D+8SDniG2gAFJDwtFQZMBUMQL5
+x3AWgPCaEUQbMgDZsYCVRC76JtJCDaiIoCDOtryUTEILUUjNBWX0FAZgbpiFZJTjJdL8QszRTIc
QRoauvdsK8bhomiHJidC2DPvYxZ/K3hnfY1DsAORmChWogjtt4nOa1NXyQdCNH+VU/JRIOSj8z8x
T+5ZSiw0zw2jnH4RyJYTxu+tBeyL1UqhmMOAG52qYD09/SjLLzZYR4Pl36A4j1OzN8E+puAfczCQ
ieJBtpF98RQhkt6Oqk1RI2PwkZ3imElnQAHepPCluM4MujjHQ/GHC2BRFMpYxn6V6V+Jueo28dtg
fHMUsxKlMA7F2YEyo7O1UWRLD8SlgBjoWyMRS+WQk4CaQsL0UtPYzOPBsmBkWoqWadlfVuCZi+Ni
6zMKJBWu85QD2ORR3D5IkJu0rSgxSWlhtmYpJucInDNUlM5BTaJjOTyFjMR9xO1YZPPhQTvMivAp
FOuzcKgPUopG/GLM8QCCOjF/IRqGLyWuE10xQwk52PLQ8BkdSxJs+Dv1XHWFcEYVcbSEPDpKQr4U
i3RUVFIttEk62vI6ZCCMbAb7RTbNt2z2CpwOsSqkIZx6BqzTCegpliq2VtTDBTRUEyyqyT6PJkf8
WAGmUuetqN7li1djv16THzPQLUVYHVpYq0TjJBurdr6DRrGwU0BkjV2k7SBaKwCE7I4hgil6q57N
zc5uw7MpiO4bIpozy1185DcLfnL56rIm8sDj7SwMqb4DItbLiBqFGDsrdmyiKLLMjpOA+LlDoQiz
AtSsjSndXxR9Vh/6E//1yzRi3SJb92ymELK6smvpu6yXGJvxxrA7fQtyjREokUoAlj6ZIG9nxb7l
2fFTAsOlbN+ZmU6cIZhcTniG8fEO0SyfgCLpFiB1zVY2u2IFSIBodS8058lz4O8misQ7Ev0ZjVG9
pc/E0ChuQ8v0UdF7heL46rJHeJX8dFQojCL9sqwk5hP47+BBAe5DeMAhYGATQDDuSF/YEIPJ7nJ3
PRBhlpJfFPq2fhSzxgWO9NmvSEDb6j0L+kGDlaCeMRVjlBpCMX4pqnpFLQ6RRGwHQMazIhrHoI3p
OQFWAjteRqjHdC7wj0vwUBqGmGlJbx3Rojz/pOHXjecFTNB44Jgqt1Z07YttUjZ3465M4S2PgJcz
HQJzqVjMK1DmgqDPdoLSTFcOwl2RmyOnuRBvRXQAyXW4sBNAJ37R2EaApg5WbTfA16h9IqSfKhf8
dEiKg79q+DcS1jrLoFkchCW7spL5lmeIB9ahWPmMFScNauzN5OnfelDUiWJSY7DJWQjjRdNquPGV
8Iuaof1KXrxfhB/gqRzygllKSxBlwML9BR9SuSEup7K+F1HOdmX5irLpK8yWZeMobnaMoIZIBXs3
hfpbszDyYYKxaYBtk18Wb5zXYoDBvSKoV0xux+mvVcGqNrQZxBENi1mpCqSqN61J9sfEHnGSUsTr
7pTtx/qtRfLiTz1JS83avSyKDS4AXlSKFi4VN9wGIG4BEqex+5Sm2TcjJkhCchiX7bL1kineY0F6
XeZzI8IvJidRQKbJTEyL9awzro9dhsuWS+ebZJ9xlwCFq83vdRV9VCmNqYflKs1mCvVqfSu84qcz
dvW+rgizdY9R3X4pbADqRD6xalihZhJWw3CIYQS09aEAuz5q481QIPZUIdl1PotCQdpzaO00HxVp
ffYP1AFvkQK625Ddx9X7Sc6BsW1gvk8K/v5nedpd+/4vJ5oJTcAR/O9uexI4i/4rl2uqQrhpXocn
/NgBwXefarvGBlEivYqnSOzBppaMJRStZgi3WY4NL9OuGY1+gE042VqERCCWBDgXUR395cW9y/i/
vzgp0fXaiHwdy3sXgm2Fa+zE7BJOeNTAX6rxl+0l/c6JrS0jeub5uXf1xJCoiRYZD27sgLTyC5vF
rAZ3nLyskBalMC49BPG9uTz/5QUqn977d892eHm4CzgK9XfSPrjtBHUCnj9ZtHkRphqqiRKh+5oQ
0MkLJ9BmgtoYsnG8R5Xmto8fsHr488v4TWPMZ+joOvZQxMZEk7/7DA2shFqE9PCEmoYlxZoRLgnx
vZBvlU3RmasPsyYDM6zy/C/yRvVX//cNwIrm8sm4QjcQS79TWzaR59Sog0laUCvpjnVhmiTuVk54
eFYVzhrZyPE7h+y0P//Opvrs3/1kQ3J+cuXqtiXdd/HwhlulVZkXkhVU0jwi+zr1kxZ4YWcc+ijZ
L5NKr+3m13J1f5GV2waudcPMT7VXYB9U1r1izrNgwX5waUvybBA6nPO0Ha9SVl8LmyIercPf5Knv
XWVc0rxTru46prC4ZN7LU5eCkY9HZUyebMt8RVtPkxrTVCwdgkxY402AVUeacUCgZ5HU4YfmmpML
ywo9bMZlhyoxnczqQrrj2dFIIG2HDiym2T7Vfd2fB4IMhhb9niO0PXtjROTrj2JyyQPuUhYOrCY2
BYKLCwZ2tHKO7TOKBiLXpWCOsuJK4W28/vmT+v3qdKVNQ+bqjmOyZHz3QVWl1ei80/ZpYG686biB
Nzpwt2YcPneCSjBpGQAbTvqptTN99+efrS6/dxcJ9j1DwsNh94kkmH//rxx/eLET6vfOPhlkL5Xr
3O0QaeJGccLAUWPTP/+0348rVzqe4UppYzf6zYNl98JsUEvap8TUfk5V/QGN9z9mscwoyMoKf/75
55nqeHn/63mW0PFEcVkxE/jvr5c1RcPko5In6JXONtFSImsh+XSg6apBDTvUiiCpGPtH2nNdtyUy
L8HTtnIZAqr1aEOC9FFE9fNdNFrUXuqXgq5qwnpUSWsHkNFf+0g+Rl1zoob2/nJ8mL8foK4tOb54
wyzBd+8+IMLQwmXKbesUp5pDYjzj+7Rrb8bgRqfZ8eaDYWifBYsw2+PlIqgCXFjMzNiUHHFyUYjU
xPiEQ7LJrcVjnWFfid3+aCZ19LqWH0LZrPs/v+n/43L2TMAhBm87z/v377lnkhWx1tI8MWpgwC/Z
dkh4zwcUgEcjrIygVIwKRuFRoZ///KON/3HmcSU7tmAADavj/fPQYXjLzy7M0z2ytCkBORsuyp2R
tAsDKCq5GeNyNXq3xvfes+tSmtp21ucNGr/xL1f7e7+2OsowyFhgVXWJ6VCoV/uvm2vUE6IDPds4
5TaAjrt6aFWanxvXX7xf6w905dxw1Ieao1V/ubPvRrj/XvseLh2JoM5hYfP7saKSMvUy1k+1rn9h
JlijHBHLZ+nuC5E/rwkraCELRqChWuHoKZHDuXL8x/abk5DUkWvGt9ZwDutQycdRnJjckxMCmLRd
VcgHqUu7hMXl42wZN6Ljk30dWqcIiOWZPJPxJEGnDeao73tZwvqKWbnVaGofoiTaCuYsGwwjcleQ
94bm1iY/vcq9ILWK51H0h6HxyjNLCeUjlYtJSh0n2MHC2kYuHc5eOyY2Lu8o073W4FlmlG+pHj0T
29ztSESwjpMRHiKyELhQgsSJ5kuUmvZ+UgbTqNZIdxqXt3kSB40Y30krsudWxYxS1F66EeQrekyW
nR0dVTroK5EBo3spnfylj7Lb0MUG3Vlp/OVy+R8PbDzStKxwd0waiPth9q/LpSQHLVm0UJ6ACLvn
NZN7lAbf0rhzn8ZeP7sRMoxsQTNAnjtedtmroPXXYQ7lUV9blsuMYKMGXbE55HtSbpkToGVkWVK3
x6GRH4i0IKdjWM2/vHD5+x0PJItTFjur5wr3vSUzykdkK9SAp7tMVKIxWbXl1xBF8ltRtG8u8O88
l84VgGiI9SlnJw3+svcsoqlqHqdIaAjKZJGH8uESEv7M9FmgHmxn8sk1ccwijJd2+jFiW7Ud2fLt
MTtjOarZNQBWLQzvs0hJOdoYWmGRTMYm30amfjLm+navrHr6/ktxwzHFwejN5jY34aHiPp+IqRZP
s8YuJG+/t/hHz8Gcw5Ig7HU4NLW+aaeFyLY3FyQ4OuNEBOiw+P2o7gXv8GMRziQ84wY7VD06L2lO
X/5ypL3zu3KIELYgccdxoHIT3727/7oq9KaL19HlEZa7B49hz0Pn9M0WORv+Ik8lEPT4Ng2dlWBW
WRVpXY7hzzGiiMyDEtNmfznd3/uoTQhNvPuWgYWIs816/3qapGNx2S4rcehyOjodkgrH2c6V3j4k
4MDt/inry8p3anSPxEztYnjFQemweCOdubsMiRH/pdL9/dTnJeFqEji7PZ6W7wsodzXRZDM8PJlx
IpCZkmXIvCIEW0CiAsGls4m8zrH15cq8fznaOR57fTTPBG2IvzGsfqv31WtBa2zoQhWv8t2ZX+DO
IcBXXyB5GiqLR5bHrm/2CWtAAmr40ELTRPrK3jPobc0InIHXpk31Y5TlJJk1xY29fsj/Z7CChm6X
ZjJJz+u8vv3luvr96WRTUKimBHMTDcL71ozk3GS2a2c6aS3JlHgn9WMR6RfUseRUsnY8MIAlUBHN
/2MYegfN2zcVt7aXFPFFS57FigllcuSHOGrbIzGGw6Zt3eKSL9M13s0IfZ/rZi6UefyB4N/6hROi
OLOxxHA01Vtz4Biusq4OFitrt2vlfQnL/ic8JVCMiwh3mg5QHilu6QVxiSBcphbDRSWsjpuQ7AdX
oiy0u71AqW91jjzKBsJmuxTOtjebDvRGVJ1lzGgbZdqO8FtnP3Rkr46GUx4YFgjkQTapgFWZBAAG
lkfu6ZKp5HRiNhoibwS/URGyd54Fa+H7l7pf+t24VNb+3oBULPRQv4r+suKWxB1S2o8rAYXBuC0G
x/xgLJTzaRZ9ICbiS97R4kZJvtWs3jji4PzV6uhBRrG6ZDO01ygmU9YeBu/xfoimDA3Puju+LM3w
Ra9WvBHadkJpdUkM7bkzieWPZrQUjhVdo/oTC/8Uz4HnnWxSpu6ddBK2v+YSBXvqwXaqeRL45RoZ
D0ae8IwrwkNnyfkvNcfvF7806PTxG3tSkMOiuo1/nVVJiUMGNVd3SjJBt0b0nKqh62nr4gHekYjO
XmT5/7/7pcFtbzmQHblh39ebfaSb/TjH7cnNCAzRKuuaD6N3TrUyJ/3QToLVFfseTi8xWO6lwMzz
j15BDrZ7+fNNZb5rcEgjoNQyeRJiBpP6b/dUifXDaFppsZrWXqG4lhduIh7BkoEtst899g3raMfh
VbOGJVB+jRWb/pH8Re8jMOJd3E6sytzpmiTlNwoRBscm0AOEjrNWUDt5rPLX+Emw/lO0+wEAGFFV
Wbet5tn820kPwPG/7ZPF72IL2xb8LkQuUMH+9/O0cjaVFqLtUzw3SeBqsXFaCxDX4MyZa9//Gcui
cbp/l5W539VLcpyccD2l8A8Yfatv3RDJ0yZ3i3y3CO3jPGfr6f4loYpH4j5TeLaS1CL+XMLEYvtU
URk0/Xoy54yFQt8TA4UUfdAbEWQZBorHYSEoY2WZktrilMiUwJa4nv/vtzrKFI0IMKgQlTilsbts
pd39KrxFIwFynXm+d4MPeyuUhCFWMVCCEdlSLooDpOBDqtXstVMrPOXItUO35teeifDv1bcLZiEW
EqdSfbl/B2KahlIvdb7iTqZYFfpTKXvMMm36QmwxbukQ+hm9aH6YbWtvujoymzl+aQYeWpxiKOaa
16IvEBprPAVic9078Ye4iOTeabCzsUtAL67ZycZs49e7M/Mf+xV6QSx3QA7kjB9oWFjL1LnV3Igy
N8hRCUVBhqJFFF/fQjgS2LSItqgigsSIRZ3RkpgsN55TYzRey3gIOrQs2znMWBXkLFiNxWrPHp6g
fc4p7S+F616cAkTMJEnxt4jiUefoMtU3KyWnrY5I9sutPj70GMXur5Id+LVk934kgi7xdaeULz3p
lIGXcTXQvrCZRyIU2FBrLpqohkuK+InmokZybxJS0/bMmvpyvIVho7+mke7tI7TDreWFL3j+/azh
HtK1RvBc6motiInfQe1nXSMybR+bFMFsRQ6yT9KKfbzbdXhsaZtoYnWltSNiCjBgmPSwy+PWOnAN
RgSMxYhXhVbu47mlX+hopz0ZARDuvuOdPZD9bLxOFgnhWRNpeEAZyS+VLEBTGkrtJC8yQ3lGel+8
Jyoy3ePcArnR0z95DVliWWi/Ihgztynqmn1V4IfMCMPv3URj/xN9ZEb0iNWKMZRhHdw8No5mYR0i
mn006qu5Jaj6tCSTz+ojKxvjc1nIj3DUP7tdhLB0iPGV4oo/mkO70yCvHURkYOUjttXWsfjXMa6+
djQ/IZyldi5zazu1VnKAET7xQ9OhnW+8zE1vY4//Z0KpZ8gO3ZakUVTqGMme78bURcly58Z7NdF3
sYRhlikp/S7lPDxWBqFIpQYjwp2QV0FF/IQSttmPLpfR3V0corC9AS/H+JLYyfc2/qpHq733OiPf
TzH6vkXPSVwnGhtbK+06LgOu19V8WlHGvE5oxAnKz2PESfxj3gxXjDwGp61uoxthuuAMBBuvxObf
kpaqX4wkdsGFSA9do188qZUHMeJ7Jo8KzR6Gv60FDAAXdiie0Qvw49eWvM3cCXQCM1N4Db5luwpP
jfjEzVh5VkcLFPkLyQyRX7fNwPLEyn2xsmEtc6U/wnoLdQUaGpZTBAT5wYoqD9FQpB69S4TYVkcC
2cYXhiUxOY+cQp3ODVGKQdu1IuuCnjCEYGSBdbVN8oLJDTx7JP5euRRGXoBAoYez4Dztl+wnQKTo
jLavvuhJopQpGE5yhJUXD2CiMfUXRr35lgGk5zdOKnYQyRw/16ro6I4dVaYdNa/UtX7lltYTFROW
Fa+7lv1gPHhCS/FEPGPcKTaYoThjuo5U5LH3GKhY83Tm94+JxyFkS3fnWyrL5YaCKuYKIBd6cpqd
tGL3pkWd8VhzMzW0s36EGPOU4INXA9zpNDbaJSVzMIxYkg3656qemcmV02tmeiFPymUJ+jp6REDs
vmTZdx4MbFg74RL5S9dDJ9lEJrZNxLzWvsdkMYYg3tObNxsdzBhp7PRmITc8LvPTnEfnYj4RAuRg
Lem/kmHT7pNCRH5UZ2R0I0s6V5X7TLYrCcDe13iIjh4+mVPmIYJbEL/vEtbaGzs3iERsR5U1/WHo
hD/jtjonqMkP41if2DKmZ03yiGs9GeIBqdE1OhZlZc2R8qxl0a4mNRzgrfdY9UCl5lZv92GWPlkl
o76+5sav6tIKNB1P2oDC/EjuvX6MluIDj3wOKjSqvNsKi+R1A4Yk9G0+NbGHBWkeg5xl8D4aIKmR
03XfpqY1KiLL7c41HtxkQ2Cr1kDzZXr14KXiVxbZwSLAuaALwCUtZ7lNUE2VEftuhLPVeSkol5sw
sEvrLWwWc0MagrnrXUndnGePqO75GFKIRB1JD2yAJ5xf2j7KMQrgFlsfWEkyaCMzKYAq6u1ibMtb
XDHFPlwbvBIe2amtfjUHXTzQtqBVI5/mcWoFTn5krWiTSN6He1nt574NADK4FwR0w7aSVbxDuqVD
ieOt73PIBU02H6Vo8Jyrv5qlcOIbKq0F6Q5Rac78ck90czhCXc6gl8aMUiLjhhnxxM2SQr40HJUF
IJrbulTlfhr7yV9bG8PJmGHxCQcXpKJubHknSbZ1JF5KkAZYRpILIXao8laSBXXvo509wKh0vtjk
bXSEVeLXqqxNOk/jCyo1/679rbKENUssvxaOjaowzeOjp/XbJtSsa1Fay7Yd2xst5Q8zaQ4uIZdH
Qw8sSikao/kHcg7ch0X3RK4X4IfKkAdrICY1ix5MZtyPZrcAo6nDII/yi9np3sFsC91fBVJbsioB
vEWTsadE2w7Jah86zBMbh9Elszi6jhjgk70wZui7kUA93T4WWUOQXGO93NcyQy+yo621cNPS8k3o
KDj60b6AEzxbSmw9R+h28uzyf9g7s924tXU7v0qQe66wb4IkFyyyepVKUlm2fENYtsy+m5PkJPn0
+Ure+5ydFSAHuT9YgGDJy2pKJOffjPGNtrDFwSxH1slJitF6GmyEeWreW3wVo+7UCbrWLk8z4+xM
7mn1q1/9UASXBFmQxYBnN6zi2s9WyY+RLOTVruMxN5IoW0/NEnQX9GVIiu1OO7B5BvKiC3h9vBw5
kAZGQRAEluK5JTz0wcE+YSyGf+6FG/kkG8HtUz8+neVDjsaor7NYrPJMjJ9PQioEmWAgR/m+DBk6
SwvHqYz63jCiGWlrPIPlpeAIzJh9PppWXRHx2WWRXxtPHdORYvypO9seMYItEvID0ZSEWQJz0NEx
3NsN1nu3w/qu7hZGHKL4hIXFoi57R1o877vBuqJobaKlEB0igDE50uShk8cavTF6X4ANHrtdbjo/
8sSyHpxV3o1KxcHUq2/JrOwt+1AjzGo89x5en1xvhpPw3Jeg6jalXWjH5J4q6rZ0oGWnXhpL6qfR
TiOWqMtmWOyGYbHcG9h+TUrzZ2Z7t3ox9VO1oldRSXmAAuuw3p6mGEJZdkFOslUr9mYAJd7ZGAeM
J2rKj8wfDbL4ePoyFqxpmJ2rq+WvPMbFUTE8eiQ0mBvQbQ+Wn/EAGcrLuDrBI6MTN0dAmbMRRGDJ
2q+X03emf92T+/QJOElLb75+1qGIprdVYGVn6n2LxziSbq0fRKxx5wOKW0FWeymawpGLcyV9zx7G
AyIPGaWWPz1pgTro+JofhlGTKOEdKEOOSyJf5j0Wui12Wk0iVLIivINZgFBF5u/eVK6HWY04VoP6
WRglB1qtvehA2naFJQMe98AkV0dhBs+TQzD33XNDYp9lkL/IyZnuk46vNU/l18mSL31NiLWhkmem
ReihutJ8nDBZMx4CMLMUEjFf6dd7WdK14G3Cmjetp1zq66M5Ah4gN0z7vljVI06k0dW830kGHRlt
1Q/6YS0S5nDOBdvRfmUKOpTGQZQN9Y3NtVHdTVU4wGSH6WhypTpb+EP3bu+/QwcwcY6d+oEt2Zos
9bFs+y62ncDCuAHd6Y8IWAInQDzKOhVzUQiLUx3h+HzpHTPOgo6MK3jphzzzZ1YB45Nv1d4PxQ0W
rNiCxko2xxRx5HN3DyDkaXLIUx/78TwWGNST+5lBqzXX2bGwv7m9Rj3YSCTJneyMaECydpRdnx+y
ermm/dpubXtNvrkZapvZDVVbTNd0IkfEKaR18VZOZYH0e8kz85pY9mPggLUzlFWdyWmH2lEFNxis
pxx538PY28wvFvHkyE4+TROKyKlb4aHTP3xetwpN+EYJGC5yRPk7etb8PCthXIrRCl45fYLYWdDD
Y/TZLh1Aggl9bCS8UUSBWg6rRp9Hh/1qB8o+abWOwVI3mx2/ma+EMDrs6O7YzgLgf4A6tBF1+nRH
ynSQbsOlnG0ATdb8Ug9AC1Q5EfqDsZuxof9S+W/J6gBAMYIXBX7lD1eE21ps5EpE0Oe6YDSxPXG1
YV5sE9aIDeAWad8RpaUIGZyhuWrmQ60PnJPCBlEzga2+Z9q2I/VA1ZNZ5VflugvugFzSXu0zR80C
H8JEgNQ1vxllBDFbFYC2oia8ypwJajBwRSSzY20LRHoP5LdsEfOUp5pl02HwhrM5Z/1xZsniO+LK
p0P8WyxImMuy2w0BUo1ZH7SdWJZh1yb6S8MO4LQwkP4cb60y+9lM7HADnK9hPSbFGYs1j2bTvbGC
v6lmuQgNV5dNBbc0ssDxCNdZkxmQQ4HX09gRlSBJvIGJIAsHLDAenF5WMk7urias+vKx6ye5a9IA
n5XhkyYxTDv81f7WZPgV5aP8YQ6jBZJsWtkmoNwJp/T+DGsW7YuOfDl16AzcRY8q37ywLJvfKgcL
yrKtq8qltCWbIlHI29OOpDC7kRc1DOUR7vKxHqr25BN7kQ49mNx0xtFhswVrLfZhn4ikAf1sjGyL
WLSSlBNGUBeYONvGkeLJKigkk0K8L1mwUGqjyyJ1FsJljffTZO/i5jNRyiwYTlM6WMc6dxiYtc54
pBzOz05NateaPsx9praYAIJQsCpBAg7mxGXJ6mS8hg3w6A1zC+xmszqMnnD3eTJfUgSX+9k0f3ti
cR5q3T8vPr4IaeNJ6ZdC7TNkmZGuWd9tFMexS0dB0zStm4nXb++JV+XzaDAtjvVRqedPEBS1kc6N
H4QGZLZPzARSc+OSLHk49Zl40JzxRsgWoJ5BQPr0XeKremKwptSoSJTaJqqdz8qZjz49xLEDATai
rItR/JZQtVxx8grz0VC+fKY/5/K8G2Tr/DL59dEvA/sRX+6pHasZ0a2dXpnf38N8+9hLUz0aPGSV
i5b1Z9F3RJKK/tEgUO7ruEVTHnZ6Kh4lQnRAqRtvWiV5DM4pnTJ+8+AhtonTfleC//HTeugo2Krz
2DyWWIUiI0V92eOqCEt/eO1H6zZhQ8ZmtAA7sTdekYAJg0G04cn/XmsZHrTK7B8UXxMmt/OqtcF3
apWwt/1qh62WMpehxq4SDQaaqnjoJfz0e5cpmuXPoLTqXOvQAF6WBqvX1eHs0u9TS6JBL72ZUfCO
1UtifRjAuLCHkz7rr86eRDrzq5/8gKL4ns54ZmxPJXFmkrVVGbT9s2n5MTZLI0rkkG5xtu1T3DHl
asnYnmDHZEH2gHPwF4RprBsMBkLX6B0y1nAEIZjGrWbeSouRmGGM7q+VDMvv2mqlD23W0O34xi0g
s1ym7ps1OdOjmVcHoXvVqejr51TQeNmWDfclmZ/IdtdQYGkk4hJssZF55x/ywTzJMV1iqSznx2Tk
TqwtzsEtG+uRXvTMJd+6cj6gRjEjjbif8LOCa3m6GjnbixzVMT9SEFUuEEZvatCUDOlu1b3fmcE8
ClcmRu8RWYBauFdJbtpkHv1rq3jsBNL6JrnWwyxdhoO1TjPOKq2JA32JeUzk23xQJ3NhBToZ/eUP
CPIuIAP+NEdFohO4bDGVmAu7ijyHyXtCkuE0jeiMmxY7C0k0el28BERkQtZBOIjad+f3pAyjf+s2
lpYQy54nLoaZ4gHXGGF6ydqA3sEitK7zh+cC51v1ImAiOGd3r+D9gS5/dUUu9rBEsJ5P67u2g8uD
4ye4KHNUR1eZajNb2RR94rugCsBOmpHtp+bQHZXJsPZTNMmiuDy6DC/D0gHo4qTzzvYEU1jaOr/p
5M5WlN1BRTvFEeRO6HkbjOXhMJWxmbbNcRrKH+Pg5g+U8n0oXIuzi7rpkLXDkxoC62BJjyNl0T+H
pkzy7h/TxXI2aiONLKeZtqma3pQthq0aqoawMdIG4biLOPAVjd58t6gMCqFNJvX954k/DpAk2nba
Crqt3sIXxjWJDRWo3VzV6psrzUNu43r29AsmWt2ZCa8iko9HBHgxrBrATecrEk8v9ASbUl3E82iS
VMhDlkhPeVp1/Wn1S+OiBIAQ8gtxbCvFvUMj6t+bnWpI3oWCmuCLkau5B7LhO7IN9UAVRxv012b1
3V11XybqePNooxRy+rbfsT+xDh32oHCFmLFPVoxVRtJ/5+8wv5hjPOS5cZaqv5hqdg/aggGcWfo1
OLaPG4gtLtMiElIVTpdDUeoykkZH4qUrX7rKlM+VKOxDbQ+MErX6Ki6ucuwnp0zPwm9/6n7lx91k
9zsfcQKDCn/cMvE1bj1H1aFh69GK9lo5sNxUjpsv4UDAYH5A0rw85xV4C1Lh7vqN/KF4rnoCm9yx
MiIeH1fPXcAFqD7dmAWP6DVb3DOV6LQ8MkOOLAHDo4B2+oRmlSVd7y4EHSrJ3VgujxYuN4zDpPfh
g7SeNJ+HrW1Kf58AmSEXFEcjvbLDKuJ+5fZQYbD6jjvgpwC6nCZlES7tTcuRiw9bkfg0mx5RxiPn
mmYyrg5y900tv/wMd5ZGMNilIOb7ogOoT4Lm++gwNFmqm6xN84s5rbhN0T+C9ehOpjP9oufPIkxT
NTuLNXvktIpsYtjOElDJ1sK1HTLWhqmQ2s/CceKVB+dLy8NoyfyjQ9FEIJD93hEW+Ire4JtvdIS7
BOLDYd6Zll/8xrfO46hnDzYPZANN2dkcWR/4jFv2TrN+AHfOsDYQYYeK235Nkjc6olvNxOi5TaFb
51n5OIyVziYjX7ZrlmEwVTkZASl41oZxulYky4vodG6fYXHwePcjkZmKCLWVmVTmpvIJj9erSQn0
YHVnzcz1nUECCKk8WTmyDepfS2eUxI6L/s2/WxES1c2Pfd/qT8povuGn665LK383IzQyUxXVrlSa
93VdzDuhbtUu7YL3o1SrvTVpvfZyDAoKKE1e0vk6QkFqd16VRJZX3FNqSlztKuFZRQJTiTGpL88C
9fQxyVcGgORNrVhk8PMgkyVHz2bQFRCqnJnNiyrmr0mrzdsMhO6ZwMaTdR+NuMs0UW3TzNWtWC7o
6JaLyaMs0uaZqe64fCnH1L5OC584tPnW+l5R7VYDS+ixn14yLJt7d9K5Oe7vLl0yvujBwXYr/bEi
tbz1WuNLmqnYM/X6TbBd2VVgKraiNYYvXl8fKPyjycXtHsYJXmWuRwg1oCK1H0a3vCmgJ69ZgA3c
D/yYpFmnGspzvSIjC2rn4A3Qp+jifXc4kekLfJivjQOE2AdW0gV+B/B1oxvvnvnv4+M6haTwbUr+
47yO0Vru4FadCAS6+rfqq/uLabDZhSR0KALOGkgurI2igQoij/INMHYnDngKQwdY9uCNxVn5j7l6
QcfewSoWEarZnR3F8SW+vF1wloU/iBTYkGIVz7G5dY79Ib/m1+nV/2b9BntD1du5gAUZ52zwiPJu
8dwP8eiw+ojLeuu/z6yr9vqhOi1XdTVv8g20O8vIEk8UOR5iw+A6Ie+9JQF0O6ods3zcqyhBcJDo
l2ypF7IGs1s2dlsJEA23FIvKsfO7PSDEaZcUo40VXwQkOizawVfNBdtde/HH7E219cyN6sbsra33
kkIgpJzVQIOW3j5t2nNVTupH2wEDGGetfViQ3F1Hpb+uabOVaqq+8ocCZVKbUmPm1VcmyRtHIEEo
nazHW27bX63JZWJWUG4WzcnC8NHwTbx8hVIf4rFZttdBRTgyj9cScFXycvWe8FX2nXIjRy798fNN
b3f9sQf3+eddLyuYI3a4fgqzEEcPatsx6aU4fr77+adScmmMdX02WKcd2XydtexcM7nd9ubcHoPO
bdmX86e/vSvYjuxXZ4oKwgWPbe1B8sjSnrcG+7LtXPnPn3+zJq6zyR3BhNiom2NSWGePBeH28y+T
dmqO/ZS2JA7WZ6VM7V8+3jUeQzg8OI0ievDzTVokNTc3b/79Y59/Amtzf+xzZle4lo3715QN53Wy
Jv26+fzWnbyjr2Snu0mNDhvO2B0Tmba7ZSCf5aR35rhrwbutjvOPzy5l3vz5On/7WNEDcDJEJTbs
Sb+sTZ9thWdiZJJZPkQcaBChtL450vk0hN9VcGaKdYeO0eTRY2Y4hFhUm5X+r28+P5Z6omKk1560
+6v++YZ9LLPTPCh5O7szuBsNiYSl89Qn6BrKlhjaY3n/Qor1/h/t4H+S/f8jsj/PddQW/+1//Y+f
839PP9r/i+x/+VD/5fgh5McCyp/gGwjpv/7nfyUK6/7P/sH296y/YPS7XmDbFqgm9LL/xvb3nL8c
h4+TEoWD7v4X/yT7G39ZruGh7HACyknLRjL/D7K/5f8V8Nl0nb/REbBhhfrnt3f9IyyWf3v/X7ne
d//R3+QjJEUgAvJR5/j8pfF3ZY7Zi6a2Rkfs5Txv4E1qDytUQ2y3M9NNgdRFpkgG4fCz7KizG3M/
VPUQc46yHqKxTPpbSp7NiKY1KoaiPBNP021yhiEhtjwZzr7kQVq1xVbO6AXuaHC7npNTkusXzj1n
ayyrdaRYZV+C460P3G5nfSP6B02DRETQ1jauRlhNkTHQdNssNiPmKAXIQxKT+h+JUbxTpRZP8p5U
jMbs0tSrwrVWvlIcQ/bQoL5X8PciKYNuUxUaAh6l2bux6q4+HKmLP1U3v1sfFod5kZhTeUhRoGm6
/opdSouzMshpJ5bfOVCbKd1Aqr4fh3O6cTWyTG2oJ/2YSJRe9eOUB8ltbOyfmiq+9xYpIy3ysGtP
MmDHw+LAFPTOBgvBqpZHjzY11M282DwIxlwt8T0PBSd+JHUhI2jEa1gC0djCF9MOwm5uxWp4294u
EaDQdiZ2D5gpLeqdSNWXZRR48NWOZOdmh10EPLJLjEpa56wlYNxu2hbPvJZ+SwETh1IEN+GCGs28
G8mkS1ir/FwT/Hxkz6CBTNox29nWI9vnPofY1rUrGIYpuX0GCJKk1sUNebqFYUoEGvoQZwugyCDg
w7yICBdYSFUpFoJemt9tBOh4ZZoNjIL9wKiMl5BEQDkg7fcruWkLljbeXG+9jnTCCu4fjN03Mkab
nWVtWjW0z62e87rVE/AvAWV9glBITMTCVoZ/oVwI+UXCwMMv0FwHBR9DLsRm3pHXYUBpZ/JyiIA8
YTmTLTCxOVnFqw6Nueuzw4JwJbIsOvM5sNHRr6/NvalwoHb4hWdRNHriZSCoUeXJg7F6YNvKgTPK
YIK9mCpanATlgjEhcykVOiFCCGavoc/g5WXrbHrzcyCwkqIjoWcsj4vPlNGajAHwB7dGx0WXG9aZ
dO88thLE0pgdRqI1spXFC5easCtQTrg7Tfi8VE36sN736cUQp2t/sDK1KebA36VBTToyA9jGqNid
sjc0iYNBucr+Ulna44IVtFkfIQR6jIThTHpDhbXgU2XlMSVnLVnitA97chHjbFLvrvutQ3L0Mmpf
HWMt7r9UsF4jEKbe1XYgrfzzPPAilWv2bZQsqSzFDFYsKRIeqy3imrSIrDDb1967UwKlu5uBzO9B
2DHC7Bvn0Bo0M1wKZz8h2UIfwFYx9nwyWdExZZ52bj08tQI9XmImUzjbYNi9elgfYJpA3nD1SAjt
TqvSwoBATiMvSybNLRojYgYUfhoLjdp9Eq6ZxkoYH10K6Ayynn2Af/N9KiLyeGDX2bXB3kIpQQjU
d2Nwnlhll3EuKoy5K4GsDLw36XWpNQLE/Ea++Bbk+4Xq0PCmKkbG0iK7CaqIMKIPt02wR/gsWJXD
/zaYQJ9xlJCw7XWbdVY31rvMC+dpCpMqk5sgD3gsSitsjanZdXbHFAqn79yoYDPV1Xs+ZS7YmeIX
XVvBqLm/lRL+LGKTgdEOv95CUIHyWxgjD/d2iANQ2zow0zVj3Nu/U7/NGaDye/aDdU80yZHlnBE6
7OrOy4AWovMyZhHe9FLdVRIEPKDcF7YVVa3/qrmKS9Q31qcSYpTSPkq9/JKuBLwb2nSw6mkIM4m/
vvF2ad9++IDNu6RxTiYaWFio79pcEz2FSGsoO/PgSgDcuO/fhdQIGyAjbUKmz4Ry4oI2JgpybiBh
logsenqK7E5qnGtc1KO/LfP5VAmvZuDM/8T8oeYVavYpOk42wVWww7ceoetdIkcVdlzskdI23/Fv
yA2oLCyRS393x9c3H33GVlnLObC4FBr6g0MDoJlnHBRX4aFPKhmE+TXiFgU/JrLbLtmOjQczJVcg
ZFuJtCpPP1Ae7sfx/lDNf6XZhLa3nzaapk/YdVtYGstAzY7gX7kUonJG60KuQFym9yBPrUk2TZti
obfoTRvSdN3c/517mnl2W3ParY37JjvdPfeGNLcVcS7ImhP9ArJsZ9m1jEVNEACxbAZbZUKRR2si
jN0c+qu5kPDVVNo+Fd1T6dndozdp+bmp0l0ma4afphwAb3lP4FYm9J+TdvbT/lgbonwSsgN9wKmi
AUbY2amW4GZZEBUV/cnx8nILL+jXrFnHVDOThwWjEING8/cKROMu73C2jcmwAemDZDTdQDwseTQN
3J6NidwS3qMV9/54ku38Bpgd8gkDai6DPUQ7WuQCf9PUkK9yP7dGv9kGdD/2Mg8xRhswB3R/qXfU
NFQvWJUvmTsWoTXrRJZn75z206a4f7q5nl5m8WNiRBOy8kV5A1QlXPW+BF0xg3Zt8+dgZUeTjg/j
koodpRk/cJ59kb3Itgg7x02qa2rzeTOuYxZOrAIhGyQYJ7I5cvw0Bpe/7u1pBpzHotWdjbfKTIOd
WwUXL5mXbSBeTYkuCD4BmwW4y63gUaPzabmKyxA/1wXg9Lo33OSnT9BSiBg731iKTWejmOkbtren
g3dQtRQ64rf8edBwi1vji8eIgPGBuSG5a9ig7/6xmizKlDFFzX34u/gKifzIWsq3G/a35TRFZQ89
qm+USbaB8ZuD2b7PMYpxQbrmjheAk/tFQnnLhwFYRi3eLGu4C4OJgSTdWBol8HdfQAZbDBz+5dcW
B/U5oSy8H2U46oejmc8MxyiQHAVZbOY092BORZ5u7hrLTY5GRkOvhiZK0H8QWq5t8+JN5jryu2I2
cNVlt8CWF4s1LyhqAFE2L+6mTBaSBVoN91hnf+20O2kek0aY41k9zP4jicLiAQ3NFg3uUYeKIXnI
UZsAe+LBwACRgWjVHQzi7G3yJLJFP3EWkr/hpl7Y0VOdtcXlFzqqeaO7rOKwCKoDh6IIqzZvHwWx
H4Q7LcEzxMmf/mq/uF0C8oBRt5CF/1w3L+3AUNhlg3MqjVydFMaoYHTOLWdzzdmIgMDiJSqHYC/0
ilD7YQthN4CX5OXXju7zmJYrT9QUoiRmvfsc7SZ88j7K3vpVJM36UpKQMUv9ZZzBBqTT7fMNWvQv
y7wUF+XJ6WbPDdHcSzrt0eNVsaub6zYlFAl+W0GAStZFjstnGmw2+5qGnLoFut+6yOyUlfNC9A2z
625wwMMgGbJJpOBIJJEySfQta64elM3s3fTU9A6ljcePAT1oi3WAyJmYzsPQr2/u7LBSZmXKYl0Z
z9TKGFtr56Y7i3NLynKrk9v79OdD5P1ykesNa2Ay1LPBvpUpNwcpXtOedRB6EtWbu0XTlpjplAkb
b5i/GBq3rwHEEF8XPwJj0Z8OI0aAk/xyzYGov/4n20XComazeWj0Dklv5+aXAHupAHMxeSuUKdwi
quR2Len3gbCPKaOI6T4R1g8AmKEm8XsLERMBVSOqjzmyO32pqspj4iiWjQWYfzbtp8UrH1GsJhtt
1Y6dEriMUwMOq+Mum1UNNwtcfNBL+erO5BUKJFdNMMVqTAIKfrRd90iTCrLV3jYBq9TafXRPbvVW
KdjloNa/Ksjfdsa2BWmqZGvQfgN8gBkF+A1Z5+b+ThJeFzYWoIrZEu/a4AQVDg4fDEYjaL6wrJp3
iER5CbI9zold7fIKGZQL+0aY44WG46lJx21tkBHaQ46LRg67cKhCHfMk6PTR22Y50MjCnnHuTd4N
yieAmBzK9DqwhnDqdCtyPFy9abxXPCgilgZENwOoDbE/nxD9hwOosDBtVqJJNxo86qA3oOiva/Et
x8ETCtLF7g/WnsQwXWOW4YM1HhmXMNQP9Xn6VXyXRH09UYuQZcnF7JPI7cAORel68jyHweO9Qpm0
7ixM7wast3/s2Xs5mfNOcT7E9hqADZtHhKDqXZad9cTj5iR6Nj2lCVXQ9YeGGVQqznRTswEOqrJM
aw+iGMMZ/JrAK3/XmZIImbkF3L580aEKmM5y8KlNQj9waI4t/wPH/k3X6SZrOZuR7Lu9r/lbrVZP
c67XLGW4dZF/5Jm1hPa31LEfLDLSdpPrttEgxcFIlxWXLrsYpylenMz45nf8RmoWWUx0vdDyUxuS
T/qA4Z9ycWJ7205nTSTffZdmJZ/ly9QkIpLL8Cvl3F0V89KhbroN2PNvfk+DWnZuGq8z8yCZZUz3
J+/70k10sWyMDiQ4reyiUyReA4IaFmAQq/AU5C5dhF75+tmkkOCnS2XYm8V4zlfytBjSHzDcVmlq
PffUJhyDZriwfmcLnf8mzn1rynXaARjtwjuZr8t+eZ4iKKFq2w1KinlfuPa09/iOI8Pl6E6IU4Yd
2ejhZkbBKNhoxDhtvFgFsC+CMflSYsDeTCUk99Xx6KBUcBLoZ4KR8bLJIXGbVn/HPrVCD+cZ+4Rx
uOpAOAdpd3aNenhUrQ2+1IJhkJkXGwjnvmzTx6WqkFLJ4SHRx2njugtkTJvcoiHw4H+v7iP5DjkX
SvuD8uBn6SErMegfcDh7c7vuvbU76Z68paSUIslgUK1srUNFOQ6opg1ueVt7dRpH2ylurnDueVzk
ZsaJT94W4zqXqoUstALw51bH8hYhvC5Jcs3LnVHWkAzJQ9x8am9W03xADMReQ7y73jic7IwU394/
5gWj/Qag86VhdxtTHfaHIOf5MParfxjBuEWMloBrJZTUfq/tW5MqrxweAIw9ZJxHMBMAweaZ8UCu
GYkGhnsYDQQfpANPLD077tEx+GLYVh9RYH00Rfe+anN54AEM5p87NkJYz1J9yBl3F/g06kC/Of1P
VEj4a0hc2aNbjNwVRbrW8c2hXNq10hW7aRw3Lo2MvWKkSVf9zWyM4DgHpBs7yjK3ZcZRno5UjXZi
Ew9ry2tqjsamF9UbLIhuQYILcZ846RSk1vMygoC1da+NK8H2u8vmMNPRfo1tAkl2lcxhbepsMNzH
eYq7HhneQswPK6MNVZihMyZMSfoWETRDAHc4EbxKBrs1yFLqlIblgjQeyr4yni5ymXc0rricg9+Y
B6owKIOn3nIxHbAsKyQ3d5KOjKiIfYhwIyHVDax4UIh5Nd1+qUUCSt2mJF/1zNiY81coj/puHOad
YTBBE0NDwbB+2CZBalguvicU4KgKgh3lyI9paImksTjYn4o2+U7oOVLYhv0kZog1dKTPU2O1f5Jq
iP18FLGFanWjZ+82S/MQUpUWjRolmt9iMrBATK4DpSGtXwx4CrPm+Ahv74VokNNdoLY3KIXQF8sh
Jgjqus4Dd3sJCT4j6CGX9DIjpQH7oDI5OmWNvMn7vnq6eCsfkfxA1W5FhrBihJOl/QQGCOAi/W5Y
fAKia5pdo7WRoWCaw1+9eg0BfBMagHWie3VNl+aAbJAtRAraEsZZsQDa0cywPOgoyRJYKZpQwW7U
rGlw/Yv3NaNlNnVGMUtbnCCAom8aiQJgvsYYrUtui4MgcMnrr59dXIFMItKsS8JhtltT0IXOnV/F
6/zZSvgy4bNSMQK8H4Bjb2e8f7FK52O2PinWqDA+wLVJsrGhd4XE3xFFUfTNhmpCsKtw79I/ZjvF
ylXUw8AbemebDNy+5BRhaEbzvKIgqBnV1Gjr961OnnXK0R/LXiGhqd0Jc7H9XmgT7b0i8CSjR27M
Fj9ffQBxoBnON0FiFmYtWuKmZ1HumqTWUIkvE9G/s56me9hsL8FQaqxR2fykVW/sU7u/LT4UYwIV
r8nSc2xnPURMWXdR3iWPFY3Tw9QuDUuz9KeCrc5ypHrBB1kB2CueSD44j1NmniEEj5uBxjtmSkIi
yszQBd/j8kyW19exB7l3bzUqCUkfzd0JwFS2WVpiykZjPAJLhMtVQ1Kzu/kFkGqsuEZkETSEkUBm
w7b5hznynxuM/2iDYeDz/X9tMB5yvAyjyP+P/cWff/TPbOLgLz2gFfZMF1DVvy8vAucvz4Mh8xku
/G+LC/0v1zAomojRhSRm3b/4PxcX7l+QxUxgTIah08r49v/P4sI0zTsW6F/QKdh3PfMObYFQZHlQ
F/4G3RGGy13cp9kRHSdtVPrUGc2wK1MTvkJmDliHKuAcZbL7fO/zjZsZyC71Yq8vZXeYjF+fy8DP
Nz5SJ3Qr9+WgLhB6MWa9lDmxKXaG+Hao3H3ht98HnfY3SBuKR6QlmVV/uLLdpKwGHmBAhPkUqO1C
YswGlxDWt7o4k4gQpRSIkzsaj+j4c+rKFBhuk7FTYVPSBGMRLwb7Un9cXyYQxbtuXU/jqDAdYBM6
JBrJbb1fqwgHI5yJPpRQoiJBxRYKpPmPhO+6yjv2Ili/6kTrourejEz4yMU5JE3yLjvXxUSSwKYO
pZWPW1fSplHl1VGLBXxj+ksT+QTChtY4M8F2khmtRzfFzHuKcEiJ5ckOkzCSEG48TGBuYlMjMMMi
3DQnnA05P2FVExIwA8/vnGY/mMVC7hdFA+xf/7DMG/KWhQF4Y8YkSJaxdDOEyw4+jdXnHGmJ7o2r
ot6v3fSl0+tsMyQOWaHmsr0b062u3MG9+e0W3nPZm+ZhKFNOahsloOVdqyy9+t1yGMgsiXQXRxe7
+o3dSwjf47SDhCh9FDhplcd5TIlgRiTSnfoGMC6s6uRBJfABMjMlULb3rp5GTBJLIdSVpXwk4QSa
IL4K5kl8x97K61EmJXLvggRoiiRSJwD+t1hzx/UH47q5Vx9zgIkAGiU5veQooEqvIlnpTly11Yuj
gqjze33TNpCbe8YfITR/ok+Cdo4JE+U4F0XCKErgq9LUfMi06rjOT1ALsn3VVezUPPsW1IL1/YCL
ZvIJlcVOw0tz8jDun1LH+pjWWoVjgqlDGfx6NUe75hPfpmMgRjd2s85PJyoQtJ6Q+NFGbwqJOyv2
xFU1iASQVaNRWA6qXfK4FMYTcSUeSxozu/kaTF3k2BvzTnH43+yd13LrypZlf6V/ABUJD7yCnhRF
efeCkNuwCY+E+foe4L51blRFRXf0e7/gkNpHEkUCiZVrzTlmnYuOyr3TLsLgzcyy6GAL9T72hO/i
8KTNzkaw0B26x9PaAL8Muw6oa6TlxEjjqz4WbfGT5PdTnPu8AgHcYbB6Btv2syp9Xr1hHyGw00ND
J8mepTvQyV91ptk8OFFKXpNR41LlOvNo0R1omk0PldOtes/6yUNdfuBnbmsbo4w8WhNloU4UgKWz
XXG9p2gu3vWiR5qXJIg9knDetuVDhDF+W1rt3jfZj9A8mw4AcxA0T7s0Rhxrx5m5k+4ahSGfXqzR
ZhMqXvtxGRKdYmz1uD+pJJwCINjgcLl4aCwSJ9uyCShXqtn1c3Rnjg5BbM7Wsfp5JRW2864gLRGN
LhQm8jQq1xhXdYkErFraZIhZcS7gQszlSvWYrQ0TLQ+53mdDTy7GWJUba0V/dbiV03PXavPOrhq5
0ry9IbXoka2tf07hVgvhvYPtPrQDZiudJF0Gq3ej5ESW0lenyrC/BP6ThLzNnQNGd3WTVGSTJjxG
o4h+KEqek6Htgz6jWRphZQv1HoE8ULZFx2TOZbcSBRLanBpzR/QL54Z9N1GLXlTbvmkqfk2tLERM
Xk6bmabPoQlJ/+ZnVHb51aQO/hEn385oDQ2mDJuocAh19cVnpNPWQBEvE+DM4RBt2k7+iXN17P3q
JwShfWt4M2sTVUlgo6IJmhEeYDXN8ZpRhBeEkwVeH2dSQJMCekhNj5G0zq7C2Ze7w7nTEvIgU0DE
OSFd7PtM9q670qmqTda3X5YE+lX6/m9SW29knGGQKyCmJaRe6dOSWzrONVBbwdR6aLD0WgSBsrQx
dCUAKsUkPE3T54QRENjOzObUbfdCljB8k5iGgHkaCNLgTjTelAmoO5q13dbL5NFo0LzliXHXGJuG
sWCK02FXdey4W1zJ6HCn2zpIu/nFHS0Ywi0uR2/2foZlKGFwi9DD/oZO0l3NTnuflhj1VPKdFl4K
5DXuwQQjoI2nV7fLPGprL6W7PfIAG49lz59N0nC9NN6SGsP0ijQdFRD2xYApyYd9JoY/RFGVGz2z
zswwJ6TO2CTSsSYscNao0xsCuJLsng1PXZb2jzu8OEn+1rlZ9jgkvo1Rn7smJutolYvht/MlWdGp
ekAF4LGJH6egMP1TO0PVYHf2kSyKsuycFuFRlON67Eo+Yzmv+1A/6g7E/Cpn4x1GPjtYxhx+xbvU
KfUt7deIOMRHERfYPFpWFXk7wfXaCRraq9EXL2Z736My3ThIiRDX9NVmpCsT+F/kewS6PzH58wa1
mxLzUZQyuzXimIW5zvZdNRLZvExa0Qtw+bGTj8r6Q8PhQvPSoBYmjm8rVJWtECKZm9gZn514fkus
qqJbgJhhsGkmpP1HSWdiU4ruHe+yB7M4ggKhu8OK/CWk/OUWqxKZkOStEtoEm0BnlBNMCXlXoPzf
4JSlJ5skAJvWzSazBeOhlIRFhryM1Pwa3fmk0TyPwPQOZMbZgzp4ErtiqQ/yEBV8rG7N3r1wWsyL
LqmjlYG5oQUMR8D5xlVpwebJppFIsZHXxE5GrQh33GsvNmZyr2rwjYoyPgqDTPDeHNZkUlQ3ldvU
xJm1+7qJUGb3ubMl5u6FsdObmTAxnEiJpF8jgjFDvwT3/Tue1NppbFK7KivwDAx9lZ5jaWM9R/51
INr3wUFIwUAN1BwqrablMk5a7RvUIy0O7ckX6SUy6Zax278FtJh3c3f0k2Ta0NBk1Znmt4x4M0wX
aLvI20VjWLRv3HUYXU1NyFadm5lro/dn+02qNilAvUm/h2UzupRRErQVClisxoCYRntx8BIDlw9b
oZGzQET1oRnbD3yHCQ15N6H1rP8mHXUGknxAJXW6s91oixNLJ1DUEwc7kjTfJFT2GrU/HQFdv8M/
lwOhyZ9HrLbb2c0YWbGjvW2GYt50vkfjYFG3IjcklJBaYUXSh26+8SqnVevDrAU6FL20yIc3rs8M
zzV3PT0ZpykLBr0iRjtpp0cuLwY+AtaLXc7gfBlH4kNw1q2UrGDoii1JJKmXJdwFq0hDTMdcvUKz
fl9WBht9eqcCIlMmdZjoSPEbUI+7Anlmi6e5VSYpfja+Oj8xTmIMSeG0LVjQfrl3mD6iE/TOvf3E
+QnvfxApg0z68VYpj5qS3koOvX7g5s2ZYdKIMaJug8C1oDRjFibiE70C0v36mgJGM35RMrf0JhAU
dZB2RlrmI6HBhzqCP06uV5Bift5WGUgQq4xxAoM/N1MmqAnvJ9pjIgmWpZNMMMQ+7cWsrI+R3AXy
vJrT7EuwG5n9UXh5h2mWaUsnsLwaPbfH69NawRaEVyG5yQvuIL5/l/YUpxMjqo6LA1wVUlmET48C
7c5Wusl8M4hl/c594AJWpXZYSSJWwfKhNm20Alm+ZWhXv8ioPcL8sjd2DY+ccgQzgCjOaUfBbtuo
BkjXqet7TQzw8Ao3Bi00L9y2mY1BnWLRdu909hirUEPgYPKRy5SVW1ZJyElYvpBh7JyJnb2QPMxs
zWq5CWvkNxDtSiQzsqO9hwlk4zo2buQ0W7CkVMO4G29mI/sa03nJkU+zAOeYXJMWdLL0zsEOWF38
WBHE60OEd3ymJn2+9XB2n53EmC8tPPjRgarfmjvLt9h/uGrLnqN9nek1BQgoT5OfUBSI8rFk4L3R
Y5O23VCcALc4N+Dfx02b0VsBQ+ODwjQ844EuNrNE/2DE7jsJBySaZzGpQaWNnsKIVunAMjqiXorg
JmwVfu/ZTGJe6RlrYQa8gD/Em+XKjhA3eW27maOPGNvQsekI3WYHw8bhrfGsdNca3FaNDklK1n5j
Hrbuc12eGoLPSJIpGXRDUGuqwjladrWPjnHrhrs4Ut+EFXln2mj9ajH5ppMVPmqp+sn9tt7SXO7W
ifagoqZ7iW1H7pL4pwVCvcVvNN4wLznlmoGB6DhbYx1k/btvS6Ia4wtohuTs1sypFQYpalc6Jg1u
l3p+U3xqn1NqBvWYFX+iDYSlM5/5tHKE3iOMmS9Yh7mmY68m4sFAXzDOoLf8Le1jTiWU4wL5Sd4Y
0aFxkn3l9cTAoNwNiCb5pitHmaUZTCUcVkbclc9R1aZ7m5hGnYs0Lhp/bUycR7P/4Mb9TREhX8fI
zH3A9Q6lpU87uBYPmmA66SO2+pSpvYF/vUnAgP0YKbogpXNpV3VNhUszDZ4TPS2wo7Anb8cJPmiU
XJrOyJ9wDrFA2/z9lU7AIpF/pJAY4QHSkb1pCkGtzPtCNCpsmFkQGDBjZ9sRbmyLCWeoMzz2Scwt
MoHtI4S6CTNMmq3ktjqV3WUc5nezAkUpjP5GWcrYJgZ6RolfJC+LpbBqsYpZBZejPm+Iyabf3E73
hjKHFZGOLxJl89Zhcz9ahrNt7EUP4qrDqCpnmwB02wGDGjaOY7x2JhkJcTgMBy03BqYN36BTcq5T
+SfN6m3cpMlZVxjj2GxTZWaQDVKjPcBNefIz3Tk1Vjev44x7/Gi6a+ZL3U1hDBRjsgZzY4aUlmV0
rqr2t3I0Z1OSSWHn7iOTOKbhZB5vMg9MxVTRAfCLqj7XKb3DoXlp3CjZ+KwD2xFa8VYXSj97TdB0
OBrwlJarjv70mLvwIRAxJG3y2jigo6BIpiymxmPcOdSOyj1OmgvWBAU2ZGRKrMVwGfHa+NjUb5vo
z2CbrAMxyWYTnUizTyjm2MKIDWkUGu1jxWJSMVjf9Ub2YE3WybCmmoFkKzf0IGDxhSRx6mNRngRT
XoT8S/AIjXimqaSaZRN3PqQNRH89G2XyOxv8OGkCiejxHudj/kXl+wnJKaXj0N1EA+d2UXK1CekT
adpU1q0f8eOpvxkPOUFB8Va7wFoEqVMgV8KS8bN4ZWio4gpMgJqqFSHEF817SobMRpRIUuek93cF
WstjLTTjyDrlyuD6HGSvebw+uh4qGYQ9BhqMZMvw5b5uynTtL+C266G2a/1YLofrUxZv3CDGkBPq
lRvHajnE+WBxO2riW8dx0p1hxQxecp/U3iw8XH9bu7yE66Ey6/aoGOv+8yJEJwDl4AbbjAsPTi2H
66P/6Wk74IIstPbgLi9QLLi51v0smfYfrk+uXx4Xk3Smml/RECJMCcLWe5opnJYXe32EwOWCH1Lb
9iMQtL//qqFm57SPDvnypkFNM/6+SWZaWCvd0JEJLQnATtcrahEMQMc+RuaJlMftDGsN8AoycVMQ
MjO3x3I5XB/59Of+PgIujXyL/6OjADA2RhMma2ewDHr2XXekZ9IdTbrbgRIQebQeIzLReEN/NJfv
G8eWDSgfkxX6Yt+oaF0WtTrOzOf/HkYc3TTU//mi4o7CWYL6jb3undagEQ1p2lNG8shfDv/+WkG1
jlWccKoxHI4dlIm/h1xTzTbzkqfRWdptrv4QkRp6pPtXHlXMwKDqFXrPxbjx74O+GAsosqtj7eMY
8QRz3KF0EpQCNa4uLav2E7fnY0461tGlRueERiKLYKbmE4IxQOHV/32qZUJf+z3aYGvpEKbSgRvB
lXjQnXdIIcORuDCcp3FyM5ollKjlcP26V2ZMp7JEaUHpzTbpNVhbV9PUq6PvsoVHvNdzPmcdKlL5
rqdn/JwM7kc7b/cV482j5pKBOQwDnoqo6o7/PuTG2B0zZxq35VjcX7/O70+JylqlYsaXH+lmi+2r
b49VIWK6eHiXCICrINO5R9POCO+r4n4lW6eDlPifh2L5pYvfncHM8sU7c/kJeh11gGz4gYy8uyPD
EEENvTxvtAmEWk62XtiUT6XNWZVaoLe0Eb+NyzLpMh4yBdukohAIlKOx3Mbdi4+QZ4WZgzVdtz7U
WHeM1gb6IjNkgZrurJuahyHTzqFqD17jxoEWTvgjIbcFoPkJxYTytlJ2+M7A6T6KmagKZW9hTj+i
On+dJJFeeOfxkWI1q9M7BOBgj/S6OyO7QV7rOD+p9oiaq0Y1F0MBsL2XyY5uTMzI255qHdfs4G/l
9COBDew8rmOp6NKlRn6ba8xSU6CNsPeh7BRsGvZAGJHjeEfNkOmmNPOXyEP6AJ/Mz3KJyssHWigj
xZKaP5YV3JdIdn8o6XrwrlSlWvaSZIArnJT1UuxUPtlroK5kzy3tciYDiMFCtfU9t7+kJT8WpUVJ
l7I8Q7IpVrIesm3agOHNmVsLpm9jb/4sori8g7+SO9jnU0N7twTnRTk5LlcV3plwDNdqYCDn+M6n
lr+0knw/u3HQE+dsuAz4Jb0D7rMckDz4qX30UsSzWd44Z7doIAipF79QZ9WU6GFKtmcWf1mQt3V/
1zLtajXzucZqVvYUy0BfXkHBPREzNO88XIINvbKdjrwRWgejcogG5bvyZReYrrvNj7JoXhM774/0
7ultaMbB1fX33uSu6jqGuymL0ThEw0vaDc0TnSymf8Mu8+H5+fmwbDvz+zECYIE1fwv4KkXto48b
V+/flO1R7tVLiJTzycAm/3JU/164SCV1N/7qZjcJKpKYFlEHLBBoW5Btii/e8Fcknhsvd2Hi4QZ0
IXxFyvhRUj2i58UgzcQ+Cu+IqpngIND39El463waILQlFs8SiYsucAeJJshivEElUzJTDZ0LQVSh
GLGvLXIfs3SzHRPidNVETUz2bfQLLc1GS4e4L4qX7pq6n2sNDaWRrea6Z2cnkDXoJZpmK60ZC/vP
7BBA/Y5sMaFCOUmLB6H9GLDaryN7xBNCh5FRCLeSOCnvJow9dDlwiZse05ApflZNYcAaQD/m019F
VBufpH7XPKDEwJMO+JUS/H02vW7rVBPyp17RCEXoMJa4YU2S+WxDAS49c2lxdtnWbTqRrxDZ9rsl
E2wa/UMpAWWM5vgidGkhtus+Qq3PyUwmEJzqkYCRNKZzkVL4lPhV4uI94oNhH26vyyhGoNWRbNez
Y2wBijZFnSAkJTFOr5chlAyf8NEuOP4lttlN00C34zMXV7CMMnIkJAgeJ4KGJEo+M6+2eSKBN0g4
PtZdhSsRW+3isODtphdjHkXtfSIlh/qOTY/tuX2pjAqlRkq+XU+rb3I0qIbpx2R5oKoqQC06nKOI
7PQkRjOhh+LNSbMPGtvYgCNm2EN1qDw9OrG2boqyA73JH9t0uCpHtnYxXNE1nNig5967szuSYyej
eYoZrLA1+dE0/hsuqio1ajZYohrDjOlsvVz7ti1JUrISfxr0W8M86i8It+ct4VUZ8hz55IBsYqqG
EhZ8ar9xCerdAocn7lTRf/ZZhqmnscvS6Ea6LqvLqAV5MR3BcT4PWWfcCciUm7bkzAurGgtD2aKy
0pzPoi2fCwz7mQsKDQ0nucBeva9tzC5FhjkymYp9P7OwGzlB40XkbcyI22kysIIToLr1uukGuO8t
CxYezYTNjQFgMiDoyGFzeRvnL7ZK7JXT1C/GnIZHjWjI2o86+rPJ/DKAngfZZtBZm+0DEB3c0yYt
WmNboV/ck9d8YyX+S1YleGM9y9jpxNbRD5E7YsPPKot0Nl0ysPJq48bTV6S18w7mRhbkynmi8HwV
sanRxhp34E0HrCnwlbpOBajTYSA37Ub4rz381BV5hjrXzPACPY1usnsUg8lmpILX404uMDp9M09i
Bw/XDPCWIMlUdsVWufwsc/VaMzkIdHQ7aNM/k3LAJN/oD+0IdKAztEDWBCXKMhpulOgvrcx/aQZa
5IvH0wxQwqIvxtwSc1MZAjlYvnb9h+shWXyYcrFHgsB9oa+ZgrynSrke0ChVFEBH6cmYtthURPvE
sW4H/OTCbx6kbPEQ26umHo65avqdQwDl8XoIBeXK9dEUEua3ivWEqLhQX1fIsKFCJJXBaKXX1GkK
rWhHKMMKQwWYXRFtEnqSjOmscM34k9BrRn4RWLyja8FHxAV1ljk3HjxVl3jkNu6nuqeviqEZj7CD
DxmB8VT4yYhqaqhZXisD1wb1KzfJlgqFItZx88BI2/Jw/TocZmMnic2uPO++pn2/mVFdYvp/GMLO
2QpT+qRf+RTWCm6GnRwxwtIpxEtH80emB9ejEHJarBF5B4YQ+U4RGIKcJhCw8gQgPT/Nei9PVjTQ
EWF7FU2AlIMBJQ7UzxJlrMNsxjFacksjyk5nOVwfXQ8QANhSXR8WPT7gcqtikZ2KhMbQmJk682H9
t+otyM4e1zbc44qdFZwgumU/kcDU3GkObucSU/P1KVs9Ar61bt9M4ECun5ELhu/vpwXNZ9hZaXNT
j2699gwfUkqDSY+QBBCXYYIRns3fKll+FSpreudREcy8HWk03AtJLJppORIujb2RE2Xgvw8mQc/H
FtERHq/l4fVfJqcmKZD9QpbF8hR3EcSkIrnFZ/Z+texOYsSdnCXQkIoBCMVynv79Wue0Z4X7iguV
nZ9DiBFKZDTFy9l9tRVfHzGP7g598TIsnO0rYVuqiCsBevLV7Own1dFaDldv9zxbWQ7fEDOIKenN
/A/2bjsdMQSQ/YQmu01OhsLwVdCnTlJUSyb9vKMGWitso2PiN/TyTALkjar26DYvZT1mbSySbsM5
tpT614Ob9P7WiNxbuWzrusT7LSe6pNzWDy6j+d6MKcMp4QrAPPhqKMPxjLlsW0baBoumg4Fdgve5
xefcV6670p3JCUjqZM/zz4H0rnyvR2xhoUPnAe+h3MyJ9sdSnDhaGtd/D/4/j8wazbbpco7axDFu
gb3cZmbY/RWQOH29gV1Q7eF+omyDniKMfedYK7XsEeWyW/Rtgs7wkkSr6wcBLhfxyUysLxZLF3Il
42s6H93AEJ+SvCpH7qgA4061qZ86RkA0KOWo7WYbs3mUzvRT/Wofux2Tt6gq1a6frH2/+M9lFT6E
vl+Q1slHT2o1JO8Bojq/qA2tbWgO9503M85xe2r1kBBc2+p4sQo4tdHjgl02QppNSGxWvrWL0968
Sl0Sm7qVYOvVf/PhX59aRdPtTL87dMsmT2HwX4fmIvgEVo7ocNkL+nGdcOfo2YG0M5OhmMGTR2qH
ZfZfjjE9pIAMcC6yC8WDXB0BnpKNfn0+RoqeZ5PwXqiyP7mYEg+I6jELIcEZ4afgwVwelsv5+Q9l
4PrS4/oNA1RzuBIDypzm8AoS4tlt+QjV1Sh/9czXORSj2t8SRHoqxWQeYmd//ZEThIB//fTrc5El
f383oyoCwpaD0Y680H8/V8qED2jN91qffcQkSjpD7O1ahYqYTipnF2eITtjLrO3DcVlclq81lgNd
ginE+voXW25f5AyZeB9SrX2bMWOv03GEys3bE98UiHGOLlyOY9fiih0y8++1eX2JioiJAFoOc7pl
W95I7wuTzHO+tEfamrx3yAeX6zPIaj9Y59TGncMStvxYLHY6NJOu4lJZXtb1erk+vR7m5R+GHrC8
8um5X1/5OGn11jSNG7+1byMrR13Cp5u65AJxg4xXlYmfiU2gGvqDkhIWlMklj0t7RQf9jTuYFqSO
zHdV1txr+Tavq0ez98w9weq3eoFL142QLrOnWY/0WgKyBM8qEXdUEDQjWbmMvINxp/BhJzUkWszy
/a7WY65B7WiUvKtGpb4r+ppBCdPTq4y3tHPendy7rSvdX7OjtHYALS3ebfsmT+d5V6Upt3PRHW2A
eq1bvds96Re1LR4028Iw7KLKmRBFB638iHxjJuPZkLiICOSIFwwlnUVlehnKduu5n05mHZ7LnO2k
YRMFjLciHfKPss1ZZ61zP2B9dLPym3Z8+6DoVSroRs2IPDIPxb6jHsN5162oCg9urXVrMvHCdZM7
Z9r0dx5wuMC91zGUbSorm7i5J5cxpzJOqg5W+2RtTIONMUUqhUo3HKqm/OaKnINQoygzEhTchgDi
TBpiA1UZ+QPTAmw3tQ1n0ywOU1H3X6W4s93Q+iZqD8DKtIx4cHD2SkZrbxAvkaVdfBoXm1TPMLIM
3R8dA5dex+p+rHGOtqWGdXVZR2g6Q2hLU4ZvjdgNDlr8hebhNwZU1evDbIyMQz0dkCGwrk2dftHz
Wdv6cYHmW7ricBUw/n+t5/9N62k6BnCH/wOtomy6+H+tP7Oy+/wves+/3/gvvafv/IdNPJK9iCtN
27Yc/x9ehS6s/xCW48GzsD2X/xAd85/EClSigsEv/yyMhSiBGvNfwk/L/g+CBoXp8m1/RaH/L8JP
wmL+a+AJXjzXMkkPNHiFNvJ887+lN1m+V7XO6Bo35t87yXVxzbvEnFGHzTtCCPDrLOXO9S7w94bw
7+fXL9LrxiSqFcy9l3N4aswC8WdzVNKC5z7TkmSrGYZQpdip2HQ950W/x9nrLvCaBkfydoy1y/XW
fD0Mg4fpJzGVf8iYfS4VXIRIodgnS0lwfW4b4ckEy7nrUaUAuqADspIPhWJUOcfyBc/1RzyZDyIC
mVaoW2gZMxTfZEMkrX0I1SXTinENQYZmT109t9H8JMXQQyKQBw0dv5+xeDnoWreQlYmsirxiFVne
PdzakxWi+UG+WNLnoDuE0RKeY9lvxtBiNdLlOkIKviolnNG4qL+XHkxgOO5dZTpvtZc9UPbfT6J7
zW1cnoZdgx+kF6Q8BCmu1NudlkCfd+zwpi5aHDSJ/wd7pWwk9ZrNsI9qD1Vl1Z3Ruq5Rsp6tDr+u
NtuvNMguaArudTP5sCFWrPNB3hcEz5NVRzC3eHAE8iuv/1C+zZDIgrcwQoeWjKGRiHTnLm5fRzs+
Qq+l34Om1ma3FmQDEiLS5GC1JpW/c+0ROGyprGAoHog8hz2FhYP+E/GS5k3cFR9VxLs6upFcZU4e
ol2fT3HSvLNVekIk/6jXzZ3Xus9+rL9gsqhJJkmx6TpnXw9531PmGvW9oWEmblH9Whhmx+o0YBBc
Q0L6qTvEkjT/fmCXgsorcJaGm9wpDt0wfA9D++2Z+EgkRokog5hQoI7LUd3btNCT7ahVW4Dt49oP
6Z25DgNyi5V92SWrwg43aGf/GIZDu05wk4t7xmER+STGJe/0X0Z9VB7Vk1SIibuCVlUc238oHVd2
6pxSKLRB73ZjwKgSOBp/tJbaOMF03ku358Rr4o9kqMlEZ4S8bYzORMbDDTnH3zz4X5WN07cZmktR
vA3sHxFe0V/AatIGs10+6q+ZwVsF7YlkT4sdpgpv4C5sl/OpEiWeB+8+0tljA/KNV8QD3wH/LAbt
koH9Zu5H79+5GGpqieuwaR2z6UKSipQnm35mfbzNHdwLUZdeeg8HTZeZ+J5svlOX98049UEtshdE
y69m4d+CeWDqDZgzSmgZDXJpalbGj9WJO42NRqcXqzqjfKuIHrHBP6wsL6bdCE3Vq6pne3B+ejaW
60zChVEhQ3f62J6wZqQX6cGfx4vpeRIsaFmvDTNBy0JGce24Qd9ad4V7tcKFt3Ze72WUvZKaiUA7
2zcm82TKUmTTybnxuqchw6Sa+2ArCONhqwz1uXDyF1R/MHhp2mug1IClMCJN980jTR8+ZCarViTY
ENpg5esCIA/968GO7rvRPM25ODHjsHlTRWEIIlHoCubV9Idf8C4T6w707YLpSVA5jgdBoRK2zWPo
pF88RvI0OHgaaQUvtOrsUCUq25roQCjJHmJ65/2O8L6ZCoy/p7XRwZmGN3CRZuPKwIu2spFBygmX
Xlakl5asiHVU/0k7AAX+beE3TzhrHjDpZatO55pWqUmq3hnQA7OVvL0HCfoyWGqrtfhnkUofBm1g
8lpCfCumB7ff5dwlOL3SD+qydBnX/GlRwQU4/IkD0kZMTOKRrgkrGRkTa7cbfoV9G/oTcQfeBW3l
b6iPjM7y4aEzaVdnRfeklyTzQnXJ4CQU9CRbB1UltxQYeo8qVt+tWT6ISn2MFS/SnItbOllq1ZG6
x19O98C6i/3iMJB2s3F7+amNzTNzp7UyrOeSTUVrkSOXwQvSC6SouWBHR7SImv7oBmk5+H6tJP0z
RsUJV+VWMypUVRF3E4abDjDCwE1QOOZ9FxCSi66CeL7yVkOSzx+oVm1fPAt+vOG56UaESBMzU+xz
6WyakNp5Xvnf+CX+wIm8Sz37e54s8Huxxw9JkrPv5dMGJqYkLLzwUL9ZtwjsT1Fe7LPUeoXV9OuG
BoBpMBbxbPWb2HJvQoORDLkyLu4FesnzXRL2p5GSEQ8/BbqNh0KOK2Xkn5CoBcGvIiTOSnY3pnkY
M3mH0KzkPUPD0SN2IrGG0C8LmY2+y/PiPlf5Lyrv8+xAzPTV+OlBfFh7Y3mnCAxJlquLzd3WXDwK
ehz/zjbsksGeQA+HcZD6+DHh6Zrah4NjP8haf18jeumiASxCxg6KeuXWK8JvFKvFaqGhBsX81RkR
yWfJQ+Qxt1Epw/S+NmkGsslrXfFWhEBq8N91geZNhxE5H5I8dQChdTNq2d0UU07gKbRdFvlCI/fC
GXbCnh902ZOmkWJzD+tV49DR6FDOimJk/9dlO9o2+2rQyU10X0cykVfL2e4blb5rvZBZGcxxHCTv
EeiRVdSaX9Js7hUjlyhJd758Iz14707jr7/wMqR7zgfzudLtx2KE6eKO/XuKWHA3e8OxnZFH9YSV
l1r7wL4qXpaGA4wCvfXQfYzlvVkaD9YcnzyfUCS0OGw0MqAWzp3OmHxl8D95xZPPnrqtsk9roKHv
gMWvZk5EgeyoIjyyJQln7doV6x1CSa108akXJSOwGXFlYXPeqEUlGXYMD+aZfkhevxE9h+jC5uuV
4Mwtwim8oaRgzCm4u3GGmEQ7RAVZB5V1dIR1VA4vuErmZ39EiDVYWBP9d7IAaPzOzk+cGTusdjmm
cu0LZxN6O/tip7HPTNU8dzmi07bOP2jAiF1ZpTsPUZrKBg/gM9ntAzAFNGqFcUpsY933BiqPpHhy
Ki5xR9afppU+ge1I6U7Xv+bUQtCpn82MAKkUjmxQ5PlNhSM2ACvK5WA+l4rLNa68FxecTeU9Jwor
uumGrzi9440dN++Gl1+wtKKjKtMHR4a/ZE2KjYaOYHRpCjXTq9N58A6tcJUIJDLawJxQjl9mhY/O
iMRtZX7NMKMtKBhs09g9vstbZZnUAoiHMHuwIkqLiCXU6atcildYNQuDijMhFNFWtXyLKL1Xhl2Y
gHQ3EAqzJyvm0bKAGDKsU0HpyJU01aPuVd+2f2f64mOwvZ82Rl3aEkVB5pMRkEUA8lKCniqfQz9m
hBMLwn0rEaQIaslrwPaDhTAQ+Ce0jB7jiLrWiPe9lR96AWaOZLf33My+0jr6rLP5NjbJljDSW2ZI
Z3dysDoSR262Okk35KPNJSeioafMasaXqfCRaM314+yZH4XmnErYe1Dn80e0DTelzt/YjkAhYZDA
Ur8byujVLkfomll8smuTdRexM8vfWiusJw03RqA51qYBRbMukvHNXoSPsqvuQgpr/hSsO5PT0EEH
OYpP+FLa6LdGufMh8ObZT6HrHc7mY0RcUCC86Ttl5CwiV4MzBFLBo/c/tfaJilyzpIdYutwu13k9
hE9JC53B6wQDvDg5C3JxACPb+AfUfWlG1iptWeAwzTyE9PNQckT8AqC/QabCTzykT443U6YUobli
lMHtrC1fMx3eqFN/4zp6QI1sMFiKP0dveHNj9TP13a8xO3D9y6/Ex+1cCd6rOEwfeg13St7LY+Or
nbI6PMFh/6AbzI3s4UZvwhOGQYLsouajj1qPuqPZJsjsSuJG0nSfJu6bkcpTWNd/YmRJuI/yj8Eg
gU4nn2+koEdReq/3qE68xvuOcWKQzzicdZFdfF25gRs7XzjvVmHh9ps5W25444r7eNkLD2x3w6zT
kQcPXvNuEjW3//7RKr0vMw3xfuTejgUXn0BgMAMNMmFR//etCyln/GbBeTBj5rvh/VD9b/bOYzty
Jru6r6KlsaAFbwaaMD2TnkUWixMsFlmFgPf26f8dkZ862VR16++5JrkApCPhMuLec/YxV2mEcI+g
oLAU6Ybic7r20vp+TIpgBcSv2QtaxU7yNAHhm6OIn3/sKE62ArkGD30MjJXQNc6XxD4yINg2JBSQ
zDYdYtAx9P9NVJveLTj/W5OK1Zoi3qGrJyZBLbQFH+M1KsO6HB/NhkAZ+uh0Ck0K38G7Hc0PrZU5
+6av7+bReNYr8kKq5EpLXO4vIMJhHIEHKlDhEw+3LJilEGgeBkADe1gOH3Nr3Keav2umnvHAEl+J
gjtUHTybRhhtYeIkGwT5Oi5i+7bBzJJ2xnPqiY3rO7s6HAB1jHQ5SLSbwm+oqR1gynJUa/f0dRJ+
AMk4cbT4um+xBJFw0q+sctpbM/eoICA3JvwRjgadiRwRXSRQiH7TdKIECpqkKPL98NLNr6wR1kWY
e0+WLZ59OsrILW4q9mtEIkNXZr96E7R0PaBr/I54/1cswo9oGV8Cz/nZC5dCFeNt2lbMv+/syvtd
p9V96PugD+JqN4kqXLWMkERAB8pw3hMSOg3MNg0VNYPfSyR8O78MaGWGO8MiTNxksDDlhDz344ww
1QVdGJXVN/Ael10CTTZFvIYCvm5Wi5e95TWTyEVMtI8m8UM0t3baOgTU8TOPSo/MhZS0e0TqwSx+
JXBV+uibw++e6W7eweXkl5Mde/siJJFbAm3VQ6rKDGoxkW0U1zXijVrNQb2IinN9WvIZFUE1rkjZ
Wva97G2CD6TmFt2KuB4PEA3rTVBVH+p9SCiktq2O1gg3KGGojaX8euBnaBVQoX/aNtH329HqJfNi
AI2rXuzLoscwGNq8muZs2uhmA3dTUnzlw8iVhpwOf1/hJiVt2pEu51IDDIJm3m40iemNgpiSgtCj
12Gs9E3QClokrp0gDkrhmMiehpv6t2M/TNvlVIyhNXlw4OTAKaGn4s2owSVWt/3bf1vI/8tx2mit
y/ZJJ/eAWqpgrcKSkRsDQtcuHWGGRJjBMleFScdGD6SpRflQalGxTjXKy1rNj7dsJqh/K2s1e9l8
WlTv9uB1LVy1VoGCUS4u2bBxC8TS6vumlnw52NMM674vk3mp9txpL8XQQUong5khj7XaK2knO2zg
7z7tf/UOdXTU606ng1pXD1YWEODbi31tB2viDR7UgY9Vx0jtmvPZoJ5pphEQC4KmtdoV6o80h4b9
00WlyWibcsfs1D87dI1+m4nT/rWRK0NFsq1tHoQOZx0lkKI7RJbYFku5rDs6O9xgi0tbPuSJ6wFR
AD6luM86cyDgfG3v4scryv/xxZ/+BrXoZbhCDVOYp1eejl4sdMbQAyX6SZ4cQlbRCFSQNhJrPT3A
gIxPOxfYDv/Mp6sGyi3Zc2rnfd2DVi1uwIf42tJuwZeh3U588ar1uY5SiOtBPXCJXOJuh+D5txOo
1Ie7vBmHrfpbhrC+zdxF31a6Q9RBm3OhS2K12sHqI9Q71dI/3IbXbAFmB8lKnQlDklFLKLENyJPD
nFxvj6Tu4nz6yBe4sgcjbIbF2P/26gzGbDvu58JBx4tX1KMsFfrySvuH3+uW2SEUdkXyEoBK9d3q
K9VfuyTXPkM3hoal2xxOZ5Lc++pMUqvnbSXab3lHcszF24Q0GLbCy+68SOMOo16vHs5X66dT9LSo
nqc9N+4DWQeRO/v0lk44O+0ZBvH2dFSLOmp3sIgO5yv8fC6rbWo1kmehPgzbtsPzL7x4q56z1cmu
XnF+/9dTUK2ro6aWTu9R66fFL8+r1S/bTqdtVbtI9NRTZc4oykGqgUkCHLkJTyWbV/rgQuyWtyoz
IC8uMtsLE+cwdDeZBMJsSN1RpcTP9W5hrd1jwaFc6V+ZGcNATOXdmN4T/7Afm/7oyG4etcb7Igdw
N2HZDEysb2WqN3tL08Hbav1eg6N4qR7KoOwuG6MhIFOte/CYUOLr0bj2Sq9jNBYaK78YAGW5Nc+o
1/95sfDDajv65mOaVQsKy29I78RxlA8hqExCu9Siie5ipRZ7k1TAWDaIrAn6Z+C40VE9EUX8ULhE
irg5d+hcXobqARf9X0tftqGaYxerp0+L6nlfnfZ/fOnX58+fHE9eubdpVE1XztQs2/PbP33cadGT
f86nraev/rRBvff80eeP+rLty+rk4jELGz/aWS0xCv/8nzblyXH+ZLW0NAXm8Lh7Umufds6X1336
U88f01ECu4Bnk6/Vq9XX0/nfox3/QQgvihzVAf+0iEKC5ng+B/se7arqXKv2i1KWqAe1TS2pJ9Rq
S0J8H+qEDanO+5cwgVM7Pkrh/2AHiTYUzRkdEA+JWks+fFpP88pdUahiEKru+2f8f6BOABUMgHan
2ZaWca86M04+8nuvQPxwtphwt0xqELlzW0NJx1gMxrN6oT/WyeV06unUaggBRDPa2zikmS/TESqg
qOkb1dBRQg8dhV4ZFy4sMDrtmR3C5lf4EbUO7Kq6VKtz0Lzm9A7IcPnvFrxaYviwGwWZs24WR3gy
l3gbMbXJwPjqxM9WmAsK6V/wpXWh+tvSl20NgVnMQhGaQDtABmWMfz2MUdmgDZDbEh0uYA4taLFx
F/OCgTb1ToBbVMczpsxzqZYMqf4/b4tHk3PAMWKk80lxaBtUdwy5EDBMOCT/EnKodbcxn8OyDDeq
vaa6baewAiUvOnff5qpJcWpBrVaNN6XgUEvqSH/ZRswxhua+fj91jk8duNOyOtBDQU2t8wEHy8Op
DvG5I+eqn6LTuhpfLgy9ig4nqRyzxLiW+Z2Ti7MS0wxSWJTG9a8hxvmvjqCtDQilzkdUbUyKktos
Y9Ve09kDi2ha8K/2QamLlHYiHCxkHmo9mhEa1oRDqFCODH7XeKxKxFqz+yNEW4j3Qf/88KdtVGD2
WtwaO2GgNJulkEc9dAVlgNaz0s152yyNCgk5JExRQnvdSLfCEv+0MGUfqEGSoNIOL3jWUL+o4xSp
PAm12HMLCc1IbI22laoiOepWR0cdmPPREY3BJNWbic+QQ5XzgydvTudVdWUGnVtuUoLP1WFQB+hP
h6qXx2eETreXGih1UCo8xnaVuwgvGfmdDpG68vxkcFYF4nSYhl7NNUxFffbmfRoWyDESEyWgHJ0f
HDxxFqNQmglp9R7SSdgoEVRksNsz38UZrdZPi0GEbkkXzJ/VLtTlfjztb7mkVg0b8bNBaru6WuKE
8Mw29b+rG6S6YgIC2paVWjxdS9Js45bUz/AFAAvO/QmUaJmslP5GaIYJZhFFvNDNdC/lYSfRmnpW
aXJCaN4bd6me1blU20S6lPLhvKqW1DZH02g8MIBQZ5qQu0GTd5v/k1ao2I7/TVphoHb4Z9KK67Lo
3oq/V1Wc3vOXqkJJJ0zL9WzdMHBr2ogaxl9t91//roHL+k/dMQxPt+wAA5vON/2dqiLQdZOKC1IM
/5OqwiYixHYCD8yW47iubfwrqgqTKu4XnJbjUntBSEVIiW/6Nniuf6ve3x7iImr/69+N/6CGn5oh
Svxbd5ZsF4SeeooiiF+b6SLX9MNSlN42yaxj3lM2yob41affhvXWNUA40EqoxbHH1bIFU5Gs++K3
L80G4IUpb3cPdgX/0hts3OsDcfSGRvpZxzyxrz2QBeV9Pjr4x03KaSW/d9/Sufu5EC5QUv/eGLEg
CLWxfoh0ei/I3XVtqJ4Z4YD3AmQNRc2LlDsyNRxCJx0XZ0hGc4ucNwungYHE9K5elmfNyb+T5xTv
yt9IlOmYNrvGl+7RHnu+aMjHrTMqWFGY7SLeRlMJ1wk+xBdQSf0q9uaPycbFzd6jWmlD1yPKQ7e5
v8zwcKPhbVr09D7vyk0fUFBp0RNfeaZ3BHyDhHNhMpcBHSdnGyB2HMQfAAiPxZCVDIV1pChrw2z1
ne6TGDLhYYNFsqFin5KsWk47E6px7aQurGtCmkSAyss2bJAt/Of21PdXCZ6dSDKFNDBXUZWTIDES
tOiAPUjM+U5k24JmzG1dUJqvUmfd2ZG/iq3gEeEGRe9Gv+uGEjGAVpArkNL6dqtHZOwylduhfmpn
L0bTThsmBW9GD5cHH320BeRCJ5ww6BX1tq2VtD+CBMGei8yEdBCdCU45XlWEIhk+UH4Dk2+eNeU2
dpHQUw/6AHmI7XzyXo1seHAXm6S3BExmQdWTsiY0XqDBYlX68209iuYY+xmeaA1kcO6TCz4fREde
xzzwGUvaPHtVARrCI8xTZOYbgnMKkQ4Ms0QMhywlbVTPynCPgEUe2OlGs0D2JwtykpixJrgnOCCT
b+xiD8yTq1/nS/DTiBLE/qn3yjysWJUici6GuYMJciPqCFuiVb3lHbwfDVUeBInkpgalD0JlcbeT
RTY3EoaoQj7fJKPschGJYv4OdFEdRN6/6DEms2ZCT+87FoB5ArosJBYXHROjzt235XuqdfllUsCd
dWmy7BBrzVe67klXjXkflGmxFs1QPAjxHAqSNkGeQceKkSNqnVhrCchPmBxgumBF09KcIIG6ItnU
ALRr8tJh/urNLd3XYksOFj1fitg517dnrMEWUC8HOCkaG9irX35HKE4ergN3JKbe35DavNZs7w2a
6QeOcOrHi6EBPsEnj+4dRGpME9355RXTtaXLfnIy0v+r+/6CCBBO9QGm1dAiupAez63hdBcD1cq9
VpfrmepDVLQXjYGS3UhearhEB6+CEQosD19f0SELBRdH02QDiZoANFE2m6XI+3Wf7Tlq+QVoHkz9
Nd0B3wceRM2w9CCf+ahXdLLhPeeDPY4KpzONYzpiHYY6Yfgc2w4khRYhAy1sKPP0fqK9FVJoL/TS
PIL5fcORTNG8n2Brx9R93TZfuTotHNIMEW4M5XiAkvZSBeKGblqzFj6DiqHklGMIoq/trLeIqaAS
V9qCIKJyQwZHtNXB9e+I7VtpfThuAy1A05q9RKXBGVZM1o5woduasEIt2fRNS9vZYNhqY4WmSbc1
bY3GeP6Q0s9xiviWKCfnVvMaPDQE9q7p8d6D+78WT4TLAHqd10aCI26Cj4B5aFePbbnVgRfvTEFL
be5DEvBIKa4mfM9YM7PmlgSXFLskAvmiH2giYFFm5JQtzCFi7K6XGfGql/R9sl0Q6cfzJvWKlh4F
M4vTe07PyTd+WgeoRKTdgtkr8bXhMpWeHLWEbOJu0dwPi1pOIixjd55lqvmGWlUPaeNCjI7s392w
4BOuvXbazW1wCzoS0VNaouidHK4Ff4xu26U9uCYYI0Q8waoW9tXCjXrtCs9cUTfUbgS9fX3RB5BO
GP9UUp2viuZqUT20cgazyEglpdpXD2qw28qqznmb0U20OgQUCG0idMPgZ3TE0oDjlzshKr4HKy7x
7eNrjczlW0lTES+Ef4OOYS/aONvPdn+raxbuevlQOZGJXUYc+pZBcdEY6SVsO86rlNqoe+dG0fcu
zO+ZP3fQOJBfg33wmRodLJAezCirKN83qblRs7/YMWoiXKPHyS3Jb1Xb1EQxwyxzGKkl0DO49KFC
pu28J0NqT3YpzpPJf+uYOnSJRaTW6PwuZ6YUmg9rIPHaW0fOgpU/Q02ZdJK4CopDtqUV5V6Naj3z
PRjcELUC3U43WiAg0oNTI3L1oGZDPXYrWixyYmR03B6bqCR5zJq9vQapq+5cIhengB/wlMZRZZfc
cc8zPTXFsNI0vbTvkf092no+AGi8FK430SwUkOkM/QqmCBwsb3jVDb3c5p17QOaWb/XM2OfoMcEQ
tQZk+4jo5jAFrKbOAEvvaT7aQ7xSxhv1TeeHL9vMqIfMPpqyotVRXlYOlrxNptUiZwBqLzVyopkz
41T75vygxv7n1dNSkjdb8FQPgzTIq4cFriCUOWxjiYzKAHmJHTDBOlrZoztVuxxtkZrUqmnTSYYa
kpDtGeZLkU6ZOh0Wjcs3sq1qU+vmbyqRA91cKjVFuBt9Qjl+iky80wxCD1PL03uSZVpfVqnOq3k6
FPDu5TOTRxlto57KVSV0UdVXb07Lv16hnms0e2sPrUhWLf6W8ycNBex210QuqT7NkjNKtXT6mNNX
qO+RD5++Rj3T5/0TNRzO07+9RC2pjzn9OeevOr9GbStxctmzRhkuT7zXL0/+w1X1xJfPPP2pp69T
z582qH326d/4tKheBSlkYQQypdNVJtscXz7608v/+J/8+fk/vvTLJ6tVT9ZecfjBQGRgXlutOE6y
gFvOxgS2TDeI2VqavXoiBKIAUFG+Jo8k6LWUi2rdyZ+4SLjkhfPotVm9jaCGX/qqzPznxbZiiAce
jbhaA/qpgXt9bU0Sv+BJk6VmZviu1FvVunowRDHsG0yWkzEY+Bkzv1tXsvptg0rHtL617YWU2dbU
1zo/oxt7GCBeZG5O0hJ+ollZi2x+iODlkJGU16cmp+qAqPK7aoic+krndbXx3C85N03US8ox6/Zk
mq9VV0Y9wAYhu1N2GM0UNK2dMA5QbQj1IWVewshSi0MoaFipr8/VVrX4aStUtpcCJfzGbcl3nQOA
8n5Z/3BVHUfQOegTLTt0A7hxbFwBSUipicpIvEWmyzxIXrfqQfU/EgbDF45s/Jpz9rMgGxk6Fve+
ZTqmdoXtPej3qttm0L7sgItXftWtRRmdWqFW9wHLID+oD1R9DrVEy7Pzbe/gxuPHMgZ3dY4JRf0f
Yeo+hhLQUKgbgtp2at8Yunfgfee/z5S/mAOEnFN3Vu27SgXKprIMjD3XWYcIvCX2mERaLXgZsB1s
KiXXVy+x5QFurOylmgxnozcZSOdZFvYI+6t3s+8d5tB6mJpkx5BgWnfgjPMkm/aqr2f2NSaA2Igg
YGE9OHUjg7S7aawUu5P8E9SfFLrxdOgQdVhFx+jNIt6GJvP50Kqlou/fiQ+OUXyjfZvLhLay+pZz
B01TTXC1nirLoJHvqzKdScFoR31j5CiGZqdDENOjz9grTosva6+jrMFzLvyuRJ6fjq86Eudm2/nA
UAv7lQ0kkFCEXsOvDbhKPAtGiix/+rQy10gjNhW7TB0ZdVpHOkGLDtOLsLQ/dRLVC86tzfORPJ3Q
snNz3gnnZ9WSeol6Vq2qhy8fhWhhYuxxra4n1TJXf4xazc+iiPMVedq4xDikEFZlp+MVab271xfn
1FFXX3vSHqjFSV1qp0XVP1B/yKljrBY/tdtP760KfzUxTtSC/ptqdieyHim0UFs26jKhbFLCwJ3t
V6T91Q4GXgpsVDYK1MtPi6H8RYpXodMzplCCBnWmqqXzw3nbvECFmA1zUxkkd8ifQbUvzg+dEmOo
9U+ijtNfXy0TYsfrqeyy7cAyKarL1p0QK63qDDu4a//01R9iN5dg9PSD2tlK3aCWzvv+vM2jL0Ha
kaNdnF+svv28en6vWjofxvMT58/78t64eOpTaFJqX6gbZ++JptirdXXlscfT7qjWT3/8UoFUgpGt
f9JTnM+tYHmLZEVUnWOxqWPrVoui7xnKqBPxz4vqI063qgki/N6v8KRI+3EiH9S9RK2qJbXtvKq2
uXIU/C+9Tr14DN9HoykO6vvV34cf8u8a+afG/ulkVi8IzKJfTsKF85V1etV5R3xa//SpX7eq13/a
+GlRM+C6de43Y9GTU5f+3EZXn6juNV+2nVfVsyfBiVo8P6jjcV5VS+p9//BTTy3281vUC7981Z+2
ffnUL99EhBdWD50+Ew5Ydc12VBKsoYaBIa/188PiE0q1GuXvyXmjWjpvW07ObPkafD9c7adXqtut
+vDzSz89oxYhRAxI+01uybKz4i4FfcvzhfJp/bSorqtPW9W6er26zv56Z+DRksjwbywGJT0Gx/U7
lGDX1O27bElBdRJN5xS4pLqa4lswPqVTYa30ttefuJ1MkoDj3VMXxn6AxuSpStuDXUNZXvDf/yjs
Yu/WlvaEnjC4GwhcXpPV+pgmFRx1ElAAUKbiEANx0l3noZhwShkWCQoYZaurZSab2MPBc8jt/Aq8
DeVG6iTgPICq+APakhH/kDHAS9fUDOzrP3y6nSzFTIeFSZWkRWIuY6cpPZn6YT0/nCRn5/XTT65a
/9PLv2w7CX9km+r0DX963+kbxjS4clugkuKTmMH/X9QJqvE+qmnLH9UNX3QBatV1unntuV51QX4X
NzX19tz38NqoZv6Q1jjvJ2Ss8nNnNRH782IcZdHKycp3I27cFbxSDGZkSGRjB4E9JrAnGcW7V1z1
WsWBLsFMkFIZFy9AW+1t3DZ7Cnbe5QjRecU8Ck5AZz+3VXyH0uTKn4IbqwDn4ifVq69ZG8QGDt5r
5wHszntlhiTxcXvexAz996MB1qtdPHJh4mK8WIqlXfe4vsnG0tp13fbtqnZyCEkJprVaRjF1Wn9s
Xt1IOLAlGBnWmt/xFXd4KOExjkCxs7lsoLSC5RkFnVucRfsAXDpi0PRI9Hi+jyr+E9dc1nHpOWtN
C5/dvv8RCUSdUZaba/xg64k6G1W+gSoYhfCL2pcV+HBuCItzuTCmiZipcL4ZRESVwkXuD4G03IZp
tKpCihZzxRJ+c6xa47KL2hbnITm+m8IuPzQjuLU1G/Xu0JG6rf0m5nDe5JoZbyrk8nHmPJOshweP
wlxdld7dIJI3cNkRqgNoVcRdwrv53rv1vQ+y2E/iepW57NUhi1fmTysoupt+7rD/1PrWSZyt14Tu
JsuLj9mvaJIOiBLFNG2ZJPebOS3u6lIPbpn3vXuB0C710vP3HtFti3ScGyON7gzW5cqTjpii2tbQ
P9vFTbZmWOTA0rOWyk22YdpG5ZxuZF0ij8gam57lAGoJd9B2LFOGnzQRMB3lW6MizWr0kPr5Gtkt
lC0Mu1lbMJWRsFuPOOr8ozPX9torinVTt0/BgiXG86JAhnY+JlM3r1K9je8Tp38RIkHmMGnfygC4
0uIb36DUBFC0A/uCG1RyJN2MOL2mQIjrUtAG1yot/8eiwTxUDOQU9qO984P6bc4dsuuW1ITkQ3rb
7ObtlWe0487Vih+9fwPCfF4BKWjh9mkUyg3vKZ+NN2afzCoJEtgih91PYRPy704UnQvKTL1WrnJj
+OmOGamINujGTCPm1xq3locJTt79CZThrke9CTP9KkO8381ZcdX0JPjaBpF9I7YM60B3EfdsFf+A
0DVtUwqsdd/s81sbdxPzXHoVgdHAJ2s/ckD7m8xwv9lAghfiNrzKED9nS/+ZVFPx2Axpclk4Zbd2
S2PNKWfcdDO1cvotgB/HY7DE/iPhlFfeSJMktCtYeNHVhNZ3Pzr8rpR02LDHRLu5/xV5cXGHgfHD
N8Z93GIsS5qS5lzn3sxYmkwXfXuv/1zcwrzmTpFSQehHOAX2j1S6NU28o5umrl+yxLE3UGU8At5i
JofJwZGMjbQXb0sH0iewssugxH3chPYLaYMliJ7UbV/dkVZCMr9EozfjASRNeTRfNb8PNgSOoxcD
eNc+zNV7UTviPtHz5qKqimkb4djFQKytBqtprjwf9rPhjj9Mz+UkoUY8x0hzAs17N0LhbgctT29d
B02BazUbD1PJytI9PAF2vjZas9yU4QSIeDZXaBo1/jvO2USHEy57iVmFJ7Kqgo+cUls+jbsK9fZV
Jop7r06PlGMB9JG0Cm43NbLvQcyv4UC8W8PppzXaox/xHUGzL03qnuRG72wrvcc55BLKcMPPn+uk
0hnuHSKOI5nJj6XemO9wi6qh/D4CsVhjasXdlKGIz9iRmpEdxwQuZMPXYQB/xkX4ncxFbZvN82Yi
VAm6Tn+XO/lxBGq6sbSFeIsqF3vfBrFo1Fy1vW1Z/NHO8+CU+mUdficrZo3reANY6NlmvHNhBt4I
39A8+g3YejsJyXePN2VDoKvfd8RpE6PYZLJIjsLq2JTGtd/HaPKq6caesNDFNoL6eOZ3KY8wMaIr
m68Yz0Cfbn7bpe3u64EAFQF6OKwwfFgk1MaGTZ12wV/dNGSzjX1xqG1mhNATehqaXOVRST5jBqoa
Xo27netxvCYHl2xPmszbiqZNHFSoFXtoPYk0L3Dn5wrsR/rZFHa3gHm5u3g2TdnJ7tZ+8KPq6Jma
Da2gSI9+a1H3Hi1IgzsLn54FZK8cci4o8oHsFOYg/r/CEdG1tZhPjl6hOp/T9NiTrm3Nb3VbaTeZ
uXC6iOx61DQYrHkyHGjKIR+HdgbFcJfV3Cy5NQDtG/BeSrNu17RHP/IA4lHv/8798egGOX5BnRO1
mG2Ix9ysTEOrNpaXPlCZX3dkz+509tg6tYJkZ6XiNTHKG2KuoFy2dOxIAsRVFJnXpjbcLV1yDBpu
b33o/mTGvGtrirVBfE1T3JR+cnh8Kb9GWhhdm65ZEULp3yD5i1dWg8uvHwy6Ve5078SO2EEw498i
RdMqiuB4aVT0gicux6OuPWUGezeSGQBBCGuJODm9Hf1N9haGdPW1Baz8BMQNKFS/j+fngcwn8u7v
a6kIJ1fnfsJRTWMuBdKzpXhERLxJ4PvIJV77waadZfdm6l/pbnOBhnxQScTLPsyMlZMbT+ksuvso
bDCqlebOF+Ohz9hDBD5tm2BKjoYO1k0LN011NU5t8BDF0XhobHSABDqYbhEzGhhwmJfkQCJtTvT5
MqWjnAGUTCLycNx44DZuYTCupY6S8PkR//tmcNJNYcYYp7p82oSxwa1viR97cwZ+mLuMpmuSMrG4
zReG1kYbU3MZpNX1U2jceUt2Q8If8opXK1jS1WwNlLZAu1oCaL7uTrLw4zj0ohJyl2Ms9PVEvGYf
SwExrvAqPdrayzym3i6yRq76TGvAp7c/wOhe1I21fJtmIqRa4gcK8hUA9xGixW8X2e5gA0bf+QF6
Eo4syAONLMls0toLCw/NnjTNZ78Ve8Mr6kOXNNPK9VJU76ROQ72hsy+wubrz2gkQeJOHg6NXuxM9
tD/GTVUQrS2jWh5g91MZzoRmXyxYHT0tnG7Csd4GKc0nM2G438xvVNrCi8ERH1WxACH2wo2MZSWf
x9iKQ+mB+yxj4Pk5mmjrEZUE6rHY0dZTxw9q5jbET5EeUVfLJb9KdIL7mkswxkucty8D6guwodUP
3xkOpGUZF3rrr4NA/M7n9AdKE5Dj1CWumqJ7gGsYbIUzONJj/lPk6TeH3HSCBRJiHD14oW1GVECE
OVd433PmP7SjQTc2WeVujCq+yp1rT3v1IlHv4h7586wdtXEZr0bZq5o1l5Aqxi1Rx1CMu2mJdfEh
HtojEdZkpIQRXXsA7/HMTblGuLmeDY+u7zisjB5ubX5nWlZyGMf+2Z/9303tGisUdtYqwK49iPl6
QAaQNrVAjt3Nu8ZZIU5FvpD21SHW7gLTrVdgtygbms3B9PqKySkKWGIdDiRiOldMLpgz5APVZeSh
EeZzv7S32ksxmgzUEZMfTVyxRe7D4XLsx5i7g+cfuKM/5QsmNspUR725Syc92BJG/L709m/i68jb
QQIEeC5Z5bb07iZrYuKAUQ6gJJJy7UpoZOkEBJaF4Y3eDiRd1mDJGXbH9DuXuB93RVI3a11oLpZp
Pd7klrwDcfOz2vGOkObLgHEQo6pstxCmvGZHct4HI4PwVN9pU0+YZafvpyS370kdQvRCI1TsMXj9
IDrmBvJBcwNcAymJaDQYXMaWLAhySqvqpmMCbfh6QZLgtLU7OTUZ61Uy+695TtxsS0D8qnL9mrPf
fxIgZGdGAFNYPSTevCsNe2cPcLB6a6ooxrbJOiN+MyO9JKItuU5c8xkq4Ie3RNm6chImC16YbSvH
yjH5JjumDS91Cdu2R3OQ6cTcaenorfyRn09jqfdB0eymHiVB4CE9nEn+W/onqGbeZZHc9TokhMDH
qewX+VuRe1cegcEyUwg24ozKojec4UgdHjcDqPaes3AEWHFDKuHj1Pvvju+ML6UffCeyt7nAxPgR
J5pLpjk8Boa7+8ni/MrsmyZ1zGeYD99blD00SI0NflYy7woTsa5FgnjXAg+Y0CWFdbQ3CszmnZ0/
tni314QSraYFsVMSa09FQnZbS4hPWM75RvepomPw+U7SYL3Rp2wrfI6l6+BK1cp2HTUENYVTL7Yu
44FmxoflI0xbldTuDLEeiIYdrXG8qMHjEjeMibqYVh7ezNVoZsYu8sBIuEsCfRbOdeOSkBLbDHQA
3mPKc3R/7TWJthmie5Pfmy0ZCPRhMn5yIVoyzbjQKW8iVjGwbJr4MJ2QxIKI7C3QWj4RSwNDDuGl
GxTcyMrz5LIZ5/2YVjiKO7Is5o7ic+ZfpXpNEFnfOd9zpkvIfsGRoUqDY9Rk8Gn59AEcsK93+d6K
Hf2ioS02NQDJ3QSzHuBMm6CD5rZLIBdnTD64k2WkKDje7GxFngGpyWewZMsoZc6Li1+PWfLgtzuo
OrBf83k/t8l97pK7LILpwEVdEnkAhSjp8K6Eebj1J0sjWltfeVUz3Cc50OAQ8ZbwbDonDeo0kkcT
Muc6LjjOwC1ATwICC8e4hJwstuGcPYMV4DbPj9YoXG0XeILuiC/Cy6Z8mMb22Y8fhN09Jx02dGAZ
5SoFAVgk7oGj0USYYsNkpQURB8/2l3UKFa0D68gFjerfInZ35YvgWVSt2ND3vjfMyCWcmnhiDxy5
Y2AE7kkk53IxjFt8z8jpQgYzRmOaa5LoZk/8ztiXq1qbSUmL01/x6P6kfw+4QYSHxO1fHapc5KVk
T800Ug2bu73TRVAbYEv4YQGkon8xQxKkvOAqDrbEN/bggzvn+LuutZSgXMzd/EQ8mExBkDMn1daO
ckZHEdaihUNaOcOWeQXk7Vbc9KVHCvQ0wMjuFzR4Tc/PQP+0mP1LbkTmTcneu+2W5kafYtkRKIFo
OkVLzF1WAHmwHhNf9mBdL1obnaxBzLd9XTbbllS1dVxPFbFsRgTZJMmOPvb2/9MW/39pi01fItb+
Cbbt18/mrU3/Xlx8etN/I9uc/7QM27ZxrqJN/J/INgjvruX5oNRQ9p7FxRbINpA8OrQ3F72v9Ulc
rP8rYmLD9PgH/i6b17cdJM22FXi6xXVvfxETZ8Cr9TkUuLYHu5sAjcBuvlYqqVCKR9TS+eFf36Z8
BifLzz//GK5eCP7Yahp7bVh5slXfVapetHonmAziW7zYnqucSMrsPpQA/Uyi9D1z3NU+RC8J2Rfj
c+mX5qFYRiCqEsTvQ+SnTnfgs8CPSFg/2I7vhI1C8E+qGpLmW4+idsMkirAnwBpuP+ykZ3+xBow/
QfUt9FELyniAhpyAjryAjtyAvCVAwJFRAo0MFRhlvEBIzkCWDM9UAw6ZDCAIpNCnk6EEFZBo02qA
xIcYjKuSxnETahf6HOmkLDx7ZBtAFqL0KOMOYL+QjEkAgqOP+iolEyGX4Qi5jEkgve9iJjfBYHKf
A/wo+B5mjWa6ZSIu2RXldSBjF1IZwBD6RDHoMpShixewc6g4bBxCq8RonXW79WSQA2HxAHeq4tlM
on3rOv0BQ83v0RZQ+MfiMSWcCrQI0RBggZgidTi++DGlFf0ccaA2nn+ZyliJ0hp97BFETRj4YLjj
aUh1x+IG8XRAd2LaQOfIdsX8EcrIisEnvMKWMRYLeRawVp+DKA9WJYOszdB8K0i+INFYX9mgQK/n
WJ9gzGR3jZBYPpLqZXBGQ4LGkBiPi1s6aEmqXevl9wvkBSTS4KBl/EYR1fzsY1ZH3Eu1WiOlYyKt
wye1w5LxHVZgvQ9xPW/GifOAgsQr85R0HY7EfmTuM1R0MkVlIIitEw3Sy5AQQVpIAh5P8yjZFMb/
Y++8ttxGtmz7K/cH0APevJIAySSZRimvFwypUoL3Hl/fM4JVQlZ2nb7nvPeDMOBIJikSiNh7rbke
wla9MltgcGOukJxrrCVLs89grjJRRq3lfR9tIh3KOta5T5KIWfehr6l/VONY+qn1XXHi7pCrItdd
0OHarLm6Y174Jj/InZZBKGJiy/9eVT/WhWf7RIMqfKXjBuiB+Qiu2CYxGCyvQVWdxMi7IUF/O05u
FUR29QkvABk6IJ8PwzhO5FOSQVwYAXPEwGwaLC6r9TwvGoOZuKJOGpvo5hd+AnN7rhviaW0Hwv4y
VBFxbcASClsFWqXHD0W0MsPNlRPh3sOePzX2tcb5kbfFj7gZfGh3aDdN5znt85+qiuottgBfM3uy
rQXeo/m9ZDa8c5jcBaOc9lt3YNZfKHOFgdG/MzGU7xVmDTOM7Xcak1k9yr9lQD9Ubf6Blf9rPDft
iUA9mD99+d2tgdp3RMcqhvHRrSmrDxP/V4reEO7UXxTvx6zV78X1dQeW1eM/zcTkUN57zTSfgM7t
3VAfyc8w1WPJsP7Sh8kvOwM9MijB6kXpsYJ1HiTUGRWbqMsphjU0BeZgfNDL+kObleGJ9G/GNGhP
bgtHQUZvfk6KZWDYqz+lrf0uA0DGwCSGuNbBytcA4p1t/ZiGSvLkZONxIuiF27p6WbEVEKthnueK
34STzpnfliify+E+NbIPfYFmhV+XqawHLgCGpT0rFWL/AfIPsNBLoxDzm3y2Vrofa9+tu7Qhf2rp
8kuOst9PzhFDDfhYEwPcdFquyOuPvJeXNRrNe6OYH9Da89XQm9PQmPuon5+aPKJgEnXOySnAjzjZ
x0Wpobc5teFjL7iPHPcHYN7p2jKjdjNy20MALqntPlfYAQ5RrlOAaJzAGtZkZxmPgBLdHZ0GZkiZ
uwSKRXSdyaTuHaWI8jFsLGLd/VptSJbR06+mhza0ZrYUkdvKUJhifr9Ye9zxECZdQP4EhzP0+1kX
1slmVHjsZqcMdNP8VofzvhvuSdpkZmn4UHprv17CHAm99WQy49KoXyfQB/c6SAuQhVbxYLTJs2YP
+wYl+p4+ARHuq/JjMF3C6Wq8YLrZkW9BHrVPeEji1673VIZ+OCrROa/AU/ZCg+8AfwTDYQcUEYHI
Dw4gd/Wgr3HvGxRj9wvp4eKnNa8DM0XLXoIsfdELNB6WeW5XAF6aXQLeqpSfzTR+4YLE3hSO26Bd
q7h6qavpkZvBtaWVs8M6QUCRmb/zVEIwo+rqpQvFiulXouMOL4v2Z0xIxq4PJ26V/a8lXMhOyuIP
ad/VJ2oofqUBhUA8/os2zUwktYtIzDGviVWjZ9OCzKExDfRn8IGc8C1HiUX50P219gWTN5TBE/7b
u65ntl8QYAnqDoGgxaebW4+qo9gP4Gsx7M1xdU975Mc068/tslzpggx38biU1zE8QC6nJaXnn7Te
JHksM8ZjX5JflybLEwPwj41aomlJPX47lB2tFYX/EsIMshlUi3j4HsgkzQx+yAgTM4tImX6Gd1D8
9JKyY6iuMHYglRxj7cWDbR6U7vwVi76KYNL4Hjbh3hx47sgZfiHxd7DSJNeK0Gx058m7pfjk6hGp
bnATzLXZO2oe4Za0f0FOcw6ugZR31Ec/hDa57y3nmafEDQAQMJ7U9ClRgUQyYblmU6NcxyG+qLVH
74bQGTzLc0QG5pGTme01zXLBgjXVjDIqMJZjjSigECARld/TrhkIZkiqkT6h1/m1pv1sRo9cP2q4
k11/KRor2RME/MsbtT3CtObYM6RD/M7kE/jUaey6xe9AjF7olezVlp692Y4to4vWpUxFdbmjv+A2
TJNsLmyoyS9JRKhNkrWCwR4wq4KylI1PjCMJOZ7jxPdKDF+GIKt0yYTBd/4O1A/WUdU5h9GYfkZn
RaucU1dmnl+tylc9TZPj3DnDhbEC+cm5WXOz9zzejIiRnc1qn2fND42Z0h2gzVOo2NkV+y7QBPdx
6fVpvxJ/4Q+ANB1b0fyhAK5ieutxIafqRC3zuPRqv+/4z6LITcfINWtfXSin5gIGyOeXIrxsfg4D
FwzDqJj+J/SSuZYtO9qC8UNjGXxRGqw4qOHTY+8UFehaeNpaSRPFVvkCYVQCMF78dBYjo8MxcC06
qVPyAuVm16w6+u6lmO4cQOS0cCCduXO4UBekYeFaEXVdRednpOg0fhbrOK3cWevICdI0w3jG63ow
+7HNEjxKlqyONL3MfQopVM5m9Z3SGTW6wLg/tLYGyT+Nn0tcDlcLSOqhIg5tZ9rDPd8BxiD5XYPR
LWio0O/qcnxxuuxlTdUf5B28D2O6X7U5M2Qehm9NvLrBMrjWuU0hVC3c3wPLWj7SuUxPdlmQwxoa
H7yVGNuKhvOegoUVji8mshEcTGTdDmsHJZNFu8QA+QiltZPqUhrDH3ofYRckN6KAWC+65h+Kwq3f
kXOVhNad20AuJLsAZ5Pn3jdVUvmpxo18jerRN1zKJKsRDdfOmQ92qjYo2x3Iqk2iXPIFhD81zEer
VKej5ZDsuEwx4a4kWCJmVsYPJBQ9Vm37gOGGcpRhVic1N5EFcF9TQ7Ld4PdyQeyTh7SiebGCh6ds
RESirRQYjGuNH2/VDHQnGNkYNnG1KdobLspJfVXTaCS+oPmpellz6YTJQq4N+vRoWKp2pyukx1UO
QXazQ6bJJKBwUTV9VpYCNm62XE10FQ+xww/bSvrTki5AU7lt4q3Jy2Oqjgoa9/RhLjKDOBcxbHc8
ZcfMsT7pFWx9JQrvSauc/XSsrQPpErvUXMITN4prC5PukhMtcOrC9d2SjuFpzkJnN6kOov/e2GUk
mCAXdp7zsSZLNME4FqaN+qlwjaeUhtysEYKa4S+nZO8Ei0bFeVGNy1DP6X0TuvcFF5JBq65dtapP
QLL3hrbEVwLPvmJpI2zODMNTNlcfmm51L0XdvLe8mmTX0jnpxXOnuuvTCj8haNaiOVCxBMvs4ZlL
dNtGbBA6sEpWgiJt5b1aTAgxmVkcyjGh16Fqn3s9GBm57dqxmB5gWlYkkl2jkMby6jI4lVmOxe9A
x3Ui6vHNPjfL/0iAhgaUtMdz7Y7cFrFRUKrZwh1VqNZ03KaT6DufZcIj6dsZfrXf2/TxcIzrYv6g
Y14aiwWoTxn9uiUarsL6LxdVES2C36hfosb4nvTGsLdLE3eW0hB/43mFWBV4gdt233yPcNDd5ONa
poB0MIXqmU6c3woTvdSVy0UCKVcZ6awN5hyPFy7k1smCQOPMBd4qKXUsJOdCrhIW4AaD1n2WSlgp
b9sWk9DAyc1FoT1nwgYcOjKShqiM9lIlKZ9DLlQu7ExAnOO26/YCbQPddYzp1AjtlXy2ULI45Oq2
0zMTGuNEIm26dMZayOql2K/1ovUu0q6vZMSvVLNSVtaICv0C0l1KTJl4UGLtu9kGIaccMhEF6Q0h
yMlYWZmiojvfy1BIUh2Zb8hUSKRPeCiEiDAWiAG5UIRo1L5maA50Ii4ZMUJ4OJBQwv+S+K+Sa3Nh
rFqQKPi/cF1Jbbsh6PVyrZaMKXN2vgxcwQOZ52kLEXhVU+M7LS7aY5FEyn0BH4PgeGSS2yK3dWAL
Z8Yn9FkVYz8LHkgveCByzWyz4WQ5+CYFEKQTC7mWt70Z9Pr8dRSnhqrf90V8S7+UX75EA0ORwC7h
C0rbYK/hKKB7z1uOGOtogXzj/CeJL2JNA10QKhLxjnvxVRs8a65PU5FDutKgO2Rk8siFZBkRi96c
py5ETEag6A1vtIJNxQXPHLj8iF4JIgdN4/rsCp2tJtbkZonBPJiN4cWi3n0AcP/uf8gvb3pLiZOI
cdtmnnDICnCIJ/1jGz1N7pSbqxISSNOWHuK3gmm4IEuc1XW4MokLD/KLozBlIMG5QHwEW2vXincg
35B8L/PzUAmrHrnzGMVlKJEusAxcJgiBQb11tAf7LANqHcXpzlha8xaBRcqlRH+2zAka7iDCvNKK
tCEZ5JXxQ/GRIEDUF84OueA3/efaAikWHNrvbXlYlTvpck2QCJkj/36cDe8W5ZPY7ge9aL+8eba1
M4q7Tv051yINpzH53t1WTZByXMUHxiZiZzqSkVK0Cdf57cwRBxB+QBZyTZ44ztyHqd5ADxGZXXo6
BLVFkpbcUj2+NHLNM9ovzdA7ZGtzVktItRaoEUQ45CKWXytl4qcVnT6D4eztETL4682mrZVHz+aq
gpUNn/729IbRKT5uFyLExWcrP9YtN03um8QBufZPp6AktE6jyCmQZlTKTHwNKyC1gRK18IAoeDLN
NovHKubiOaOVoX4W4biQWBVHqu9vhJVFv0+c1Aak/VQtNJhdYRgKN8vpzXtIGbfx10YYWqt3ivzf
lESVV6vSeOq2zKSTeDxinwTicguIgs9unjLIvxJVYtijG9SKSponqUPbny83Exl9JA7IzbhuEAEM
iDbF9UhiYt6maYQTeX7uoBCFRLNqw/mUXD/nUU/AImotkRFkcssz5MLq2nlHNFBJE2VhhgfbUcJW
+AHFArbKBWZWgGtT0+73kE0J2xJxv6lYk5tz1DIDLURKWC/w4tp4txkjySezuTYJo+SkKQ96vHv7
JRTfSZk/J7+TFvW3gzaZT6++33K1TyiFZiTa7OVmbcTZMde0y6vz5Ddb7bUHzVKMw6svvzxne41G
Q9hcFjW9dZF7Bz6B31M5i+QzVFm3P1A+pLMFUAH+X03jblr9VJqEZJqhzDCMxX3wzaY8gHnY2f9f
R+bf6sgYMlPmf+vITP/v/uec/FH9PUZHPuw38EW0V0zbotar2rYpsnL+Ar6oHsAXg3RRFeK2wxj0
d0/GcMSDoMPwKMdzZbvmzxgdQ/svQ/c02zU0uirU29z/pEfjem9bNB5ZPeTnWKZlabZnmerfeS8N
NfJ1isr02qHsjRqbMHuDMcUxy+drKvlI0oNNdirJWLbXgYR2tL2iFBCLEAMFTWz9YRYxNUHrWk3E
UnYxseByYYhcyhDIDDz65VuhMSoxaoYiXtlwHZarpUs5IZCrA33Q23G5mTmMuZXMI+lDXFJk/Ftt
NFgKh+mQihuwXGidwFTJVcoZ5V1SvMhr52bUl0CqbXMoDDq2mhLvZAto8+1XkvUmm0H9atLkLEgw
ls5uyaXa0FVyUx7wtGmPaXO9pftIRJWkVm0LazDpKJjWRXrhpd9bLqQRfFIs5bAm3VXuoqw847p2
k30j4+RGOUyw5VBnrKrnXCMB4QYVMwXw8bbqMC28y+Znq25rPlPhDJWEKLmQm2lCloxG+mGLDHa6
RAmT8LVzRn+BjTVfhPAoj7FpWmEoJDUvfbE8KXSBfDwlJT7QghLF8Ih+NTos3Xh0GWvtHCUTjY+k
J5h5/BCit9ZoVJw0t/gwxBqS6rh9mLTMOi4Osos6jZ644jV9e1nLrAVRwhqCyuo4atr3MMsCx1CS
oAXOdcC0r+zorRQ4mtYcxtYuFWY12eiT/zep3XzM174J1/tSNz/J/79ohZmXdSay3Sezmmxfk/fG
aUhD5MoL8G3V/ok0AMOLyP5kUEoAqFhjpPHn2rbPqCdTzJv+OiLP2Ta3x8l9qhfiUm6oUbXLALvk
98P+P0/z9rB82kiPERXL1dtxpLArI5/tNS35x23b2+v95/vamtDLrCToWD5WLopW/fMDebNvJD3v
qFgehYfDm5e6fQRvPqY3m3MJ/EYdYJHIB3Orro8tA/xcQvjEzSwRi/L3ZiZveNu2PNyWwj8rHyOP
3E7aHmlCUlx60DixjoxX7t8Obpvbvu3l60WkdW7nbK+8nbPtgx9I+AeDERKd//qz/+m87flIUPcO
Laagbdf20G3f9t62fVmnP7a2vfANF7hsSJUf8ZhGB5hLwlnOou4qgiIGTSRk6spAaOGbVd0VA7cl
ekwHTUN/23Qqra5I29tKFO3lc2zP9mZTPlfmUJbHj82LefzYaDeIF1/ClOAw+h3ynH96nNx3e7A8
R/4ht2fYtrdHv9lXFcTbZ61aoVak2lKH38yATEUY7DbzJuZI+PXkdpLbM5Y8cejVqrUwNyTiAK3i
20P1cKLTdJSWwBuHeClpvyUJWZGbf7q94T/FvOh2UiQB21txYTtVFhgG8GyHJbMeUjGA3pza0q5N
RDdXaE1ph8MKWk3uk+fJNUsGjW7b8sHbpjxHLqTrW67FKsEW5JNAfRafzpvSlAXOHqkzqTavDvS0
5TFKo/oV0bVcoV8v/mkfDGViH9ChiZmkrLPINQn9lms3/5w8Am/mVJujdsQm4AlvhDmQ0gwTTCPk
+O3Jr3x3NwN8v7qHlBYxTR7GD3IxjCF/fR0RrfSmPCXqCLJQJQ/call19Vlt5/FOFSwTudAl86ZM
QTSiLf4yi4/K6NAo1J2hMF9swI65dNvIFsRYRaGKWjOXv0lOGX4v5L64sn6oJOkEpkg9np1wpaDC
orR4vyV9/04wNmWBSK7B7GfqUdV3svA9ieo3OQOLnObH1B7VfTjq7SEy1+dW2OuXtFL28v9c/v/K
sk0ernxh5M5Bfncs4QclX5tuKY83SPXMSlTvIboUZoTiI5IFltB0TyYdhWO4EpHjDZ55lmuxhQFL
ri32AI9zqLBFFGTFE27B5UFfRR40I0AwCXPLdgwziZY1bjKiKk763PnWDC/jvazo0cmwEBsQwGxZ
aMMD6GZkmReo07NY7YNZGWiY0Wg+5xiegsRViDgm5AkvyUrPQkFeIUZ1phy9yZa23JZVt9tOub11
vEtJd6j1XBfhEoTGbrSHtyfJJ5E7c5xVB51I4NtTrowMCdBLCaZTjPcYlApy9fp1JfeCy4msH8nF
nDToJif4x8XJ1iILlTPH5cIQIy+51slajtyWD9rO6SUR9s3p2zmt3Zg7fVXDveSQyMUqechylW8Z
BYJaoC3+8fhiI0uuKoo/b86RZ/8b++Qpt1eRDwHU/RJ5UUtXBWrGttje6jjTyqfv5O3lm5Kf1vZ2
32zKN0qOgrW+68VdaFto4ia0bUbiDhKKO4rWhwejpcgayltLJe9m24lybSbxjBrn78dsh29Pm5Ae
QIblXy8od6L/EBrnv7+sPOdf7sM9Rb0hNw42QiesPNSu5aInPBrOsdh+tSq3S5qQt5PeHu4skZP8
r4+/eqa3p77avq2+eu5ZJ2bdAnBxe+r/cVyeuiZVdddpqJz+6Q9/tfefX2n7o7NF+7B4NdbON29+
O+XVU8iT3m7Lna8efjv+6m8wCNrq4IaQY66/WuS/N4sqRVCkLKi2OWPbvz3AMdUQBEz+bdsVmr2O
FSgvMF6KVXlkyF3ttoY+HJhMclwYqkLTYTEDRyGlngVpd/RO5KrcKQ/nfQ3zbjtTrgHG0nwsWA2N
2t+HbZr98APFc756Or0surM+1ZSA5Ko8fnsluZ2264e19vJDhxwO697vh8u1V8+5/Uny2eVh/ruf
FQ0SjYbxla63/kn+VrZfhNw0I4qhp9vvwh5TIli2s9CIOX6YUJCSZeNJOsVjOQLC0lFA9/tr4ZZ9
THAEKBBnxvm7Dz3tz8q0LE8r40pVTq4Wa2ZBYxZFa+9nO1jJeab8zE1N/GZoKgKKE2O2bbOYD2l6
tlyRuyH6XAiovzHYoYKwGErgdsPPZTBfQm7kedUc56yKSJF6HxW0NKph/IIIr7gk3aIdesR2MVqs
QM6tM56m8i4e4pmAZsifkHA5h99m+GvSxoEZUU5QhjK9qIPut1nEADfODILNuZnbvbPPGhwWZNsh
p7I/5rwXy5ov9MZpqDMI47ujkXcbuCh8VsXy0zZ73OaushQhZ7HFbE1BY5uYSqdR+z88889/q2Bn
6p7xv0moHzOqwFXxdwn17UF/SajN/zINTXMsyMgeCGQPxfLvcp2o5Nm2QyS2rLtx6E8+syzX2Y7m
2K7mwrcSlby/ynXGfyFaon6OrZSZGfbM/6Rcd6NAv5ZUa6qoCOqep/FnaAYv9/d6HV5tt4S1DP47
cS55tei7aanPjoMGJg/jT1NLfO28Ktj5ZlILlfc0TQzCx8BcxTSZy6JHoEOi975UzBwUFTOApi8Q
6pnmnRcqWP1NfnameS7bqDWCQb+LpzK5DMaRFmS2N8bQRIvc/5gbldy2rkIilzCAxFRhLtrJiz10
wjY5XEJJw683Gv1UGEr0CrVxbVufagtGatsJu56q2LSEZucs17aFQvtIp3JIfhgMWk85yUOIbjpq
TuJBzVQ52Cmj7lAp2ScvB15WL3Ax5SLqav2M4x7BkYW5Q25mRZHvUZDgx/59sjwgF4l4hFzbnmAp
O/RiFoUz8gCJsP4VdzS+FRcr7armxUUuVG0gdXINbXrjemAvun72OkU/39b6yi8IUQNfnI14/Zz+
LmQEk4KzvriFR4SL5ynvhiZxDlV4xZUC86wjFMY1CH7dFilhllhnMne/ZCFukTAZLX/0kBvpll5f
Eju5ktC2Bt1DYVvEDXd6eiyJC9+lLUa/yf3DrrlGQbFBNaPmX/IVbkacwOBwx3TnLTBdplSY4my3
oopaXjpIDThmHN91FQgHMUKmEX4ULpS95s3rifzHq+GiviN4xvHNudHvIwi69/O0QKfIeoRkXmSr
B4x6JzVesjsFBbujdxGdHhgeV2X5ZZRaeT96eebz19xPHfRvx7y0qTFckQ4iqNV/wMfAfT2juymB
ot83Cptai7LZsCrjvm6hUROuTF5iPr4Xpq0585arPePyb60OL6JixffQhvh29msuhFKQCkzj1AGH
fjBjr93FRTsejQlFKiLosae5Oy1HRhhHnNzr3lXjaKcX05XQZvNq2D0Muxlf9VxZVzVP7COymU/y
mFdPfHqKGhRC4StPsNGl3tFyP2q89fvFXYx7TfzVfRd/GhWRC5jAwhbHVrGwk+Jx0S3Hj9X1ox2l
rdDVIYqmMHdtJ97WZCd8HhZkXV35w1n7iPJBozF5X9OjtQz39tDym+9MwShKDefQ2d3f9k3t1zbO
HpI+onSWxcVF0YVQQGkPwFx7Mh1JA+p4cZrWYlXu3BZl7FC9pyrJpbHH98cQXjN5ZSSyF7mli7li
pkLfAW+Lf1MH2w0zLWjad0jvP2IxirhCmfqlSndScGDN/Fgaw37CIulDU13O1EUQV0Tjg5F583mw
8Kd5PUYNWCMMJJC0aHfu/JRR1DvXqYtKxy2+SazRROzyqfLs/U3GIfFVt9XaMX3guMiywjpf93/k
bj6ezWHG3SgWU/7dtPifc9GN7UrRVCQ3ms9iJFiOxsdJ7vKk6kQjMaI1YKBzSUAsL8Knk3qM/YmZ
IWmpEQOKJush1f4WcuR2+kc2j2MgdRipEGPI+bxck/tmdzymWW4dO4SRuy50LR+O0gkCbXKqR28N
zLprdk7ofTdaMR4UtQX5J61F9B06jxbcPkkwJbuK2fSeuTQ8ZTP3SV8kCMxzADBZ+AppH7UB7RbI
Vnyx4b7FhE2Qprg3ROobRkauDdvkt1cb+84OD7LG0amlegbxK0yDWC+tCNRPc8wHLz4UCsXIMe0/
GuvC1ZiURfgbJOOGfOjJSGW0UBBNET49wcBQBZmGwbTdG54/QX3fCXf03umoO0fltRshw1uJ8lIa
o3eXkM44lNaJxgjQWspu9g3kJFZlBWlTZ0yNuzPcBAd7pagxVjrgi/ILsPEEO8bEvTrUN4WGFG3Y
VsLt6kaMGsTNKyd8WpYECgeOUpISdiu1WiZCKgDb7exHvbGc9VH/Q3ccFYl5aB6MtXvn5GPInagz
TsNAhutXq/sZiY51I0VZUiLj7HWLX2rpOaL5j8gvdu1fEJDaQJ6Zw03x5xqjijw7swkFDMMKWjZy
CKdI65M70Tm3DPSYyx3GSJfu1oTUm8th4C6L4iurSf/+eWooe71573Lzxo7L1uh+6WL39jF0KcGT
ariepGzlpl0RYgNrtq+wMH5MpcbQNbWNMy6JMrBqPd1Vq6dCKUjQ3CPJy9UVfbf4gmbQcdZldSBx
ElQQNjhhYwzZ5/Vhdgwy+hTt0PXlcMavhC28om2u03cbsJmSjpBqfiiyFmWdkBIjWtnmnGp0EFUy
9bBKnRePUYA6xu/VngvEQCUw8NIJYsvsDAgKRl8KZuRiBTiM/1sEJjkW6U7e3k4Ju0H+feMsFik2
hSyB/E8L80Sv7F9XT7p1eKdGLTg0cbGTC1kf2zZleaxIFHLbIiSjAopq8zU7SRlXpGpcDeSqXLie
5e0LcPM7y+yvaUSwKOHWBGbP4XST//XaQLAdzRB5DSqQh9nIQncgMQjC0sdHBBeI0Ez1260sJ663
8m95s7lC2TiWAm8rZCgOalJiyu/CrMajNjagP1Y3/9xZZrkb+0k9y0Wn5KbfFXwilRqZV81pmqPe
W78Kxl/EwivxBeKVv5b1DLn7gxLamZAv8M2MzSio9JHfkvyZ3phnpo2lx0UucZPbTWGj3NWEZ4wx
PYeJROcmC1IemLjEBHaOzoW5MSCeVF12lBVkWVYuJARVrm7qvu0wNTnmx8bddkyeKk9IYRPdwUiQ
8jhSEK3TRHNCbsmKuaynb5u3NTx8d8bEpb2xI1rRQvVSIeHniiU+x9qyq/GSNtWRMEzraPCOiR6Z
zygn1Ws6OuvVGry7sSZdN3KKJUja8mdSMKXTBK4dUtd60DzvnYQ7Si2jXJPEyDIRpZkNKLmd80/7
nA5PeaVEgD2EonJbFKXTnkjG9bddbx4vD2xAymGGuqEohnn76dV1kUyP8lfYtHZJ9N+siwF7AZ+c
C/qA2LgJ1fw0G0D5t1votinXxtVE7CoPy215m902CwSlxbgu534GxlNq6hy8qojKfrfcnsTvyDJd
f5T4901C6aoztDYXxN1pREZF6MZwlYvZQRi4cEfGUZcI3wIhAqHu4FvxuESfl2UYKXpXYQeHhBCB
JeqCoTnJ2oNdR3SNbmWIN2WJV4derSZDCpFXlizko8pgUCkLrBJ3Luf1Ev4v1+SCSNEOYd1EbavO
bCLe5CqzlobgXrFXtq9JIoGLLlcXyf3bnkXvLNoVsGTySyRSQm+OVU3WZm5P/nrP9pRvtA1zp7t3
g7PfHLby1eRmTDzvcjtyW5WvfvtD5BPK7aRxOOv25+N0BQP228CrpmWz1z2AYxfHWbhA/H5jb/6K
25+9Hd6e/d/YVxWX1GnUdqTBFt6t4UJuerZPCELXbb8JOpTNGCWWD3Np4kohsc5Hb/dgopkmHxch
w7iWn9LEHf3Kqz9laHcZzK5YSFvVRLzgPHXZXH9hKvyLIfp3eshNsMZ66jerUh4qndO1CgRioWM1
Srr444w1wMezG55tb92Z8YDFI7QMv+swW+WJ1x/6qv9gVAl3GspWMGtweNrj+GGd3MkfGvWzXZnr
rtc0nILOBQHORYmTdocY1INkx9s0Z2YB04B7U+HGZzuHHjEiUP2MaTsUHX4LcLPSroz3I9KPY132
P0MbApY7T+E+Vsevej8ngW1/ceEw7Jw6JSEOppXZtodl1r4ZSo74/jBW88BAG9XJaiv4AZChFvxc
TllHooTC55Z35qWq+oFLX/I1dvuScIyXafmReyRyGCVtLhgsh6iMP/cjykzHiAGDMiEtq/kcGcbR
6OtHrY56/qtwSXXR8GKHcEogPhz1kIpECmEtapm5DW3/WXHsF3g8rS0KGMXCvZWH7rAvPWczPYLs
YMHo2HV1oezNHPdbbvzI8Gp7lCY+jcUPdRiDgSHX4zIQyt0y1m1I4iHa/KkhGw72D3IS1lr4NCUz
DnOo95H9bfVcUllKr7urMvgXGDmiu9QgKIdZ9nFuG/5nsW34IqC0xeRx9Nz+u7p2sT+30aduhidI
7BTOaHPAVMj0MSi18aiYmU1EkRXMLSbkpI7LvWa431O+6eeUO/XeNMf1oMbJh3XWPoaOHjIiUe5X
mwEoTTkai7ZopAoJdEkudz0bpynS3rtTax6NvCI7qDGfEQ2+h0z8MHlAkNMog9WlRSRXYi1q5slf
dSWAqVT7IR/5Ef/vUZmaOoiK4VomafiCX/nKvwb0G7y0Dov5Pk64wHWmhuch5jKZkDYJvBGVLeoP
y8zP1qo+ekmr3mVR3yJfTq/quCyP3qJkd4WSP9T0tuaO76umhdXerMFoNI1P5G0XmNPCl3NY0Ufq
Tr8fvOlJT014h2Zz7vr+hxSXuqoD/bv+rJgul1U4K7lRt3ifoZkUkcmYqLfuXew0O/CTzU4nt/BC
Gjx+OCwn5d5IF/UAfCo8llb2pTGsH1ZnPZuuqn5BIvG5FkzEZczUndtQvJ7mtT3q6zTeq+p90gHW
dIRLxtSrlrMQasOOCcN2fqhKH+MTvtxMe2dXQ/e0lL9wmbwHDG1fuLLu1Dnm2vfBueLHzp7burpr
otmkgKW8QAz5VCbhIY/jk0ckENAVtwNiZ/co7IDyLFmX7GkgY1vPwdqb3nvLodvaXIa0g/tjQsFv
kGvAd5mRMSn5BH4l5OdmnVeqWgzzXPIMSVgDAIdPXPiGw+Eng1zQojMarpCLU1WMXdDnKSwpUhSK
zgOhH8/gZkiqCrU+sKPsG1nB3AO82e/ivKXDypXPIZWFvNRsr9dle8ji8DMhNem+tZEyW/kJ8+H7
GgrXOe+zQ+xYXtA35iVTneadMgOETDVg/07WvUy91x1DrlF7dQEumvTMcc2ZWXTfPaAKeoqgKBwG
+zhV7odpyKhK2aQ7ASR/SWwd6CdWbX1KvoOf2Qty4V6kU+46vl+H0hvvQ739BEMIZoG6lIcFDEqs
fxrH/Fed0Nl38eWfKiAGFg1Js/5OmYL3NKp8Olr21QvnE+7+D1oM7LKrshfIKRHsHOJhUnNGjGwa
xfvCdg8eHkK058NT7lyRwtvHrsqfx0UrgXzaSFKiPg8g8lQYDnABp3WP+2Gtg2T+PkTTt9lt9tjb
PvZRfqZ+lQuZ73svGT8qC2TvQs/oUcSXRZkfS93+MZaHPudSgxwcIJUNwqvMdri9XH9Wf00xAVLI
nH+5tHGyeMR+4pFWVa58/ZLa2VHKXB8wgzJ7cOPskOM8imfhEsToBPOQDu6Q4cuqDbx/HuMjfx6S
H/UUuHRTghQuxZQNGBlFaBb4yJPLrSo/5t5wnxuqGxgeNu06MZu9WmovS4nfME2+mGZT+lYF57Lq
xh9IvHAxejW/CwImkljrfPSbvv5tdBqdrnrmkAm/r6tx39mD+RB1CWapiEjaZQFw6eztvo0As9vQ
+QBrmdb9WoQPc+1Svp5AdZnh8BXgJcarxT20k3UZbNt+0Mr4HpUQzCAPCSGe/gfqzchJCvjAUeSV
PpF7OuKuGjyghod7bAKvNw+pk6BpT9fPyPPrXZP2djDaOoEHDBp301jVu2TK3mE2tAAhIxCI5++m
bqp+yv9I1+WfWsB6tLL0n3r1FFmUocxK4L/MhUvhJzvTL933Ok4/mqvyvfcSTBDh0O61dczumK4+
LCEwwDWKH7ERQU/EpGDVj0WpPblr2/ullzaHUZnhA/QVJvlIu1uwsO/iULAWjI99A2pyiLkvU0B4
NoGGwCsjADGp1Xd1VA5HtHIGZR7l2awIuC8GbzeONZyFvkjwHprjbk7nnR576hEP/1OGEl/Hh80X
Yr0mavE0VyrFav7LClBkS0TOa2jmZqD9N3tnsuQ4kmXZX0mpdSMFk0IVi9pwno200c03EPPBMM9Q
TF/fh5YpVZEZ0lHd+94wwgZ3J0FQVd97954riTIsyJ8qy0rA58w2WPn9IEsfOPl1GJwlaHDEnUV0
lXHdHsve/eHeDcoVAzoXY3DcTfZ6DOgFRolaQ8ziJGmZxS7ugp9WND7rmetoJDX44qAh5rwGvtn4
JFP7NSfY3n60hHMQYXKZgRzZhtOtzUjiHmkTaEVJBNei+JGVQ7kRdYM4F7YIzd87xEB9BEkf00Tl
COj47YM5NTkMDQfiq9wmql+Hogx/w7iii+8i1ntrjOLRR3y0sNx4oiVcXc34MBTldihkhmUl5vhk
mj5uRmChenikymWj5lPXWAYrnFC0PRn/j27IvNeanin2nkq7TU8DXNYB0iVimZHV3D9H9zJkzh8F
VecqNUnGU+l8npzqZsWmdTTgLFSFgRW082FOVRq9CmmA81xXN7+HwdcoC7YgFGOcrXBc6/JISzwi
PJvTraRSNL4Zkg5cS+21TN2pXJbQseg2Fdcw9uUDwLQRLt93liOIWBzmN1Vn+etMj9alb5CgmubB
99nByUQZ2WmLca2zmAnMsAYR5uxLe3qs3Gm8SscEuUZSwIoeeLzUcUVuCJ3JneuRf2zpnY3KJCzy
8ji16acUwBqgT8qVqYufZeL+wsAwkbmijU3I0WoBEXN8GOBlpcNzwZFwa5d3wkem99VgAo+H67YD
iadYEH3zNnTjKUpr8liU2HvAo1U2+GuOScZS9GkDeYi9T7SX1MVbUvDXLsqeBqUvK3JmIEdv+w43
Uew2ewIYwKB6d7d9VsVbOa68zIEla8feBmCGyd7xQ3t5tZkzVuXYBgMp2uCUlEjKvSD6jNtzUlib
nP2VY2SwE3n16HhP0res56CxMLsM7QafEdDgdCXq+r3taZzrzn51bQ73mNxueSjeKodQnNi8WcrL
qfsKRFVEqq7G1g9WZjk/luBYl5gGgfxwxfEsgiy+IwsTtI3ZeOx1qhdC4utycZ95KM6McshXcjxg
TkyWbm5fOwady84cf4pCTate4YjNNN8i1SRYmM38quS9Lgjs9eBANHWDiLGP0X7HIB+vYHLCSKxM
jjDMxSA65nBysZaz2wxd9jzlcD4lanynIEoyz6VHPabaFUJ05Eu1fagJPIvyblOLAExpqhEA+7uy
8eBhSKaDpI9WOyuos2UiyUfLCCqiyiEOXScbZovnzONfzkpRgVhO2BuAfmg2Lci66yqek1UaI0NP
Yv1ds/YvHY0yOEq996ZLNAueWiO6k3yY9Ic3ds+p9m9uTVcdTzs5K3Cqg3ndINhcONP4MRU5r86G
BpQTsGpKQg+qGibSXFGuRRPwcrJHaaQhpXeQvheQcloaQDmpe2lj3F8lLEqRPATVVvbmdgCScCiP
fRz/ELGEm9g4ciFscPrDZzOzK4lRbLyw/+1O8yW/G/Ncr9rznlG2ueDA82baDH75omr2D0RZb+ls
bSvZ/9b5+GJH4b4M3S3HeoT10bQPfQ7Lhe89mm1xjozxOUUT72VGd+iE3halmFbFvBGpmS+E4gNZ
ji7MWWc8l+FwKAM8GKP8sOcAf/IAbH2ubCLqQwbNYQ4ohT6ZddImiAjPq8dj514YDYU4B7AHRDMx
YGnAdcILz1vmIJOZHqhd6AQJ49hxJmUV9mnXmJ1+nQunvFCl2Cmoz3bmkgFSGRZFQwBO1P1kbvsZ
6fn+IxqPIYF6wnNfWCV+1QzPNlXubK0+rPlgRDZALFbtQKgV+3N46o2eTTSEoMRkHXIiowWfRFjf
qF+R0vWbVWKE6pFPzyCqlCoFq+ekGOhl8S8T3iFsZfFeTkv4QZAT0lbiav8hG0HTj3uylQYpdYyr
F3Ev6Y/M8cqwaCa2TfkZzUAyo2jaRfH0A2mOjbEj2QfB/QmYfbGzokYvmgJFifFNhwSXsbleOCO8
OZ3z1Nj91SmMm7LiB/he0yqHG7xIAKIC993WHfsThXytnRHRcvQSyjuHofQ3DsSbQzR1ycIzIirk
KITYWpIan5N9SxXKCSDT1rr384ITOIyallWNiKHlSMKRk93Bwjand31HbXIpaOmByhlKQVpoyOwm
mmp7YU7ggGLlWqeUDgMA3ZRVe/hw6vYdC+Ayn4ESx7AUF9mQvILDj2zrPcyTZIH8GF/NxO7cucu4
t9oLaCiZGQxKRu9sO1Icq5hd2dUBiBTg1415pPtEcBY+013WmvWlz0ZYKvolnkRwboZ7hDv7sG3/
KLV75030emNQxvN/A5h3ubE601z3afrpN8ynjdo8BBLtfOtE4TqSBF74zgD0ZyrwEXYWncRJrjKj
LDdEU4yl8aKHTz+i6+1ZL4OA2JAp9d0QL1J67HLOnecNgSQAfMSdxaBbswLIkH+/yZJ4yfBrH1Xy
ImANAYHAel5MPb/ESRXfFSeHlEiUsgLj27KCmKiLctVeI8xVizp1WR6Sq08uQggw3wJGvZ14CvAx
WPl4zpEDhKtmZm5xHG1883yvUWGsB2QcWDUfSF7SaI5vWjfQHUxrkxi2vQxDwfGbsJZFpa5xBwbX
GEDL+mG1tmb/BarJJ0Dwz7umROTxQ19AAadSCXiPMYi9RoOvVnaslmmccTo3vhEB7RMwLKazjH+6
wIVFPgvYIHAUcs6d/Yy02q6ds9kaL+iymBJ7JDj0gbmwXvNAYxQuexbjuYA1ScRkH8abOt2NVPfL
Lq+e2TTPpO3coKGpZb527u+TlSb+cugdXiOw72Vf2w3naO4WMyItQsb2OoSp0pv+ozNY72WS+Rsf
+Yvj7avES5aRI58iGtDQW86pQGKQBcj7w+hKP25YiCG9SsH4FJlF3Q7P3pQ8x/38OI7xLYynfdyB
823zDewPkdrvJS8h6MOlrH9WIP3Cwbi2Yub2MoC3wA4qZrm5F6Yzcmg+uBxoQ+vBScMPO3DuRE5C
fGe91Un9mUSyIe8El3TeqY0wXhRs2UqY5x4xIGx/2LNlwMsVtffdnfubzbvlBO6arHIzcp/UPD/X
7pjsrHeGCk7GAZGqFLhXn29IHo1xpBflUolm1c3+Ojab77OU3z1SD++X2LTyT9363x2tfxTFD6z3
ZAsw4MjN4IUx0q027nC24hM08Dabq88wSp8yUT4XvTMjZoQDjN78h8/9vG1T/V5wwF7MMUtSUk+A
frvyI0uafQMbpogZEbkZjYJx707FKrOrJyGSY9Oab9JqnwaCt6ORUXGpgpsawSGh4/hMVXrzw9eB
LFy7NU4RYUHazH5WJlOlRgJsMcDhzL1cmmHkbpq+zmGgQQaxrfoN+lk1x+9p1/7Ow4vTQk+qKiAz
YafOuAoXpY4eAgvBguGcZS8+hZW3y9C9N6ts59L3NqzDyqOLxEk7qtadjDFmvzluu4vCb80YGvu8
m27gyFkETRRo8eMcb/+/A/f/StDnWJ71V4K+y+/hb+9lk/6b//b+h/4p6JPW35WwbE6qrgXkUknx
X4I+6f9derhsKbFci//Y/Oifgj5X/N28m2IRtUjasp60/0vQ55p/d4nWFD60WyU4Moj/F0GfxTP7
o5zPVcJzXCmQGpoCjrb3b/Zbq/dqqsiw3E9mmD30ENYeA7p4iY4WA6wJdCEBtCXfhZcSfAovDXdf
VccfLtq1zKawLP5W6PxaYu5s//M/rDuH9R/f3v/6z/9gnsazUL5lcpm4Fn8SFfatacw1PaV9kfmU
fyJ44oBwnmlxXQRHtw2n+XPjyWXP6YopqUGxDOhtrKJtJBj6uzZBCX/9lGz556eEAdq2pSnvCk31
bxemMRxbVjDT9zbDPbD1RkedOFu4/+SvvEvMazbqXV223dZxwh+ugJuphYf1U3HeFcZjUEi51sXA
4EKI4M69TxbynotQmKiHpWkQvOLUTF/KLlzfmY7Ewzc7hCu7gRSzgxGOL3/9iixEoP9+kYUpudsU
N5S6G7f/Vv38eIyL8P6W/K+aKnMEVFHsTX82j47ETaQiUuurOFg6le/u7KC5r5+jvbMqlwQjWAnO
0iu7ivis4jkupU2HUL0FNl2H/+G5cav/6blxozvuHVKp5P1+/+Nz61omSoOS+R5q3mOAg3aAg78v
TW/ahiZYy9YH4Dk59bvwNfAFAXDRHup95kXj0gnS+SE3HkJz+h+f159uTMSzJvZ5nphv8kbdr+kf
rllCYGtlt80dZbevu0KSswMbVxhkblVWceoEQLGooy4BCb+1w+G1yoeSRARQZ7OYrXNOLMxfXypx
f5v+5bMiBTBjZQvf573Evf6vT2lqLXMOg7HfObS4N3iyjCO6B7Clyjj7Wdw8ZcGZnlB4g4qZPBeW
t56g2S1nl/iOvIEViyRtvJD5JelAGHrVjxmjAifcFzCv3poBJQwYqvPsZIS/KM7GInU5hozWyetN
BvDuprCS5myND4kSYk+Gh6AgvQeXIfyf1OhAsZo4DsN3VIY/khVRnlz83ri12r1wyveo62x60NiW
s8QCCdRenAFwcFk20wUWB8qiz5jOH401T69GCSxNunSqOiIS1p5PGtNMN3sxFAOSA1s9//Xltd0/
f06ksCgyLD73sFjgaP7rBS5yX4W0bmkXkULi2Xl5ccLgWBe+f7QTp9kn9T3holb9dSQDhHnvfKTe
LK5JVGBcp1/oMbVYFZYRHmmP/W7w8W8oW+bVpH8R/sZrn+rgmHJSPkaB/FnVUANjug9cX2LePBfn
uzSq96C7V2/KX2aj3W5LNAWHwXavqbKf/Snq91ErzYvR8PD1f6kfhofO09feJyDDiYBztoYVPXw9
ZJF/sQKFjxU6zFp75VG2xSNvo75k3Tju2k5Yz71bTLcoeBipEK5Fl1tbk9L+eW7hxLVNRBlIRhCc
FeMeGDevWupsGymf6Ah5QJxNa5lh6RICTr2BK1LsqyLZk4Gdnju/Ss+2+DFpmtvjaJHMk4ELnWed
7dngVqZHU4UPN9hGu0l3BC+6xGaFq+SUWmV38mDjX7o6i89WzOjKDsNbnrxNRqt3bG20pK15Ijut
ty40iWwYqhdPmlclagPEZKNWFgfE0xDVzd4VCLfp6tF5KStrz8aerDqTqJCBruTRUgzRmWC3Jx37
y6RDLWJE7shYqyIJRDvMpIOPou9fVFWqw9d75AGKWdaRY63u9s2N45jvIvKtQ1jj+cW1Jk4kAuyd
3LggoSzW0mCAw66692sZ32QHQg7G6Cmy0vgWGH18MxMmdCVlptNgLzGM2nrS6HxZmRWs2NHdWLYX
ngRm8UutiukyGNwtNr1PYKTTyZaJdBfMM2++Fyf70mnMra6670hvETqOjIsmn+xC1M5LPxUI3KUa
ls7ELk8LIl+r3rX5R7Lk5N4f2sl0yC6MLuksAyoYPDdRabHMqvExQdFwMAS9gRGp8ibp3Wo5a075
BW3LfR8587UsGHsHIMnjOIn39aQ/7qPsqyZX8Np3+Ssg6uOsO2c3W6Pz6Jq18RAPLucNvnJc87mY
Ry6yVfoP04RarWJsKLJ5r0M6xl8P5J3Ee8L7EPTdvzf7hfrHD1LB6+iQZ9N24XtAtogIm6txm9vl
fPr6Zce/a/tV4a79PFbkM5k9nMo2vJHVEN4ygmD2fEjo/N+/nGoW04bpy9ltvO3Xt1ygpzDRrQPT
OJhKvoq2tp2GTylyZWBieJJYYIzHrwcTOnoE0fFi3n+D/A/aowp7rlOdZYsM+euhs7mgKNh/fn2V
N2q+8PKY5ViszW1PORlH2dPXw9gH72qWDBtZtBet7nCjGvd0NwkwrSEP4zCPdXUlwh5ZOcO3p7CQ
tLq6+WRUQEu047/S1pfA1dvhycGRapXhK11DSd66nHZaJMjNvVavO81c18RRcNEUVfTRqETGoCaB
qEYc7/0a4jR+6SZuYrMHSE5CpEXRs1RlLveWS69W165c1fb4Myu1f20UBYr9XeVOf73HVurpVXvd
ka7BVkb0xD0M/lAG+93UWc0i8DEvaR+mc5DsRz4Xa6N1F0IP2V5kAr3N0An8vuKkm8BfxLJptimB
h+tQzgQuKUY3wK+nbZan8yYcqLb7JLX2ZhV/2ixtG3TzLiuXVqsMbO2qIedgaW1nBtzU5wWGizG4
RVn+vXPIZnFZfHc5XUSiLNSlhAq6MugNtmafb4GLuPekvRemd/REIJtevai4xebwHIyGx2zWJ7lb
kBSCRoJyM/OjdaDCcxbFNB/uVzNjPrefi2ZhYQraV6k7EDX0JrTurmbnrZIaBcrX+jRnynmeuJeb
9psyjerGTnUB2kdAYuwj71Djk/SGeKvFEauz2M4Z3+Xo7qEfH4lrH8bvbuvOyKvbi0YPCUScRcID
h+zOvr9sq4FuUjLvIqXqneWg6+EveA+z+ckLEWfGYeuDgXTKbVq0SA6Ybph+bNBIXzJlbVCrWPmR
9++qwng4dqG8SiLAFynYyzVVuEHEidwR74p7zVLIL+Z0WwQIfFwFHZuXNoG9V/VqhMq7MCJybhrD
+mEaRcN5lQFbkuTLodDlMemdhN/qotPoWMcuUsMJTadjFUyedX8sysQg/w8Reu6uBpv2p4qzFBF5
dZm1KjYUZNlW1kUMXzw6zMO0idL+LS4njitj8EwQ3TJMTfGUhtPK1XR0uB2N11DTwI3GcuvrXkKu
Ceerqm+NSKxD0MbhRlZjxT9/bwJ1io21n3FrNOk+msb7RmBlD2auvIOfzec4SWAlRlBz6pzcBJVz
Ag/ZWSfapydatf6J7MOxA3rohS4yC6YztBWKpPxpqjJdmUOV7BxdnWvUFhfT/83sAYVh4HzjUCP2
qWh+x3czf216zt7o/AdLOwQtTDP5ex56oDBLBgwvzvjoubN1LKTLdqzAlcw2yWsmM7prA2Jy0Ree
+wGYuHqPJcaRdBAHehdqObhVvNIZCijPcpDB6hBgIzk4XlNtVZuJhULnuEfJf6n7tayIrSyI1FoY
LYrD1LtapO9s4cTTAkGl4kMm7uQdVJzQnlUyaPZfT97owvZWaZ8pQIUlrI7Bqk8lwyIdm2c/T7dz
mBOp5j8zSm9YBvp476A2W3Bajna0Ld/raDLOXdouXF4ZXpPuwU2idtG6cX4cI+IM/EQHZB+AqGCa
vfOd+iFr+mY3thuQANW+7An36sffjSjKM8oQxExB81nNmImGkA08YfCTz/WekEBjo+4zxqx0nAOb
WsG8qxNEnyL/8EJ8uVEqJbI8lkIdjG92z8iXoU26TeMcj5hRGnskAHxo+Du6AOBEUVj1ljto72hH
LPw5ITTDDru1Q3ZqOKQoupjGL1lXfIxF3gm6xjoIKuOU3TO65kaQFdTKNbeJDTJzGSfe7wwuzZVE
Njtmlm53vto2ibvI3EkddKVtOFoKcQ69ikVPO7L1++xZoxE0aoU9t6mPw7CSZeQ8N7QLVdgs8lGX
b8E8VOQ2+M+2ZmIRz6R6DDXJsgWtXdaNZqM8lbzoyfxsREh60CSTx0bnPLnJ+eh7g4mzxQzTMpAX
INonz6/rq2MW8+9kgo9up1O2pi65eK3kbEoUx86ISAr4+lKTeXFiZ+ES9+oYdexRRBeOTzrP96nh
r5HoemdVRMMRzx8j+MkLzhxT7RWD6/ybFQVXg8zR345s9/Qezqphbm27Ps7AvPCONpr5o4/Ke232
NhlyFh8QvhMPg3dUdjYBwgYmmmQxA7ivn1Rff0oTIdoT8evmuO6yIiYuQIfVSptphWi9G46enBhe
RZRJbmPzpRH88i0bf9hQmZtY5N8bCrIjLejw9PV/Xw8yupt9TKmXjOeNZlGTunv0ceLVdu8SP8Wf
YEJxIOAD89jsf0rmxKvenC6GSLANGx5+wPtDwdhlUfc1WaaoxtFJYiXHUJSshFlmD4ze3s06mTaG
ebEo6RhHXsfM864G1OOhJArOzGyxq+ng4Hybqsev72nBRD9serVF/mpwlDYQAkxR81imBLZ1XX39
+iqwbOvg3Q1/X1+GO4Hxa8NtXKxqL0cjqkSFS6hxbgRgO7cpJYAyzRp0IjNCmIZuy752YFliOx0v
5tAx8QvrJ+imTEOcR2mp8FBOKJpdl6fTNFZ9Un5K33iQJwsLgnIHnIJmFW7ozlqPXWqZjxGhg27L
Eww63yVO2KQCs++qQUUWh75/fBQRC5XcUW6UJ8X6i1xXkBtmGA9WixtlmlElwDeHxvr1taxck1iE
ql4psugSCqSjAXxmaecZszuaaAfXCB8drZrt7IzqSLd+OPQc7DQywMPXQ5kpAtz++2tkQBGft5FA
T64zW+bk/Y6tdlp7aIhkzYyhFresQl8u+RAdOZeTh4HoKc8rH1RKkxxlFJKt19YXO5jDjR2Lb4bJ
DJM+cbHi3LAnXSUht0Zhhwnzk62zb03p/YCkFh4N+K+mn5DBk8envmROM0/hzRySC2nMl4axodfZ
z5zwdomlSdTgqU5Y1chjs1ginezUsQsoMRiLZBq/Y/wiadlO3gwMMtZswhtP4mfg63QFyKrhjNYH
cMoxFsR8BP2fYnY/5Cx3g2L2U0REsMzvuenNK5JNycl4jqogxkaSlOSZEPMZqZC7lChs5li7xO1u
HE7eCD4s95k7bKdy05qAS6t6Z1vJPsxQrERX0DXBtkMIZGIOZXyAVC0YGIzRzDwZSKgGiXKs7g9m
a36U+pFzfoDDaGKuMHKqsRppIdINiJztx13vuniLesPC3sNnqrbIFjBRcZpK/3bRvmCJST/GFF+h
KdUb2rBuD8QOAw7KuDDz9rTaUHxmq4Se0kHel8uvh1ysvCbydlbi/25nXmeCUadmjmSpzly7rkAb
NvqLjihZRqxEKReVYrhBuDIOxUXqGAZiQHuXeMaj4RDDU6JSXUPQ/TH6mkP8vb2TAxVN1atJsNs6
8FS8qBEUr7xp9rGkoq8r45SpUBIxLaUcKnPrM+BSV0NQrGaDfRtNn7Hs0vojfXeSKr9WJuHSYT3m
m3sHuUCj8YuF44EVCGWCY/sPymCMXAyy3jn3MR9En2WQCHtjjb54DT3n4tdiX8adTwfUw7tGZg/1
VeS8eH71DeJfhluTEtj1g3wZ+UNyslF5tXUlbymA6YVZNN/joqzeeEvORha8NjV49bipPxhOMmrz
6nnbDiRJeD0B1DGTVWQHziNFO+mz0mIolzk0zFCRX4zMX3WxTahmmuFq7YzXnuWniKnak+kOr63Y
vlSAPBiffLPE8h3t8In529l89OeLRo+5bdGO3JiPLwX6tlwjyXY9KSnKycXpGUZWZZCfSGRkfq9f
MG6ZJxNTCXpjHLgFQqhE2//EFVbIuIm0buqlZZgEwIrue0HjaDGo9s6mjBgIkolHMxOFgyWvEQ3q
wvCuKoFIO5kfTKqYAIf4nBlHgjExi+81Z6lt2qubOXtnRDbxMhWW2CorslA3+2KTDn23zp4Hmsok
XiX9ii51/VDW8ZN0U7x/gTrxrvXLRNBPCkziO1VKSzkpUfno2Tu6KZ/+vRzTemP1sgPozr4RGvaL
f1dtcVA44XMa7mGI0SZzk5vyhuClTLA7VBOBYaiHi9CG2jfpmkY14vAZkuQKWe/NMpA+kEgBuoek
QZRAy9hGntu2QbDU3NNEFNYPfYnYysgrRHj8PCVOZRGbQUBZVO+GFmUhqa6k9MT7oUtH0HLzsEK+
5hwsXbJv5rLcBHJ++fJtCVrXuLIFfqx/UNTawEG9gItdZ6Rlms9l4W+MdCDIYmjhu1R5Zh+iipqy
wsGU1T/UnP1IaEYcZs6AeEFsoQ5fXxe4tokaifZf3KMvNNIXb/3ry68H17rj7v6PPw7uRKL//u1B
+u2GrIgnZRdbq8KQ33vvMkU40LqZjXrNcDf5VKSYmHJ/19x/gc7UYYbnxG4yMcdvCOS4o7y+HvoE
lMn0K6IGd0w8pEZ3CjId7zODqG/vQVdMa0glvxVBdUr9RB2K3IF0UOUfU05giOG0itteG4fZfmhz
MtaoddVaIktaWF40bMIwmR+DGi0IMDOETEN4k1u4jPlTLPuXxlTOH0j6Y+gvxqaxj5M1rxii+oN8
0g1jFb9Xb+aYl88+CWTPM8ziArs/WUt78H/pYXDUdImmuIbmYBCWg6429MnZrvsMrnxk7sKOyLqh
1XQypmI/uwFoMcJ/7IUxGvlBYdqgueo+jSxcVZUe/HL+xZstWbINsXeHQhFFnIBirKZvNmrzC3nF
Dqplr6JQJOFnZjdu2pIKcHJXfalo62Z0VnQWlg8iac+qLItjrYGEcyevDLPw+S1ypJ0xQsrcrm01
p9+8PG+OQUGzIYjbYtUyLzulWXFxrNJ4rXw1bDCBqX3Whf3NN1DdM37ofo5ptJVzt+3nzn2SMiq3
fASKXRBFxWtZBMeiSIwPHMUV0narJ5Ijyi5s0RRKfr8mDT0isYEej46XpRzd9z6MbvAz5e88GlZ9
1zB6N7yHLHAIWAzJLWrMaVe7rfcjLxxF6SV4XxFX7TIdPfojAx3SmFCldJZclWGb7m1jcFYyd+ed
xiiwnQuWjgn6FXsL8iyfxmRZDcnWrMctLQ5oPEWLiCfS3iWsEbPTTLBWhqeNk2yMEP+h764o9j8R
Au0oKL09MpOEFK/iIbV665lmG9A9CHFZ7gMPoIKbnDJ6Auug1/evMJ9aS5138tLZhB6RbAX6A1PN
Gp3Ac0SNsEw0VXDYoGBGsIsjE8WxF0wJiT2lcRtxOSdCnpN7XL1peD8b1U578b0Yu+6iyYwaR2NB
/q19rJyKC+Nb7n5IRmPTVL08D01Obl8Rn6x7IJI0xyPTyXLPmnnurUTf7Nz7SF2OxGhcyJ9D7Zog
aVkioF7BWFKYNPSjbtmM25DY31HNv9o673du4CbIS3E+MbciDdpkgNs0EXgMNPpyRCrqqHRYJQPU
VYMoFuJbGgzl03sUdRzRh+aOFKct5Qtny9jIe7TMj9pxq01RkuvUd+obfA/EvlXkHLJ4FnQxqo22
be6xsWHqGc6v8VQXO3sanni3pr1X+NRAKd6jwtaYpdVEtDcQ4W0amlhVucFYIrK7e3o5p3SH25Lf
j5zmze8wJfSMkerJ1Mc+6060OcVptN6lzh8KWO63aC40HeiwOxtoA3OXLa0Z2nErpvfJHy5+4Zun
MO3WgssLEqGARqKGY+95x8ROvAvCsLewMMqrroOTjNCAOQM+AHNkZEMc1oMPJoI4KVjsc9g+zLS2
Q8nExh10vJnLOjp2sX6ciWRYK/GrdghFFNhYhtDgsE2CzbrFzk6l3tGZNBTn43ytB7TfnidQ1Q7d
TxO99hFoU4xjYSx3kCWaLt7mGOTOUd3bxJ7QSTPmM+QBjMATgW9mVUXrr85Bm+ekWiPKR/Bc7Bo5
FPs+7fUyJoRoN6VcDsJRL3Gu5HvzgtMhF0EH9qOHPNanTyECwksyVfYx7ayVV7uYTCdfIIKtynNg
YPKggPRt29sZbryJJgrPiIbeoDXq/Zbyn1YxnimHg/Rg3vWxSfG9m/cEcR00EO6LZzBr5pBEDrJJ
9MhDHHISkkyerlHLcug0nXFKGoO/1A6vg6AZgJ3+rNzA2ulWpzDFqBJDphIEtnD9ONh6x6hUGuu2
/zKMfr1FgxVAaCmwIbhQs0XBH6o6QVy59hEumYl9RPT/u3cyj5TIxDgU+pGQPv2N+J9vumOHlZhY
thGZj3SyXQStzRztQx0RlMR8HlTbdLOAEmxLUIzLwTT7i0e+VFVx8Es694TyXe79sXx1MQGcRGuT
UV/YiNirgDS8vA25CY30pvgrVjGyooXtJAEprFs9h8t+lLuY+v/YdpjKyJD3jiVnxqCjcZT2drel
wq3PAujXYYT9X4jSOseR92rmrt6xVr0yqiB9viAXFG8bRwurYeBrK1wLZKsWK1tVOWnpA9a4bkBw
57O8MjRJaZwE1vaLI/qF3CA/sN9iNjh95UA5nCpOsc2K3IT6GAycCCtT1SBIQKjHHsPmKraeiVDp
tkFioDutj3RS82MIXwczn/GZBXXNfCKonh1XgRFI061Q76aYxHNrNN7zTNOfjLr32Oy7s8ysBit7
sJODhTZvToIDV2SmTxc/d1MlLmAWmOepjvhSGmfHnEDyYxRmagkoyl3WVl0cR8OmQCTQy0g48kUm
eAuyB/W4ssP4t5fU2UZHwj3AIVJ7v3sFAM7kwEoAYeITyxceGzvtVpv/bbJwPsQpwu//zd55Lcmt
ZFn2V+YH0AbhcDjmMbRMESnJFxiZ5IWWDv31sxC3pllVbdYz8z4PDMtMRkaGAODHz9l77YCWxUpq
Lhg8wZGYE6YCK19bu7EPafp5CXRv2wj7Y0JfqBnIFz5Una4JTHSRdqGlIFuO9WW2AxxAoq2Gh8hV
aCEzBvF90b7Z0E2wAwTJxESbEVNWOMMVm9Psc0lG7fvYYIZ6bJeb+2Un4wxGh5IevPGRoSW1et2q
4sFbxtRitPTVHR/t0I0OKuEKnxSIeqbJSh9R3maPXmz8TrHjrYp2kIchs5iN+v2mbzJ+FhRXUAP6
Allgryhjz40cXZCGaXaMkpydQhQxZfXYgfrOW9FkLJMCbatBDhMrdyivQ4v8b8jNawrPxtdFfvaH
NDoSF9IfuO7N+LcsSTM213uSJH9EnhOyQ879F+iy16JtzG+Bgw4zGmSxNWfrqdNs/PO8Q9zNG7nW
cV3sRVMap8rMvg+WHW3SwT9XhYv9Swrv3UebSb1/8kwnfG1ai4bdOJ1DF45elHjdCpHP1xQJZKxB
idw1ss8Rc6NvoxlusL1CnaIkfbAq0sfQMZIog0hb0EA59ZR6lldaP9OhBpefMz2gCC0U3T/Ysg2z
TZvOzp5MV9Iha+2/JgUm3Qj9MmyKy5jRT+hz+2RZTf1Ym+UjLfptmtrVj7E3f7th9+WWRXkIfD29
oj4+01p4jSsnPgwtzaX78XA/MgKzwo8J27Zqs3Jj53lwzELJeR7GHPE6fRMN0EdFO2OvC9E8E52H
K8PGSeFMC3qHuM/R/d5H+OMs1o0Vw/jmEibWKwNwc5OBn9727N12dLbY9jHuxECjb32ai2Nd0qlI
xhmQR1OO74Xv/jb0zI+yzAS02tpvc0fVWsz2vL9fhMkexJmiqOncsf0akKVccxSW+6nHzDsVTDab
xDb2neFhsNPee4TD+7UwfXGFT/Se1s+S+f+LTN341W8sOtRFjIQ88ZEJLFRKMVRALO9BOvfvnSV/
5/7VHUh5/xb4IjKrOPZZ6yDrtHHiHx3he/P6nj9zvymK4cNqUlxnSDDEglvpvIrJvblAOP7+krQs
8zhMV5rN5MosN+6CqfWXbdf9K/OOzi1bGuCc8mTVLdEQxF3gIWEQCi/976+LWMarsHESF4lCdvxD
L7ijB/6OEJf12Wpr86jJj0rbHEfkHUUyLIj3Oyby/hVUKck1XH4k3oJ37Rcax99fjsuX8ZL1VXtc
jSLt5hvmyhCzFn4wdmbQwcu3f25cLyKsLmVWGwOeJSWJB7g/4N8P9Z8/awiinL2wPORswBaMVxZs
3XF4v98tvf/s/gAp/gfI28tT+LcHTCvEWYgZ3+/BEKUc+CCMhNStv7+ncXoKl1CzAVHGBlmvXhMW
WKzxbpYnZnfl6f7Vn2+DyKBQDeFlLff48/P72/9vP/vz7Z/7OXfy859HzkIXjLwqyAtfPsDoz6d4
/94wqgXPr0NoSi4pykEMylrAs86GSDrrlmDdmqbzfhhw3bAvvd/BEEiSdXUcvbHSZ9/CVn9/XG8u
ODruXwYL+uj+P/evrEjprZngN1nufP/R/QZw9D++1b7SpFqUxz8Pd7/H349ZjjT+yA2Wm3tSER28
f8QV3b+639z/o4vZgWdphwuiwgpcTse2ArU39TLDmMIZltWwYqmLCKZ2suP9Y8ZjvXy2/3lMENvd
LyfV/UwiKRR/6XLTLzdCIruu5zgiiGoYT3UFscamPU9Tj2//3Nx/lkczO0ODrjn4vorY1Lzc3l/I
HVx6v4GZEJKl3EAhmFXx5ic9Uif0ApnLABmdS7NadE0I4J202XmS7OYppt3nm9NW5d7e8QmRTNUr
ASSEpgZyn+TFyBItd3ld/8rxr5DgdiP8NdsM43ZilL+idW6g6reQHUx7CjT7rFy2+FZqEW6MuoDR
4VsW24+5naidPaW/sHqTSGPpN1nyB/N2mSxirzaK8gME37EvNPadIAr32nGugsMNUwlCvZAkcbqg
73btPrYk1F9CQbLCvDSb4+ASpDI6eTzB1bDyJv2TXhyzcgajKwRgaRXwyfCAqAjwA7fTtg3o/k+E
Wks6d8QO5IhaUnkMpHMNBPYUp7uOy2wYE+5Ky+TR9PyzmHQAe+PctzUz0m7CS9h9iKx5omO275Df
m2Dyokl9Ve5HK3O5Llsf2nz6xdV6wxCQ1xPG+8RQ6LXq6WvGY2CInI+bwayafKLXK/fNHrwfhrk3
9R3q036pljkLmDh47BbzgkATq5FPTHAim80Cy3hMBErkdsU67lJiz0k060yXIO4g/l7HmPKGLrNw
Co3HErFFwuSGkErQccFTrBa78kQpX4gA6gguR3/jZKIDI+DRkCHraDfQQBUtxin0KDNbN6tF6qBe
skyuLId3TrMTIzeoPxKakSxzhWhXgSXYFj52DrkniQgqZU6JXzWkc/fBc9w+FOXkbEvYosLvlsws
lW9avL3saTMNK53yi0GgZDjoWPsAsc1qrOuOiRVdSduOr37jvEyt7a8D2Xa49dMbLaorr13jQ8Pc
iJgq2XkxSKQGN0bizvjTZPHO2fmX1WKpoE+aaAbcFPhHgceGSF/7EMyCGYYT7ec+rvE6mz/ZQGhO
WRvDJsd2gpM8LHHjI0ncBW31MbVOQU86/hlXGHzQRG9QSAbbGSQEL9i6TZ77C4vpxh3ACRnFuml5
j7vGtEkJzHFuEXi6b0ZxEIi81ibKnZ1p1OmujVqcgVg7wd0b05Yq2d4XEfwarMKEaoejvxZRK17H
qUKVZBbn2Y9QA+S5+zoXln5mqr6bl23D/Udh6hP9M1g3YAoGqxDkB13P32ygzNd8br2jl0ATSQTt
Alw53jF0R+/V6ADqOEFg7pgrIuh0g1cc5vLos0nEDlpwgjrg5QrpWsh9hL0JeAVaVMWzkMX8EuGC
KpukROkTUPGYHDY+Gj90LeiVHMZodCZ0/zoSK/jQV8kbC0X/er9px9MIOeolKS9xwCMltfOrVo7P
HisYXj0BCY5kI5bC+XcWkwhkx0P8FDsG7u1851SBzbUq8w+eNy+niRHfwsg7AYa4lAxmVe/253p2
mRG0nbHKvRvWPe82WvFuyub+yezsl7povkh8wIzUTvSqJ6d4lKJt2Khbw1FZqcNVA6tsU2JRsvKm
Isu42ZdCOw8WO7u+LNozwu8f1DvpLqGNSN9vjCkXxXDxkvccICbV/9BsAz1yFAyvCD1gw/bDAPje
p3SqKAsz81pL7E6uPQlSk5ArjugadpIEec7kxIXLIDPa/oTVh5F1EZZ4rvue6ZIMxy3tKr0qjQ9n
7OXVadVlRHd1wH0eY+uNxg1OiWrTxO2iVs8h73Xt7ymzX1BWRC8t7fkoaPM3CXV41v6LG0muK+lH
bk3DJfCn6poY1u2uuqkbupJxaZ7CuTn0kj//3yuLrcUx8C/CbYXqynNc3ByWNO1/t1rMvZ34sefA
6cNffxh6ht5tHhhEzHtvCtHiy5iTit7M085dxB2jxBD+3z8F+7+4PZSCE+KYlmuZDAKdf5Oz+wHA
Bmjo1SHHu62Czn70Qq4AxkDaOQvZt8ymPkcQUO1AVEYPwsefaOfErd2BGbWTo4wLo/MiNjV7K3/s
VfjaMlw+sl01HxYV6L0b9X941ovg+t/eOOWZJu4JdPgC1fu/CrJxM2ROUpLXmvogMjLXUsewDx4s
h5QuxAuChFZCxMbeOvaSiG62Tem32TlYIv0ZD9Ml0ML/MW4rS0U/pW2+lzRzaP64vxGouILrFyUw
3ZgnXYIVJvp4/huH/jX+z/B3+fT3E/1nd8vi4/kvz9+3cREoX/Iy7oLzfzIRTDrBM2PJkktdQeku
jHIDfIYXQRZxiqD6iCqjWCN56rH0e5+9jLk8iCu4hRbIYSm2aPsvg/rppklzmKX69JcOSJ1U3zjz
npKxqvbYGIe1ziN33ybiQbRZ9/9DGP/vmO6OXDxT/00II13Y6H+sfzRlFhc//tUIdv/V/20Ec/9D
uBDYhZKQ0225WEn+QXZXgkhFS9ItscD1KOFg+fiHEcyR/0HYAONF8oIdm1/jt/6Q3bkrF1Gb8tW0
6MD/vxjBHMtePDb/fJoxcLAdx/dcaSvLdDxQ9v/sdfHSsc6bTCeH2HTFXo7Vm6uoAc2k3xaV3T0n
jhc9h8nAkM/KUAou+OTKdG4Yv6pVCjcUx261TodC3iqjxhOj7WIXw6+74Oalgp2F+9QHKB6q/kl2
IcO/InlB0oQuOB7yi156yE5z9a0Ud685fw86nLqFPyBfaYvqnJLdtwoTjWIwtrzn2p/9NSbs/MVL
u00aynA9WYFzUzgAdq1tgW4qY/9MJdztrJqixY5qOpgj80K4WeNX6xvXSFkGz1xmZ1HI7DCPQb6M
5YdPs2k26DrHb7FCVlEjNa4aVkNSocqPacK0WUceAr1syY8Iu7eRUBzIs6wmXTu3bzpX3apc2s+V
quTifY7eaL+BHQBmlM/0ecfyYSK/PojEsVf1D9+DEZTQH7XqMdvlsasuiZyjfQOKZBi2VUmyq+PE
HwRZj1tPRlAB8/7iIx1Q6XTWAeUKb9a72TabrEL2mfjzK6B0Z2u4PTZxKX4bqOHLkj8HD5IR6Fx7
ONJgkIDtLBjeHIp5uCG487eejQXWZh0W+a4wLb0zhEawWV4S3fnv5jl5hpwHuKUbP4MhH3b5SPTg
lCeIrpuuPPj7FKj5TkNVX/kwokauyk9i7G93f0bewfyReQYumZdgy4uhEIxWab1tS8pJWoA56m9l
n7RH36YTTfIeINFGvoizRjXRStRWCdvmF+dRfUiTXBy8STJPgAC0CUrnVackZW89Ta5WpB+VnQOZ
doOKMq+naHTtcV9BJdy5fDi71o+Y4EHswvnVHLMRUEuYEP5Y5FO2gQBEaz1F82JUbnS2aGeX2vxZ
GUw4p7B2nk0CvPrAOd7NJSBY2eXzoECDQDq1pgxPjs3MT7FX2VBZGjsjSPx9K7FxJL3vPDEBVMyt
cfoS3/i9ccz0Ui03DGvPQdrHh6hATmimGcd9RKdLO2AR6dB4/o0lwr6qeLSvmDrzjc4QY8QieQG9
tIs5sk4qmGDSJNOJAUqy1JJEXyr5PDoTJXpU8K1mCtvk0B94Gmz4TXDpIWbz1Z2ik0DW2OSG552M
HpqdQJtklDF8eCjRm7ac3ovJphPPW057ba73SbB8plilkgBIn507OM0n2e+8Dkt/lXSr12EsuvPY
RD+doM2OTc0W0QXmToB4tilNlG0K8P3sNc1hmm9D3J5r9DxPnpmTvmYtL38iPBnhOfJcowanKVS7
b5eDtQookQgMgCFswc5glKVo+qYfGNKbJ8AjCNfTUxyw4bZD9R4ZQXmmX4MYd+lkyrD8zCFTeI1G
dMsV+Mq58+G2IVI3bUFuyObnebSno+m5HNxxckblEO2IsI+2UQEpiWmF3Hct488E8/yqM3vmvlOm
NuCoONEEl4kGYtBmwMD1AL2yvibsxZKm+A6yrMZgXiZIm9d6fDNIMW9F3F3h3lmrqWGQ73cJRAan
pWMUsyf34f2PRfXoiXLtWSih9TCiTZv9T+UzJJwLD5Klm3+zCFEtF0JfrYzyW4x2eDK9XVdjNglz
2JnSH8cbc5t8nXlVdPGmWa5qRa+a+T/wM6iPa2Hk3WPrNfazSM1HG9fjoxq853lm4sdom11HKPuH
mmBc5Prez6GPtnXpHsMqeQ+HEDJ4XqltsSn7JDnSW3BX5PrFx95b9HS5x0isifG7RUvP0TaSQ1IZ
P92kHF6SwH4sM3cnItoU0pRYsLKm3LIOlReJNrSYug9z4spv/Ta9yH6sOPq3kRmbD3pp7xRLuls4
9t0+9Gc4Ex1WwrgXKNOJ3RC19yOMA//dCabgQTQWYe7oi8YqQAufMA0bkny8yNywdxM+6Z1kd4Ip
aHyaI1V+T9xBPHqO8YYj6pw3snsrva22AzglFuQkRIX9DpnDX0nsQ/8wgcOkumQKWNCXQXAZH3Ko
V+dapZ9ZTFgQPsmzCqIN8Pv0tZm+qj547CJbvSWG8Zl73bmqvGQzL62f1B40kLQOBCGWgy0YI1ba
uW5IE89P4YQvGQPD9xk11yS5Z8+GaNc1tU9pCcY1DCe9RksXH3yO+E0b+A3aELrgzi9gvv57Hdbu
YTZDmiZZBZlPRS/JlNprQJm30UzrfdHwD4nINY+cTT46wcaq/P4stB0dmMZ8BhE8kCHNSQAFBrju
1ZyjQTaSfR9UiB7p8e9lZB/0DKoB7IuzLnQ+7u+mLuX0BxPgzM5rgHG6vWte/JrZLu4atVezhO2F
AOMYFuawUZGAQAHvD78bIwL6398JrtngXbffBgvOa5xYTwxmwnUjpHsTHEPhMOxkadEmBK2AMdt2
96zUABkQ6G3oP/xlT9MPBHkWfJgzMBz/fcqGG4XRj5nOxBqdp78VqX4LiTqhJWl2+jLXxrZK1Y9I
TJCJjOGz0ifDghQhoWyvoT3gcRTW+e+FxJuSIz4aVsXEI7SxJpy40ayJuHpsagCm7GkDCjUSOsep
lQEQsX/Ytek+p+zLj5lZOxc7deJdUrNSR6IOV0IX6tC0ncmcKipfyzgh9FCxrHd246zyEt1G5ujy
3DBZPpZ5aC3Y2pMZZOrA6b4qguFLZjcyHbGyMgrftxaSL6IjrFuahRuv7f2zA2W8Hxpyc9yhOXnO
Y9gJ84Z6ZSGqnoUVn6DflliUIM10JUr1MUCyEUm9cnWlnwGD0eQOgksZON2atJ90rxn5XwiSPska
rUxS0ffysux3PddUBQh7sSA9E1gw44DR4y00u5dWG+5rY7WrrJWgnK3a3Kk23BvY5C958h0OZHFU
7fSrMd2ShlxAn5OB1uJguI5z3K1ajc145aYhAV4mmKBeZbQxUyAyaZh/JzOLbi1kQWBSag0i0XyI
M479smoKfKejueOTdpBUfFOAa7k0QlvdOq0RHoc5sdazWqRZqnvsJZoMldBCIAoFk2SAEa9xxUYo
UiGa3o4u0i1/d7jIduVo7eDpg78TojjqQTVP6Bc+hjJalJ0vrWeUL8RX23hUmZ5IXBE3utPWzqzr
dAMOs/iEFtmBdhmN+cly0y8voewQtt4wOfGuirpwg3+o2YN7QtLjfyvcG7bV4RHpzw8XMPQ+B0yt
agIxrEQ/YyClSdh6Z5VlO7TE1oUcpVZkxTnricZxnejSBiGdsHBmUQBQufaxjzJIztNzS6Oli4MJ
wHAVUa0l7VNOqTWKgeZ80j1Rs+aXnHeRgToSByFCMK0Eaq9JQ51WvRNau8yT77mt9RKxbR7yEhiQ
TYzDilFoe04ZwfQgq1FglOGB5Jo3obt479jBq2c08YHZWLx3k+ERxz0FQTOjou5oXrec88wv1tI2
XhNaaIFqPr264hE2VZ/Uj5Uotk44PPt2XNM1R+GZEMwCknTjW5N5cu0T40froU4kpLihmzdNg0Ar
kP14y0X1Hgl/lXZudVR9ztpZzbeU/AQzjqZrCTF7DMfxqcQg0DmxddSjcI7G6G/BHAB6NCjCm6HU
216n5i7Kil9FwZIbGE58SYuJecoE/y9qPfHQqr5jtYMzyK4rXynDqdlmGEiPAQ6vk2VF0TjVcrw7
x3sxxPOlWTuqbd9WLzru4CwvHR2kKOtgmP2Ll9KE6xaEYGNXL94YhOvYipNdHWXPTHWTK/9/yqRC
8ZPi4ybZELS4i0/MGnpnVYgJxfBSlA3eMF6SCFteIO16VbWJfzaH/DuNJJQSRpFdagBCTDhwFXhG
nF7coUCdiwHd96ZqCyBr2vogNg7diMlL9lhn6pA/NWbuS+Ng+ZMls0GT1XJLYvLWhnQ+3Bwf9kfj
sXta/jPuVcTTqlZzXk1M34wtcvGcHrnBucvlOJJmC3fOhxHRV92qptgGoEXUa2zXGVWlfzSAmTHQ
pqY2Gmet4rw8oHbEyoOiac/Q+YAb+1r4MDt5ZDCBZs/0Ag9I2X1HgcNhxz5gJV2TAInxL09BfdR0
6TfAh7+EbXJCOhVkrQqvZpJGxroQEoiPdubNMAPV8H3VbFjuGQqhKM38/khMUQLIvbUfcKITDoJ+
LICFYHMIRHgVsjD5TFIV0lZVTDuWywAf3Rboa4KE/VHPtkvXHyRQC+NtjsKEHdQwHGRjEVtkhw8+
Bu1Xqyo+/YYKuOz9A4O3fmOjRtgE0xidxTi+4Kjo92Vrqv0i4WRzxUo3smExs8X40oEG1+mEdLqB
ZuqBOet8jHPeS4U5mGkKubVV2uUs4HDZegkezDOMfp8l04ef1NYD8iWkwDoYyLfhsGygyliLVTFP
02s1VR+AuySHH5I9VTgxOo7pG2RCAj0WL35SBnKnNPP0YQ74QOP0s/OVWAE3iDdpN+tdryT9ZIPg
mKHkRAnIhSf4KDyJMT0XtqiPVu3+slTTQ3stgnUZSvy7cWYcxjAYWFc1PMC+xOypN/cNd6ymFMlV
/jJNQDCH3vqLhj9ZT0mUbKOw/5qg8y323ZVbC9R7bD7XkcZ97+e1OnRLyw7LHYVtbsLunYxw19Se
uanSgskjKvtNGeXODl6FXkeNOmhdFQdh+dEm9pDXp5VNYWfJa2rF5dUQCNA9qhURM7CwsFgCnHa/
Ylh7gVmXW7y7NiKWFs80mmEmgFHKct9y3d4FAqeDO33p+diy7zzMevSvVQ+3qyTP5VoHJKKMqT40
Y+Js7i5QhmiSz3CiQY7HfkOvI1tXGjUZ0MXrGPTf2blyhyVtaFbth/J6OGa22z415RMetz2rePsY
sB7tBa2cTY3ULKJpte8cLEaZf5kH/KstQxSCKttsZzaptTEZ+WxiPf9WCbFzYz1i6K3YhCWTIgPI
sF4lTpBLjGoeW2JVg58YkPRbxS3CIOq4dvtITn2JASiM9lKlG1/l+tgUDyg1xYVZY3aMiwCuvFcw
S7Q8ROjQE/XW8ln8Sk3mah4g+CCAEHuyzplEuoX1YLbVDl7Jps2j4J1B7r4zq3QXJqjWLYdqpyw0
ts75Mvv5HmlY+sCOoN1jUWcUl4XmVsVztcYO36ylA8TUWpbAsbFNxgzJm2zAwwL9GvspPcxT8zQB
7ULEBjM3CfQr1vFcO+3ai3z3yr5jn7SFempH84bmdOnnvKOpclamVBICQlBSE5H1guM6QyCX1h9l
AI4mgGm9cEbrwO22pR64vjR2f/DYZuZYIY/GrJ5hi1lPpfreEwnRmUP5VFnI7jUEG5xs7sZgOThi
6103nTiLuTAOE6pYmBty3KUVTSpPGD6ncXycrCvKvugap8Nn1hr6nah3GgbFz9Yw4heRxZ/gjhED
BtH3+4qVIJsLNCQCC6XerpyNt55GDKljzUuUcn1xGgdqDQrkqGsJJ5O1feSyQsn+7MCRe48cJ9qA
RhwcvOCAYlrEt/k+j3v7cTAFwTQ6CPeAhQmghc1bn2SpDwCnoJcgRGAjYh58g4OatfrBXl7taDhI
VwsBQSIZQDjheDjG094bqffCwZoI7mEwKELKuTqx6TVZ4V9y9qYnhsQHE2bNbaQEtKdb7nbVt4SO
vmoTekeg9XZqzOhNifLsFslfiWjMqxu5WzdH2wlvyj4mVgGXeETX2WozepBbRsbqWI/TMpNfM83f
I683jjqe03M8OgV+dOI8wrH2rqiujUOtupeSect+blJmB3lzQKFd7PsIMG+SJiVJmFF8zQbX3lco
dVbhNE5rfxTiZ9cjaxPHyh30p6V9QMJ0NVdcyR+Z2EeHLAko8SGMqtLwr2b5S40EUIz1tG50i/3d
9L9FBu+Woj+zptgL8SPPzZNmMmzOKbBaBOhPVDbDU/1dibncDU5TbxrkNIJcsUueG+4tiiJCQ8yP
qG+d76HxGQRGd44dFxGMDI7S9sJzorITL2Z4lFowqrabvUiUechirvOs4sSOGQbNmNx8NhIXWxlW
kQeY9Cgw8Rul6Nlfiq7e+7gJuGpWIzgijtlyadY6g765cUMzU5GknDB4284EnqxLQYIMpsh3nT6P
mN9opcgv24lwaBq4B0hBoBs5vCJb9h7FANPWcy8+67JtDeCV9Uh4hZzY2viEW80Semafj8k2VyrY
0zini1V4/JEkY/weEESPi3tcG2FoHGKM7qsCQvCuSAO1rvoB8Girw51b9RACl45Fj7SOqbiX7424
JG4vm9ptHxr5rm6adIfJzN+TNAXdk165l0dPpTHdSofdeCbFQzd2/TuB0jPaiOZhEOqrd0v/JU0s
/6USdAhGehNKPA2MYsH3YF6j5ZzsdC6PBibbtaGC+iUCcmVQ3F2HMP0AhqNPXC7jdU6f4Zn+yLoc
y3Q7zGN+HKn1aOuH5MNPDnb/YWMwIDiB3Vy8QDk8/jpHW2p/s+ma42aUgLzb+EN6RM2lzXvtfvU9
aCc6HAQwmeZfEk8RLUvaHyqkciZK4OjJtD6VVf2AQpDCVhfZczKWL5LB/57qazxmk3ig1AmPoZlG
Bz9CSRBhBcO3ZBjrDAD6Oqhtid4IsUXXWSdc1Q294EasSJcAwIYjVXkF9RFrRWIzi8B08rOvYibV
FWF/IOmegF7nO2UUP5SBNHFOw32M4I0VBwWwwSXZzhSCvRGYSkYGDO7B7AgNFaeVN+yT0HvwzFqf
+mY9dqaz0sQ1cJ+bwYD/nj9pLSGU5q8xpjWYp9PhnnTfxu6LSQtlByLgu1EvFvKSy2RH7grF/byW
DR1XgzsZRWKeVBcdplyZ66YeMPT3YCF75ewG0XQnT5OfACa3wS5nlAcXc51sWb48jWET7Rc5BYlP
5S87aDpU1SPBfW7iT7SN4u09WqsLQTOPaMMUbxu92yZdeRhq2VYg6CDowsnFgxkiFzcxVehOooqb
62dBUsaZjd2i0Q3L7f15pr2cT1bqssfOgIWaDu8/ZGkAtddEhNZ6rOUm69VI1ITBxbUEnGfFZP6F
JnSSr7tDTeqJ1L4JHVJO2OufQD5UR6u09MzjVNMcHIZUb3NUQlUb7MCxf5RN9qsqS4jrOrzcc+9I
pOlOjpv95ZXdjB8amjeNZgT4DWkgERZXPCDefhjrL3xgrKLETRgprgX/2xx83tNA7dkThxJFjGt4
Gk82N2FKXFAYTfbmni5mGgprFfiEzT097n5DyxdHCPOXjeFPZIQuMYVB11/u4X3TaA/bMhp+tpHf
7EI7fUE0ba0p98hmwi1iDXiEhKnWUO2Jygh7doTM/3dDkd6KCUGajAt3o2NzJZdgpTwqd8glSYXP
88uCaiMDZu0sPspi2qZsslajDVUfmEO5Mwr/JxKXX1Bp923lvc5J9pvcoJ1ZEqdRo8Jbs0qCmfKP
kxHpk+WE0c6OzPfA9Hq0fkjkpn767mIWWWFHpwrM9nqETjsqkiSqgTRApF/rKDeIqYE9HYQEHtUT
Iah18WY6M8FvpknsjBTEN45PHLksgaV7hUpBKqdI8p3QwbkcoPFZSTXv6U9w8IThey96+62cW2sB
bxxcLgJHr8aCHeK13c3V9OZnjrO5z0hmXTZnp1j+1sPFiidwaqpLv6myBYhF9eF6GrG55b7CLbeR
MnnOCc3Ruz2McmvGrbEa0fYyxgj3qTFwze5C8TlJdOkWIhIrEBtnUdbSsSKUrGJ8wl5GKqROIOp1
vmQUuSMeoDJ0VjV9+kU3OSw3k66aHVvN29/HpY2afqLPiKxOvom4vzaT95r7v9z2nSTfmzFFwWru
6h8YygY6Fz4WqEI+qtx013OX/jWacGx8FNDSMLgK+wgIbaEWizVpWLqVoKoDFGSlcA5V4dkng1+O
yN+l4bgwx4rWWxbjtYNI9DBwUGagm+ZgJzv27V+UKT4RMb7W1iY2xGXIxI2OIxj/jIBwZBfKrr6b
cc/JW5z7lAJYvoz6aQ5BEfkWlwIP8gXthk+s6x/6S0UPuSW7rRFcTAI1Vn23bKptjKD6hdTzkwHZ
PJj6W6W6ReCKqg6VekAvSHbdxrQQd+JqfUsbEEuGeou468mLCLtwkvTgLvLuMaiGw0C4Vz5iIayd
henYnfKIZN+JnF+adB0ToY6Kd6ZDVteoCOloM2SGdhDrFSqMlu1gbU3YdKbyWaWjBR9YhvnGtXMy
evRornLiiOYwpHcH86CMw1tq13QjCmJNc50+kFNjzyzhU/wS0n6ifMG+4rPsEKAxbyKnZ3S8xJ3S
0jBhAaDHm2S+1d34K1mkt8WhikgnQoXN9QdIEorSTTU5+bGZxSFqXH8fsiGyiPE6OBOK5igUB8St
1eke/mgm4tTVoNAIDDcOnuGsQ/gjmO2KQz8sxv66Zpvk+L/yyMB4Gs7UzLmNEs2j9UV/YG3IhE2l
719j6X1SEONcwxOuuGCcugrv5Wp0rUPYhPA0LMJoswDrneT3rYQkB3cKOTcCE9oy839ieU3Q6fkg
UNPXOanS5oV0d8iQuUUPD2tZ6JQEFILOymvK6hFS0UqOI9otv9/h6X2vll8LQs2CV/PpaOOZCqGj
wxw8mlx/7svd/aZaru0C9/g2cdVTbUbn0Y54fUvYbbNIz4FRvtQucpzwfzF2pkuRa+e2fZXzAvKV
lpolRZzwD2WfCWTSN38UUFDqpaW+efo7xLa9vcs+246wMRgoIDO19DVzjhkQyKyw1ax7oFKcdRW9
iqAvJMqxZEO9/LaIdcZVFBJWYBY5HmgaVGRcuV924Q3RsWHghUdldWfVgrhyUi70tJze3YHks5g9
WlvUNM3LXXr5zb/fIw66jwPhy2YEhF9qLywwiSQq8qfx1ixwvfHAKgVXcaLwVZQzjGfdYCUKnDRV
vVJwNxLEf9yvhk3dVnceaSbY3PAw2Tr51rpBksScy2tvNMZVn/TPQuZEQzmw+6cBHX5G+ZsLQbyO
Z354S3VibzyT45nwDA1OubfWKE+PaWm44Ov74kAw+MoCe7DrjOHJtrlncJyTIxzgrgSlUGOgwguf
q8raAKxPyOsiHofEPm5dGaCt75DezBA/KwsDtc0cc8Qx/X3zZoDVHbTm3dS1BysezzBAweOawSkM
nX1lWHdEX5GJ0shgpdp0ZlrGFkH207lrshEj2nbUHZaTytlZZvU09UnIy7u+SdvxZDIRwlUbbSaz
tu7MGlJFogKOYme84plsEQIMD2E/nKlsb+nW3DW48ho9pIMnMC4Ac3NA0CuvPX2xlszZs8uVVHUw
rAJsuoCx9u1ziubyMDckSRVQUFbkaACE0r+aoaJ6KuFXctIFuxjl/GYIgvuaFhBlelOfmYjWQUzL
0rj7QBSYzDI1Hodu3GUZGnG5DOZMWYbb9KFKtG5VRNEt50TAWJExhs1mGzqBoQxORiNsDl2NhLxB
O5200vUZ3gJnznWyVRxtV5tVsLPTJtuHRixXTOwWD9uScGzrB91tthCDGRfkLih3F5aXQREjp3PP
SuRUxy7TBBQ3XTyc2xARAIVJRo5JkBQfOk+x77iENdlG16zRb8CC6au3whFvWrLKzNY+6WpJjEk+
CgMJSzm1qAVcbTiMNpEdNOzNqqCzXsH9WGk9GTPDgY7H4C7pJx5hGRYRihvuj8XaS7FTQ5XqIVGY
Tx6EvL3RfepkHzWGCA4m7qcMoTiabfuS4P1bt2AHdkYucYRXycO3L72Zun3aB4TZ219BiRQzInrR
ppdc1U7WEtP9sy6D7MUjZVI1+UE0Ufrm7ciCCFcJFeR+IKUbt6v95anG2SRNI/128pneB6cY7KTv
zKO76mN1MBuj3PAHgCByGJBZNpESLhloLEDTVesR/2YRleAHlvPEi2BlzQtLsFGC/ghhQAikadnM
B14OIzML96K903ukOxoYHmhJFHhEgy5TZz18xwFRLOuUH46XemudD4YE/GUcAkNssW/2Afp0Aj6d
LTYMLvAcb7czsCEyAh7OIWTSdF/XSXhAgjXh9LGABSb9JZTNVqXk0HjGJ+N7++J2MqeVum5nBOh9
qLTdEDOu6xqG7ll2Nmiw7RwedhOGOw6oZO+S2LWilX7Ju4PK9M+gJuwqNEfQY56HJgnV6S6wC6L6
SE3D+SYsPVnDywNIAg1SApMD8zqONQWIhCdX181qtFBt4UZ/NoUFdbmGSmO7zrxqbdnuhSm/+ut5
g8mdnRzZgf5kWcaqdBKW5fN63Ogs0IgPs95E/WBKwL7dgEYhHmEssL9C+YP6Y6M3DoQnhlylicwl
LW4RV7hbCZ6KhTIShtzdp5bG7ShFqmnRQdlzR7wcaWYtvK2+nQb2jQPrrsI6jfrSraHQIUgukVl4
cvTyRY6YdRwcHZyCsoKRRU2Ns5E1LjMLDg3NYtnUpPmHN9QEhSy/mK0IPKgmgK9FYO3jBgJjHIlP
l3lwpZ80eyxIoEgfMlUZp6m0V2al0d/10PAqTFMatzko4WvkYCTNYCBMwACDWqnu6PK4SesZxoZ4
3hgYqbO4m0i6RgdEGtHG1gY/ygdMGXN+i/UxIdq0/yCL5n5u637FmH+tFAkzZ8dFKWyYrI2YO67I
7zvoMAdc8FzHshEbZ9LTfdvhGAwysU2Cge0hwSyZZeJfTnnsQmO40+rQW0W8OlRqH1mMZiRoKXIR
NfwTgOLtUYfYAHSVXFQx+WFj/GD1C65cSXPdJBBFZjFedKiR6/GODqfGrUegXCDireXOmEi+8yyq
lqHX+OKU16HX1OxvrI9sICraHaQO2ITrPC/7V8Q/5Bi2MsDw6J1YBGu7DOK2y7dsM2i4dTF2VHoj
MqTlXxkc3dpWUEYqC5VTW2aSURCwKIidTg4mOgNuxP7GWVvB9LPUo3FvFijbXa+Ab8o6gl51bYqI
G29aWltBQh/GU5JAWwtuo7jPs/6KNBLDN62+8hciiKrUsNa1kkUze4s1+nV20IiR1JBvQi18rcVt
0Rbzo8p3qOaJGKK0HoQwtrAW1arBVsJ0UmfWKwcdmo13hW7MBL1Rj5scowkkyJcim7qV23QIXcZ7
snRo7m0BkQ303ErPl1dDI9nCZ/CwwLHWWFc3up48dI7x7LI+yq2W+QoyUdcoI665xwwd4haJBm06
rw9EZGZza0ZudGJNdT0gPPQr4rS3njBOrhM8R14ZkFAmt5hF4pNj1cc0x+O8TPHbhnT6vAtBilH/
zxrOFoONUU7KD+dDlGIc6i+Vys6BBO5oGLxsXKsOEPdBbqzy+JjXMI5rNb0mN2Nn/SCAnYWAKh5V
W7Hl7b23GAr7NvIqHzrKhAzOWMaQ+SmbaS2KvuWaQA3W+1jrOxKHk42qTguIIRbclz1WYdTz8VNA
0guFhwgXjMPB0e2WLL/lShypoTn7/m6brPSub6EWPrpStgd9qdzlUl1/v/ntQ0nj5EyWs/72n2pT
lTLkyPCL5OGSvMLs6fuN8Y/3/tv/L0/YO7c0nrOXWevf/Yl9ooMgHekzJ6cztm7t3uu0hGkZTKiN
sP/X6XBMknY4fr8X/eO97w//3f/3/SW/f8e/+xLLGmkWYrtbEwe8hChXAosTGPIIztAmNGYcRmWL
Mm8KgOY0jGeiGShUVD9ag/UZgiU9A54eoJql0rcqF8M23g/l6MXWQo68cvgqq0dm2ppQtIINGiJ1
dEXPQHBi7dq1TAuHPrnilbfjiMW7NFGTdF5EJqBWQaGBUVnYk+6jKGVTyZjDZlXrW118Cvk8qQDd
Fh3LqgNuo9XB2xvWQQ/j30/OzHFV6hxzoDDtjVO1RMN6YAeN9zAxu/UUQFYvSALSjIRTksywgZ6Q
4btBHpoA/QzlNXDWxWi+KRFcJqggO0kLvyyxtW74EMoxTkHcAs9kCepI5kITbq40OtdeYjIzNBE/
9iiKhOOSuUlF6QTaU5f/1Bsvvx+M19aYvhiuRuuZ9J2wwgyZmtPObFp1LFPycbsRXc1cC2tVu7tU
EQgQDHT2w1h+zlNChDTEBE9vntBDM5eeOQomN7uhXNi4dER4JGVKlGN3lwcrt9fuUBEB/BH24wBd
my495it00EIi/tEwoIAfGI9bOGP5XtTuQ6FFJpfaMK2NLm6BNfdnbCDkfg3YZygcdDum4slh6JSK
1Ga8cCc36sxdPM8AbM3KPvadax8twn4zzeioeenoxnxJ201JWpQjua74mW+yDmpVBZlmFXTOwGL4
s7K5cNuKf7AkXulYjgmDrNuQCWwl2/pUwl1gV+1zaHb1JuNGs45zaIxT6RU4U/NbWJb3Ee5d1uui
X9cLhFMzRglqrCp9d8Lu3diFdcBEifydcSqu+V3KKchvxyw9z6edV+scKJ44AMTPTpNXbto0H/bW
0uORFpuyP2gDeJxoJbySx8IIcwHVbn6mUQRo5UHH9oZor4L6CMcKzfcIX2X5+436bDqSEcqoEwBX
HMU8OXTe+bNM04s9mpdkQPcWPeFWTE8kkerIEhgsM5S+6xLqHcH46fsf8uwr0+Fv0gZGzpGjbVtm
Bn1UO3t0G2RrzsxiPUlOaT25AZ52sctHb9hXUQ9td4JqY+sTSyvCgQnpTGOb4+wmKZJjmXf83J6Z
/uTLUJLQagdHWWm8cKiH0bjS/afeliLvtY7oBZdYgNwd+tWkKN8y+G5JfO3axnM72sR0e8F7o4wr
M3F2ZB3joslexrpH0wh2Rw7BqxlERNiDXbrvyVPTZz06dlFOV8PKzDItJM9k10M2eTGqTt9KcDer
Kp5e4YVMbPyZR/WJlm6CJOCJBTB2X9rVl44PuY7S5K5DyODrlbNKhmw3wHS6KyI2W92cPUlXelAL
qddpHzaSjRSraTc552my17UgIlrOivAFOR7oTuh9Xs7UZbCuytHT9ni62TjWWEgxOqDxjiA/G7Qz
747I0qtiJrqg20yVvBsZ5YRsHBWiji3m1tts6aIGSdS3ABNau2we2DviDs2GBzdjzpF1iVw1y9ah
VN5HgvsANVdXbAw3m45iefm1xIKtvYaHPSzmZsV6+RQJRX2fMt3SqUhXAXUGztfmJgod9lYqeU6U
Mn0QjlBgWb/CJyDjgft2OHP64WfFR4WNM0QHDIp/OE4jUApPriA8eLQ0NuwQNDPsdobX3ovHo9kB
VP1+4ykigQbB3EDF9XVh9D04ZefGNREFZRURQ3NCgpbQWSOo296wyZxhofH9plMIVGxdg4TsBk9j
Ojo+vgMFjjPuNmY/fuZ6KVeuh9S56iC87qcSN2prpu0aRvNDkVMo4pwY/J6B9RHHLWOn5c1c9owI
WzaLXRMXR0PET/OSNJg3PXc1R3QnQcLJnNefIk7BdC3fgwKAxmo50zAT/iTUB6BIbD1ZkCThOLPQ
rkx2nn197aJvelWKDZ5CaFYAma6XDTaguYUWnn4il4oOvav0c9+gfpcd1IIw1p7QK+ZzEF8QGZOu
SJIE3UVqbYfGabhrknuL57hcKbfo1ozjFjTVz4l5PZ2EdXKaGCDWgisqZqP+ctWGZFCbIDprIFJR
mC9Dx6JY1xFj2YMbn1OrumJ+nu1QZBTUZd01MQCH2ivKu0DaH6TB3IdWNL+SfHjy5DB+5SamaFhQ
c/QK4q+ECGfHbHAU6mQ3adZs7Z4EcKZktodtnzDBn7AMzBFLVE+o+EV03qs52PXn1DyDvQPHrF/C
1nLolgZ7bRXmz0AiRk3KEEBt7SaboBf0hgWCLRMvytqIwoiZd/CVzhY66hac0IQMMCQo8HqSSERr
Y/bu5SIB98rafcNL26rm0ur2nVPFHcC/MD00rrt18+qRGRWLq2xxC+Rwz8bp3U4u1hhHxAobjNFj
ex2z1OfK4GSTVfIusjo82RARr9rW7LZU2epgh4hK0rK8L9HIqUBv0Bc3Ou1sBYsZ1b5n9r/Z6jHd
1w8qUseEyta3iztn6sA2EoZYTeBlk9gI0Aog7JoqFeKAMTBF8Tw6kVSH0GUGK6YvD4AvRL9dCdPy
p6iig1sj+aZ5d7bxwAPlgSY/d1hNDxyF3c5CYXGP54s+F0/Tlx3ujVlT+5kKdy3DuTuFkY1jpjMu
NcT8y1izVpSOA3G4hM47VNffiSGd00W7VESMgBm3XbuOftsil0a+THRsWKVsVxOGqT1YSM70znht
xBxv45RgHLmsKb7f5PSEx/R5iFp1XaSJgjsTOxsXI7X/24cM8ndNa00EnyTXRJoPF7eNXkgstenS
2PB0StwlLnFcptejp6piwn/JYdnJ2oP+FrUr6JCS825M8Z6DQExx7B9a2bxg0U6vQnt5zBWTGys1
rKsq1R7tDg4Yc4Bi00Y/Dekst8jpiXVQT486o4e0UEvbrIM7/N08PagcG5Uics3mYxPZwU2PHsDM
hmMcTenFvR+cFAkR4AuSNjoEEh5YtLowlkQM2B9aTkksLGZJCtNMyWG81/LC3bgBVL1/8jn+G1+r
/auhGcOgjZ9RYBsUEvPgL4FiXRSAQAess3fIoF65cyOu+1Y/xiDmb3m4th2zqWNqmUVLRG29cUBN
cBdn8z8XmFIopRCzZ1OcoWhJnvoFnFou4NQ4jbU98pWcpEaHfPZBmX+zQplZJFZlLTNIrc3eGeME
fF1M7ZxmzkNL0Drej844mSk6/NIQOoME4ouZJ0V7oYLXb5ZS41XJQXTmWcHEvv79jZsXzT4Lu4fQ
qNhrkSOgehRw+iQdYJpdozZKN+466QX/4WG0frUH8zC6psG+y5KuyUP5i70ZgIzBjqENgaHJT9WH
xmtXJ/0qNRMXnrfmMOHo45f5RU0QlGa80CRZj+YdakfQBVlWHjorM+/YvzZnSbwHmgUMLFaO/YVh
9z0XLmacTj7oU6MdUg9YHyO5y5gmzprHvtmUjvMDtllzRBwc3QpsiEguoresztAUjXNOWsxYrIEi
MDi1Ikl4axPcSKM7uORYnZCEXlqBT89qqkPL3pn6rDGeXIv9+Z+/3Mxfzes8QCC6KAGFg01W/poR
V5hdUEboAvadCNYj7PCNEzQ7NZA67CRiopS0E1iCVXvqdaSsUb9NeA3sBhNgLePhm2DhP0ZsKOQE
3PzbwJbYbbW3QxASOfvG1aet8vDsbqpxnh7zMb4Z9RxOTIqWUQvyV7By/b02WCc0PH/+t/Fz/9V8
yx/nLP9FLkwc5B/Nt8WEi7XoZ2TvTpYdkJcyPt0OpRm/RYqAdyssKy4lngi2V9YWwunoKy3WPuA7
cu8qKYLrTO2txM42hcuylf0pmLep0x9rzya/oc4ZdfOyIsAaxhejq+YcmjL7p/dSOwIjZ7Y3U0fU
jSbS9kfPEekQH/vswIjYQvlfVhK4co2buQRCG4a6fA1UfsgttnHFqD/pbfIaiz5+pLohqRUHzN4C
7nmXIQT30SIhxBwgac6h9szUx7nHKpH6XRITXETPsSpLDywve5P9BBUdVCJXjnES0aV2YXtXoeGS
n9QckZZ3qwGm/JXyQLbRzHIgBHgp62QMgIEXz33j9F89y67Aat/KbprQuCMFFfZd26NjSKVdEbcD
E1cxy9+pfATZRUMNzhwjaV4h55Nd77xUY3k26tn+4mjdM/0MTg7UR27YQeC3HeyDJLBg5xu2c4PN
DseFlu8xXULSxmSYRFvu2/V21rCoDNtmVs0rtjeE482Baxf/7uC1VyLB5WL13I6GWr0U0vF8QlEe
0WJZxySy831r1tPObpFi9okgsq9szU1GmREFpfH6569C819PIltKw5YmtAJdGr9eYSx4Yg30SLb3
GJjudaTLJqNNUmmfs15c4oVmZoW1s2GYKE4ZIDJGfgBlkdDT8btDS/zUwk3UxUduM+cl2incSZ09
uT7ZbHqnieg+7B2iwSnQLar6uXV92TY58B9mkMTLbMzSY34fRK8I2xBtMB1dWfl8rbd8ZeYO9h5u
+H+4+BZ7/S/Gd9QUuN6gS0jT0I1fwic1u9LmTshoP8vyHKeTOIspDkl31uIb8IGnvBCE14TFQwkt
0bd6vXugozlrQ0eDWTfdpbHwWPaS5HeSga61IHOWYaWJTAbPsupRf4d5j3JwEULO47uB+883NRyA
YZI8chGptcdOLK2bG8eMjqK094yj0202BuynZWWTUpzb28reNey/1jPrrP/wEBjOvz71EAks23Pw
ezB9/JVRIXtd4Qiuon0vVH+estC97kgqNnLx4si2vZ1BDR6rMP4hLbQbVqyehzhY1zIct47UGcjl
HlFW6bntjftsSlEx58J8yGVo+RVcRpebyMmu6v7Zi18DZAqXfug/qlHX96Ka8Llplv5kJgTltA5X
WpPgV5nKc2sGyPdZY0dl9lSweDvPcf2shW28ioM0OcIR7e49SfxRoR46JkLrKocT0nXlJQN5f65Z
IV+N4fTm6k2PzDTfNmpCHW47Tw2w5nMLgOzMeflCRI6+doTBy7SN2zv0QyZsxOZGVJ1Na5hjDxm0
6w5XEVAhi+SxYVbnhlXNup3E9be2hDP70GS0/L0Oj9meqvlO2cad26ny1FX1nWku7BoEUXc5zaDy
ZhTH6CV37FpPWqnwnLRFvHM7GzfF7AKG9U6tXrEqGPSYI8+9tY0u3WlOqy9IWmszaAhSsSmGykKB
LpV7JexGQ7SE/GVEWrZl/vEpoSJucFOnPhawAthOFlyI6Dgzcch2SQ/USrkoiZsiJEaJ9n2jGzkZ
XK5EfGdo6TYWaXHR426P5BT5XkxfHswMu20jTP05GpITmu7GdzSG5nbkBhujMsTOalOOgieKK+o/
sEbkeWF8bj5sgzBPADdIueb+VZdms5sjRCg4I6n9OgyOCnwz0xP6Bvi7P4m4uqDbvDaQbJ2HnOGo
hcOUeDIMH7RdlzrrvI0jbXMzQtfdxIBOWa0XaAElaosp1h/wmZe3WTTGq8HhO6PAoVaf3SeUYr4p
6ftQmDpXeTex4FGB9vjnByq01H89WqSQlmO4lmE53q+Zu5GhMRjqpQZ3nYH1YiI8Z5KUAhTdwp9m
67Onib4rVBKsJ6PJNuQFFMchMt76QobQExjcaYCZr0vPGy+NJqIDaezjKif6ijjneF+DLNj2MHP3
puk8twWQfjXl13ZpA42dNKR7Vd/4ZpS1Nx4gZ892Sxq8Cxjh6LKs+24pSPFWGEJu4gLVb8ByHoRo
snP7tvWh2PF9IeOUURYZdyEzhRGL+KG3h24Nuca+tmF9+VFpGGyGy3fW5kyq3fK6g5iFup/XY2wb
8kZkLZmkTtxso6FOSIrBup1P7XM+CHkZ0nhj4jZbfHrbPDrmWtf8gHZ3iAlkQmh5EeKD8UW/10q2
5SV8aYqIG0mFy51kGPbAQ9CfOKC2OZA3Q89PCYVjs5cK5r3phJe2SJDc0IKxmpsOcC/IVVl88LY8
mQ5jvQw47T5nYkM+yOA9YaO9TqcKOoV1W8xorii8zWNke9gBW4JLsM+D2Qs9c2Nhw/Zn6GHntKA0
R5h0hQ5zZWhqYdjlxzpDGTNgTTo5RahvkbEvorZFCYG4Gr2L/ZDgvGHyBS2uD9BiJmk57z03rW5i
9CAz2IqNFWLGQyWZhEn+w0sRBniJIH8mECdBzMZvhKj/9wdYUfPX/+XjH6VicRlG7S8f/vWhzPnP
/y7f84+v+eN3/PU6/lGXTfmz/dOv2n2VN+/5V/PrF/3hX+an/+23W7+373/4YPOd0X7bfdXT3VeD
FPz7twC6tHzlf/vJ//n6r5Le6WEpuf9vzM85iss/wH1++4a/wX1c/S+ofzxdF8AgFhQPvcvvcB/Q
CYLPOra7lPZUF39PeTf+glNAUPTT9vM/tvk73Mf9C8NMnWPDFI4hl0T0v//xf+vMf3vW/j2ByuIf
+kOFIz2P3HHblpCEDOSdv7SYwQChmiGUfSgQaUvXms6BN8ILsBmT56H9YXaM0twPtzfulAddIvOA
itCRv1QekYm2ZfWrdgiDTW31hypEtFjzec9M5m3q9pesZOhgDGNwLBmC7AssnbZX3yqQV1Q/buEb
AyAWImZY47HmCHH+HebkpmxFupoypMy2/pqmCLNk4dIhPBTljrzUaJ8brEuZKhyNphObf3r2/vYQ
/QHK9W8eEqHzmPOoCNNxfi36sNzUgTF41mHWJO5IgdM5zLQb7LLTrtS0nVMIxP2NogCZTfTsjBDm
9E2jsiKmKV8jwp33reKE6jwyQwB3eooQWeiKvgBQsGWzxfTbc16YH6jDn//uBk/fL0+oC9uFCHdq
Nl26zjcx6p9ZTUEkgJV02JmDMHjJKyDzymQLP5Lhl7ceU7XZOBfDcxEDV5hU5bGjqiBD1u4z8ZjD
zqgRHY9ET62GAbmHLBFlDGS/ct922Gv58ITXAgOSn1d4H5REj8BOs3RDfJRQVhs7O5kZGrUc4osh
5tvYqAgs0uqvHFmZD5blRFwzd7NyPE19+GyJGbMxKkWSF19EHz5K1VooJghknSFD4Sg00oS9vnsJ
I9LEG9V1Ww7/x5lQQ85wrReHXAuwDLozqx/M1BY+WxOvHouylT5bHzXmdz9ycGkW6Ftda5Xzfash
Im7KqDcNtYtvOCCAnPZTRCT3Imvz3SSYCAMLm01EeZ9ZznM1jHxdU6HAZc3pkKvC8nPVC+0HYYTc
5WRrM5Xr9tzxpxXKAJblATcAxlhXFXoKf4gQZNi6PLCcfygEQ+N6hIjV8o9oZchSpbNuuWv9wBSX
+GLodzJB3InR+T2dHsYesV46Wu9udDBc1k5B1V4gQaFYVBbrVuIoiHE4pbm7JcLzdZ6xVweEH5e1
ZcEWYLsW5811Zc3mVo/M3LdnsZNF8T6nE6QD9B2sYqt119cvyq55LodYQaglUr0qRedb7rqto1Pu
4eqFE4OOKkFxg/zPPDP7J3QKB0NgXIVT1d2m2r2L3mkxt2zYxfv5bAgSo8ZjLlvC40gdjphrtrO1
jSCmaU5OvcJoax3A2YC2Ot+GLmOiCcVF3j/WPTbzrCqe1GS9oYb8kBnca6t7kS5VdN8Wn00S34qI
JYwRx+c6pfyNu/4Z6MbrbK+gz8MDY6CzmrV5E6ILt63gpGY2Z6NuvcD/RnUprit9rqkcxC6eSNFM
SYvBJ0FvqgDh6KjkmTy4eMEtYD8RjPco9NOWLqjvdpFor6Ky3rXctd1xODRp/UOKW4bDx87LH0n2
yzahPr5rhr2pOpD9CECWro/IUN7Mkz8uSeBMb1jxyrdoYnapRd3BzgmAQ4G1IuXl2U3lQ8ao1NLm
q0RFOutiZEtREup7fOSrLkd7GZd3idO84196jTJSGsJsa3MlAY/s3loXBVHDjyP+Fw4OAkgDBA1q
W2JokjUTSw5W52Euad9l9sFW4ie6ybea3V1hme9aE6mVaDnQZYP9cPQucW+/JDyfRFmc0yA+pRW4
kLp6ZN53rPrwIm37B0o9Ypasd2saMH4j0MBkfecyb088DelymIABtu8yq960Fsg1KufIDwPUZnPe
76CTfBVceb6LYJtdWfYIq2TLmgtTnoPMytbjlF1kCbGYcOu4QTfXyPJO4h82UoBQc5slnBoU7Soz
zwCgGHBCa877WyLNL/GY3ibOdOOZ2l5Jb20odBkT0qoNLmaOa7yuQ3MzxalJQGtprcxSHJqgOyR1
1PhZ8CHs/ApX8703Md53pvFRZY4g/5XGLBj0y28/N23ndeCU27YP9xTI71kq18v1PTUlWBUuJVKC
DgGYdDPRN8aEMskKX6HfT/5MrGyWh4tnHSG3ZkIBNS6BMm6XTySefEkHtgKj9yHa4C50snUz1KSN
Bc3KdN03TDtXoQsj7CAbb9lP9C8EreigXSsDiRLa4jKbx03s0SVWzGAHTSfiEDl0KRgmSKcGvBDZ
pHY50UMwINZP4u4gyM2lqWTV2hghhvPhrHv1oWiNZ9PeWAmRYKmUN44sn0OvXvbyL23GEebOFtur
d10W9N002nPMxAiGwqbokKMmjLpk0ShfdRj3mYc8NDV5l7YRrYZpTg6DRz6a5Pa2AtSHmtt8MmM8
qJkxbMZCDFsGNudM1U9BNF4ciYmcHPMnA7l0kjafJDdUPluoTxOoTtkyYSh4B+3s4r3s6+9PTV51
pyxKchK4J+XSzkTmmyCWbFYZuL06XEfeDPfCYpw7ovOjH8MrnOLTceb+52h2xCt6qzHMPxyEEcex
Tug12Fp5CF3xZo71tjR7tRWTfV5Wi1DwcsTK3QPxqYOPUoHzhXvPZPA3p8aPnOGHbwZMFvHi+dK0
X1O2nmsUie9KC57rqLs2A2SgoD0KslH1nWmRGBDo17lEFS6ErRG+MMGwmNBJe5N1rQTGusm9T+xx
rbnyJWfx53c5SIG3RMUEsOFic2zz3aYQSVoCAjXRojBGqqjittiktbxht0P/0vFSVK1zmQHa4G0O
nRV9BwrBdB/FbX2xYpC5OrslGQeD7yqzxR+ks31i4nNNHqd+YqHwObv6QzUiOuRvQHnCC15rCAWX
aGA7vVwD1YKt7pRfMXMmP4Ng5k8mlrwp2YWGxwa+WrpNpj2u/QCBLcQJcpCgBRHuyotuoX/0rOFz
jnFnVGLaCQLXI8yfMAdYJxmguDspHwb42mnoHkVLlJnuW+xAndKGmwxb0OXcCub2nUxbQil4SVxv
MSVcD0H3PLvWMlfN2fULDD7W/dIgyjZtX5eHjojQkAOcPYJtv4RV9zlrXMR5pL/ARUGkhVKLZcVz
aOT3OWhGXuis4krjRdZCbaUV+8B1PvuCiA1FtY1kpvQJLDp5mXahXX3DJk0SMmtkIjUfnWLCnwH1
zK+q8slFCcEs/CZyqgPZr3eaGM6JwvgTpw+Un0etGx+CCJGMbaF8DICcGJ7f8F1w6+3H77+O2+MK
nIZPCC0Uf36s6aAoTb17goi+mmTkNT/KJyXj256/0LGaDYKUvRvcOLTjmlfzi4O4iCD9BZAvWqQh
KLG87NL1H3OPnDNMSSStmx2uMnPjKIJSbJwDsAnkoR3JReiH/NYsicrgqDcmsakK9Ti00+uMI+/Y
MbVAdjCuzGwSzOanEs8EfoS2Zt5VzhWmC/hw5LsFvoeGVCH73JJTvLFUDpPaGy6AEMVGKxHaVwU8
JCUIb6wJtKjzBc7XE0loZQ8GXJ1tIuhg2ESyIU+M05CPwPexjMIMexQa/upRi7N1ZLkPwFscJA0N
T2PHqjfV77FtFUVMcped7PDqcfmz66cu6fbkiX3FYR1sChhqK1r72YeoE19NYhbrtGERzHWI+Rvn
9cgi5q4owJkYYQzxKtV2qYelVRXWYoHqmhUQGD9rDmPIskfLGjAA5HspFyLRKFjd6wQGQovQD5XU
TplFFMHUk5ZRhNbayYKcaSs+7UimjM0yVCPRwmgW2q4hXgZ+Kek+zuygggiibN/Gi4nPnGJy5Boi
H1sWD0ewX+qou1jkfv/w+z2DMKp6sVp/f3Ig9/D/s3ceS25rW7b9l+rjBtyGaVSHBnRJMr1MByFl
SvBuw23g62sA50bpvBMVL6L61RCCzBSZNDBrrzXnmHjBy2a3/vKvB1iPuZwVlRGhKX+eYr01ETcc
uIP22PQ26sFR93dTo3Nttw5xNC8mc9eA+JJAbIjrKt1qYHGoldlh1o25vKD1ida7tTIfS2ZwQbOI
aNQgaWuuNzOdJIUxrLeR531TQhTnMrbCbSnoAro43QCWGKdCanTdXbc5MM+0Twyo7Q0LOLKju5JE
04g51BS+2gLS+/r0y9Ost9Y/weyJv7Y+N3IAxkU2vHTgNs0m0rIGbCmKmI1R6HxfzfgA+t0FeTju
gZuREgbx4YR4T7+Efh9tGIvNNzzWrJgsUR+ASRy9xJ4v7DJoNDUjvkMvNQJtcl3OA21JiBjBhFh+
01scRvlejaYE+eX7HJXzy0jrc6vQMz2D8saBTe5uQAVDNYdtCJbFhNzFqeodAyXxJEwgbmYBgiWy
SUBF94WInsTmfYJYoKgm7VqFXkPdjsi/zdJFxKftnaH6Tj2C0Tjyk4cklu8dfH+qxHJPgzaY6Bgz
n7HmR4zdgcEcfR8j0go0oyZD1uDvt0JFD/DOv9Ff+JjlnJ0KbBNcHsIzgNucqeIpKTAA2FptPyO7
O/tTj25IzMmD03J+KGsuFV0BKAs9RP595oLkpQRM5vUgL2Qx1Uj6B2vfRPKpIObiQrwBnJFRvtjA
ba7jvGj4iqkNsBwYF4dWR+zI6G4oxL9mKU6s8e1TO4TpE8BtZxNxyFBqlD8HIgYJkz9XNhewFhXF
pTSoxHC/wAWcEhSjmk91Sfg2krshRwASPYG+c2kApCqokiF6Hefyt9Vw/h7bemssuhd/DAEiIFpr
MlCI7ujOV3YRrGYwjlmMRxFiioEa0/UuQBncC3mH0C2fAZ7QPMnLr3RhWO7V/nS3neEROS7E3T76
KapuOtUV9gXlxpcsBLKlwLzuFnnGrQOTetOsEQl+xPiyN53zNDfTK14wOIQlqSciN58FkKrXSGvL
kzb0xbYyScVuWudRTQswK6vngcb8Yj1MPfOhXjaDbj9Oo8DPB7N5v+ZAJa7zmOE7OCa9uraTVj/6
fngbUyM/elbXXiI1vsFDQM+O+WOe3UdvV5Z9+iwxnT4ksFXiiMk9S5PnaYKSkkqBOau2vyYADvgS
syEYheWdYhXB7HQic08cT4ua8mtINcI8DRJXK/Ck50O1t0kzuNWNQJRdRPbJybE7CusR+oZ+1Bba
Qebn+D9aQA/jqwH9nRrdob8dR3fTZKgR5WZ1gCRxTuyyDOIi/CTTvH42lE5uxuAepthmBmIIPjBj
/jZIlR2T7qDh8jn1ZXaxBh0EDHsuDMQAlOsbtJpzHBN9jL6tDdy4/BLORvbsoq8zQtleRoyEjV6A
83PZIYaZVnxfRJeIroyLNQ4RawfF8SbIQTh5jnpi3OEHEPTwzduZOOoz63hD1IDBWtMiZSrWLqF9
6QZvQpFcRyBR+1+YT+J7r7xvYWG9Dz6VjJolGopJPkn23Bgw29kgEWDuZ9jGMZ6vIca3vGBiqSVM
+hDJd6zgwzM66L3WZWdZlNETE4pbaCHISPCZsAABATXjViy1S+1NCz6pSPf2/D7jDwx8vDmHJCW9
1TNpvXSuoqGAsG7qLjacswuR46V8EknxmFDSGNsQ29DBmaA5eb1VH2JV6hdQ23fq6TSoZOmdQuDB
We/fURsOXKtzbR+5qD2y2TyvNlS9MP0DieLOTTiIq2xZTigTQ5SZTvnGVP8rM0v9Kr80UkteIabs
aP73j2FMjIWiYMRI/6xHFgrqKLf3pW3sG8i+mUt13slKUmSP2a6wmHcvRvEdgINPCMrTYR775qLy
eecKRDk1NHB6pUEdebTWHPtt8ovuOAjoCHjltypP/WON92Mru/JBZm/STJm7h4AVuzE8T/7W6+pL
AfjkPOftxQRG/UTPcuNh/Vss4qPFqqDxfUTRbNZbSfJQN1yStQaGzUYuN5V8WEFeeEcXfDVpfROy
+hTBwT7U6SVpEvjdNtdIwZqQ0m4LBhnnPG5+l5pBfqmumYgKC84LOhQmBuXYRda07L9uJkt6NgVN
jl/75JWjHt7NfAnz9aaO+oNjjQj2YFTZfLZ9FvBdkRakObjTGZDaLnbJ2mGFATxg+dG6gcL6rnpa
HVlXjYjbEnM+M2Yf/n0zI4v8pA+LA0no52nZrLdMgWxpgzPn3/e7KU92OgQqvLK4Y2xJytl6q2Qd
ToVvM+NxVGSx3ikxKPNf+iRauDZY8gBh1efGWaLTUgc/ZQXtZP1ZuJYuf37tcO3fE2r8ndO8sxWZ
7/7tsesTrJs/D/jHXexSBSYemZpbGbEG/fOQxqWeBYQ7//MJDU/nIet//OumgW+P7hs4gj+P/tt/
Wn/oaQ6qhRZr7D/fwfrrf7w+3zNqlsCxXIhg9TluQmfTmcrd/vkD/3jE//Qsf/6LoThyk07HS8r+
yIkQzgS5rvuwSiyM6A48J0CXeKiWXzc2lmZz9HmTqXxOImguTgUhZN24IXYrmqfQMdb73vIbBQYM
nkVe7bEbsHgjNXvYOUO/pAZrL3npvTo4C7bmsgdwXH34tHz2opoqfc8uXp0Za/CLSLLAJxQHzJqZ
v/jdDHtdNYeFYDRd8haJvWKwQAuAWLrU1r+rcj7JYfyMiwq3J9YiIiR7syYnwYUoMcBliydBhrCL
04i9CH8sdboY3uwMB6nM6pckcX/HVX33RbOLLP+xMqIf5O0ATByyG53Y3xg02yF5bBSKSdUDY6+d
5MSy+yvm4mLDqGBrFNZPpyXTioZPt9Elsd6LTQxCAxrp+ggy6CMrCoveh4KbofX21o08/no3XYHb
/Q4dCmDfeClH+y3Nxte4gdzZmx6IPyYIpNnR4c3HDyTVu6hiZeSY9Rdp//IUnVxBuGuhD0ezOA2L
ZkiXI4FXcffLBrkZW+rixtml0KKDaUTfzeU9M/KvWwt8lndxBaPvVsT8tXHXUf+lPW6fHtcq8RAv
2GYvo/LhLhSbDBJyKey7Kfp3fPRWTDM9b96xjTyLqiVt0bYPXaJ9tgTfYEVIQJerF8+Y37JqUITB
lPFG+tVDJ9tjrZFwR+2WZWF2BgkUHUkEf64XrvkQAgBCLpY1MBPjkQVyCK22JUGtiax8lziLDim3
SK4m9ljaM7kWiKo9P39TlgddbZwD7yIptoBjQgv26UP4zWwRQ6DmLflqMNO05rlr3qZsGn+bLE0Z
pGWe9X3SxgAw88now1sjxqM/+NeubDhNWkt5ftO99BVgpL5xAXjhVEqnayOgz3TDlTxoSDzTzu++
D2Nr097UPkaffPgBPUQV2e+g2Wsz/aJCHL9RiBvKq9MLU/Zi74+ww2giEJuBqNJz6p+VVfCS0ZUM
nEgOVmq52wmybTA2joCfQ2bEaDawyQhPInIhJXA8xaFRM4SA/E9CQy3ws+LwyTxibu2KQj5aFjJO
hYOzKT6lNqrtbA4Qs4/EshFkp5WMHLIWiE3KB1iPhGn5E2tBVupnbyDj49nXEgA6s/fp9vnddu1u
a6oQWGdTsDOGT0Q/kxtWZtGWluKrh7p6T+jDW0IOX4kNjUXZibWEsykGvjtb9yEykUQCSCDc1UhG
OdLnC/7LX1USgGx5qXL/N5qYZo+l6uwjX9lYZOBiQTe/t7rlwMVRwNmxttl0VLcmdoZ5gaOmuo19
jP69+aXKcd0T/kkjCAP1TrROv9EVklROKRmsT1CIzJ8wQXiw95oLzhvkc1H2Fa3OqUeqQqMI0i0f
QV1qAqXr95yLXGAux1rtFCxazgiLbss/YoMTGKscLVNt7bOO6yv27ld2eM40TsyuJTsg8WRoyIqW
XZPTZZAzF8eqTCiESIlWC0orSYn1A1pDi4FoohHTRjcDB5GAZAtGBVzNXJcKIXpAKzI5YCD1STP3
ecSVOydpvOy+tbR7Lm2VxcHsWdjUlVS7KmsJcW9BknjZV4gCBAAXEje6bF7CHCCetPN71s60m8De
K5cB1chx5bg07AC8Vwitm+WDhK7P/IuATVYrTLXCl8GevrfC/5D0Q/g2jO/eIZJY9cEubNJZ/eqY
Q8ose04wyLlj6ZGpF70tA2mmXdi2uhiCoZMf5ILkWM13bgaTZGw85KIhJb2RzQrHD1GF05ieLI9s
LOx3IBu75e13brLzGip1aYGt9t1D3oSsmG3Wg8py+IMCPZPQH+FgjvvBaT6wT7QH9MnRviHalUEa
acvsgqbNzM/+PQDYKOCSiEG7q6Vhj7cx3ZY9NqUq2pEh4iypkZvY1z7MOH3I8upDLv10k3gFph+y
ulxBleMfgLwBWQM0inP0VVefQnP6aDiCJG1nzTDeB0id6BNR36nfCmvmNisxylcSdCLjXY3Wd8ZO
p9M61Z3fGS2DoK4ZHdCR2XY5cHQxl/CfMGYWLGaWlJFqAjwM7MimB7vpE/EtMZgapxkOajPfi3ym
I5gS6eZD3p6l95FxDq018eZmxqWYORpAO961YsAvadg/OtClG45vucXGfxtz0GwlKMltCI6KPL8e
EhXASoCUO452Pn0HnhAlAnz85auwXxmsgb32ZcGJamKHCHUZFL727HFYAqKBEd8tjv8y9A/K8glD
wGKg/ZIgQugbMNnpBYF/RoEsrFDNe5bfc4SoO7hy5kZGW8uqzWvfNwTX1e4+6+H8lM2+7kGhE1bh
6zhe7ZQiCcGnzykhOq4D//9T5bxO9a///I8fRKziRmhp7H50/6/IRjj/3/Ctu/wVVeX/8JB/63IM
w/mX7RDgY0HGRedhI3z5ty4HGcy/hCME6lTDcXQ02n90Oc6/0Ic5wreI3EI96PMa/h26ZSPZ8X3M
B+j0udI4uv+/0eUYf2XXQazhVZ8+//M/hC7sJRAQFYpuUqahH0Lo8bdsuKwly33s/eSxDBGpQl4q
m7k9O8zwiHiZ0MEz46t6+LcN/GUfD6DN4tBTySfSaDKSWf1t/SUr+M/mr6zg1HpQjjB2Oe7dNbN3
3UgLin9TIf1cw3w5m5JgBd0vMJR2xfxi4gxkUy1rsblITbhwcu8Psjk5BgSbLuYMmDJCIR1sZvAf
xdDps2HcQ8fJjr01XELL/khzLXxskHMFneW/Lyk/nL5ZMITuIysoGY3TY980yVPmFSegFjdDeWhX
W1SLfcbUcbB+JmiNEY9ql8geCWEA+xY0a/91Xpqycum/rrdWM6Vjqvd6XKCElXO3hrI+iFzcskHP
LlqMM3do289QhR+oIvBS53RDqroiy7lwxrPtKYzrAydZGfZBaYziUi8bf2Apa+U/RnpzlyaMiCql
bbCNeDdaCkmEwt9aNmue9Hp3vQVo7VVlXcZXRl5zGTnakf7GBrN9RHwZ5KgZm+KmhNGxpn6v7wFF
tgOhnl40uHcUI8ub0/lrLMbrfD+MXbKPqvx1tFIY/Dq278mEEVB5TExk5i6oTwEq0bwntlx6vHRc
JZN7jYmKDtttV7Qx5cagowIlLwW4CBfRHnX/OemcUxR67aHENAzXqqNHLHqHKNjRlZdwtkwmlU3G
l0xiRhG5B90lYNHy//7R/+Ob+PPtVElm79Fm/7bs8qDXU3g0fHSfhqdqAGUg99YNyRFkBFfil07J
nUPYBZgJrOvQN0KeneVgWG/92aiFNGnmEBnsSQQWf/68btY39I+71HfNWc4hlAKTuVis1YCB1qzq
v24C93kcwSOTiWB+W7PfZ8UMZL315y6L+SU5XTIUK/Lt+k1XC8FnvfVns+4M6915Us3OEO3AaorD
cj0Y3T953+sP170DC/NXqyAtrF2mDetH92fz52eQqfUTSndG5uU5WgiA+RoKvzI9VsTH+pucxOid
V2PKX8PXsyWBfd2s0d3rcV4ky7K2XZCUa+y7iYrqLK2l62AwBzj/7T7R3s7UPdltO5LnlIQFibO9
mtF0/4gAnJ27obJ3ieZxZUUHcUZziER/2ax3143ppy1mkZpUWvEtNYqjge20HsrsSCY5/E2F29w3
IbwTSZt1S5nCzaYkuLlU3QV42RevojKosGm7CSgGBHGvE/lCwdiZi3hreVH2vkuS/Ayljw96+YGx
fOTrxvrvW+tdn4nsgk84GK5VnqflARTv0AfAAnCBgBRWGqesi6qLUwB00HSN7qZVzbxvNjqpxfTU
xiSYbfU1KaR/TlC0n+35jU82YzYDIulMkNuwoDJ72vsNZ+1YkBDURRfp2q+MKzBdLS9xHSbFBbAv
5ZiwiZYT2vqLIUmL5qur+81pYq1l3IwxfZ2mDomloS+RfU84Fyncwczt+6G9Uen+7KSGfEUj5kMf
HhhFys1ypQOdEX4mvpGfqLIMGDcd/m35knt6cmRg+67bDRrjkfV36f8oakMAUSiesGv6Mj+TX/Aw
FkkelPiwoBp0x4gJ9a4fETa2U36tgSMfPKW+KWiVhsq+RXbln6B4UUwWHsT7esatsuwKSt0tmYGJ
7fVv4UQ8e4WZBOZxf4OWHAVV6mVns+xph6DYxgWBeqXDy7CXkwP/xByYPZUPeT2DDamG5MFGbji7
7E1RcV3aAzrY40sitJ0CoXAiO/tKeOKLF7fGdhRhzrDAXTgBCEennuubgCLMshp609ifa28R6ai4
vfjZ9E4yHRi1FHKQF5efGboTwK79h6ZH9nmuDXdveTlkXFLjts3wFHpavMcH9JbMTXao0+mupV53
iqZxCBgsGhTlEPMdLb5bLJ4vbiuKU5mhPoGFF8EM2rKWcPYiJBxJMNRlMg17lMQLTfoQv8pm2ArV
Noe2J8Taask3Aj1g7qLxXkXEUQi76baWnW2VRDPjqTlFi09x1Vs9vJqULBfRV+D7bcsKLIvELa/I
fk3GDEzTn8jgmu4509xXUFvmngFD0FWWi0KuQzQInIAsxWHnG2Z/NNOwDpqaJ53a/LHDbrzhi1dg
CjKNaXbMg6PPeMrBKuRavgPN1RPLUrypulP7zE2NwKjs7xV+7QDc6hlf/aLP7KLHiURDjDB6MFNW
a5rUbgCiMeqOBGP0xYD/RgCgG1PZIjvuJ4xTjDm93rh6NZPZgrQLriJ68zN3kIAuw5dNYvU5XbcR
SLhnfaF/HPeoA3QWM6VJPPyw0/XkM4tiYjkwBKDixMczEDIzAVoZuJ4fO8UBREjVEj9S7/QZqeLA
xPWEtGMCQOLvzczRrryYT9ee0J2ZhgYjlXTw+dMorUe3CJ/K2r1mOZ8pRLfvnd9+8/DCh8q/jhWn
KZfjFgisPCPpu41gro5m7h4pLuEfZxydMPHdjQj7B8in4m12Qy2YSHQg8k07OSgmMsLEWJ+ce7lk
SdnEMOakwZvYwHYjfDVc4PF75fgfuZlyOdHJZfV0od2gzPZFlR6IyOSYNAoYBqPOygxLnd5P/SMx
edp+8AWp98P4ES3424zM9uOcC6CEJ2zJX8ZWN3e1Zn9TDrYU1zcRpr11CUMNhBu/kRCJp1IiRlmc
mER1u1GXnSQeBazHpXkuK8I17TQ8thadz1BkBW6jo9QAsy0aFF7oY5JE/bbVxjUbERppdALH+Sud
rK9zHZkEV+oPlh56IDQxyEdWvUtiqPYkkweDY6JIgUKHREgnoS4c0ZjkyUW3mt817IuNHPQ4qHIH
wIOhlRsCJChpzYY8cfcnk5p7qvlNoPTmypwp3RN37WxVZjx0vbpZU5tsmeE9kU31LPUcG8rQvdr9
zoKqArFeXmKwMnIhSESiUqeRThvxLe3MrpIIsEi0STn1RxuG6YyLcNZtBtV+GbMZQt49qYAvAISH
DWRPxtFp84OV9Rp8GsRa4jvKjPAiQ+BjIkZsoXPUQyIjmRoWz+hSyuh21BEvEqxg+j7LA3fWiK3D
W9OXX+MooRKfbSLaY4v/5X+JPfhCfdKyfiDxqo7H/tjXYAIVikXf9lnOas1nOfvdiQ8COVx6rwVE
cnqkj7MHaIEerpsSjukkW2euuRxpiQvPkLXwWKmJoXTkn9d+k1VD/uCKfZmQ8HF66oE5V9G27h+l
1/RbI0y0nVmafLAT2mzHIN5DTwDuABCY6HDtMxruYbpIQZhmYX9e6pP1/noryvjNendcZKqTRkm2
LF/WDbUp8K7/vsslsYRjUr4ru6b8Lsp0z0Zs9AU2s2KU183YMgb4x92qV2RZqjOWT9DoXE0wcU4v
lgV6aUhJBZNjm1zcntjHukmajbaUEqjlSFEdAJjS6SOIzY7eVJm/WZU+QQ5upz29ZIobAzNwn8cf
kQEZecUjz/Rgz+smVYoK2KMMQvIbYkEuIMhDxl1U+EA3USFzDg27c75sDDHgc4uTB2kzDyyn4UcW
adPeogGfjNBu1h9LIhoiZmVHUp42VtVMZyeayYRdNomOgEhYcGo0hJ5nzzM/p5yAHK+0e6rBpBZ0
8s89Eoq/bbqlKjejAnKD5V+dZfmzbuqlHi7Is93661SkQb1jLbDtzgaPRrAs931A0EFWuHdyrmuq
RFY0m/UmtD2aOExAz+tdAwLdOQzspbIfs462r7nc5NwV6xDouks/HnK0YTdQCDDObONFWNU7eavD
kasIWkOlR9doaK6zXdivdhRu0YmgS6nYuStDu6du8tkTSXdoRkxZE7TvwKvRioddqm5ow9SNse+v
OXfyYB1AamOBeleyPprj3oekNsB+jEP9e1Iu4wvnA6xqvbcnZDRFQkysWHYRnETNYRoLBwjqdAwh
loGlc370GOceGmKU8jiJbqVP4NFQWIyFIOJQt41t0Erzh2LJ5Y5t9QypoKhftKZiCiu/GF0avTqe
BmC2BhfDalzb2EBh3wb4dmeHSbBhD78n7KfXzsBaiKYG7PSyXtQBTuxtMXBIu3C+4gWMNzqC+lOv
+oNMxYU9z+O8yinTSYySo7KaHQYdItrZWqyupj89qby91k5144vwj4S0gq8xflmtzG52c0rLGfli
TNKthdGO8Ksc9OXsFEGBaDto/WnRlybTPcUvGhhOuB0yKMVtpRTYSEtnyg4ABnohXkLkaGJET1M3
q6QTRqtOXLYWFfKk0ESEpS1vuBZB0lZIKOoEvWkMBeTaOqRU6KP8JSaaBn4UHpARNnN37YhgO6rJ
fmwTr8KzwhQ51VjJrCR2YcErwn6B25p9mfqeqZQ+XzgrIAdCz4rFJ90gjSGKqGo/G3POERJm1REQ
QKANMYOWht7wlJC8Acn9cUS7jbfqMe6VcZroIWtIRkkniUGfZuqH9KPvWjlZj93UDLfSrreIjLQr
zvTw4Pf2Z9IRd4XWyN5MrLGeLH2hc6PtLahawOI0t8Eo80spBuo5b1vqXbXHWwTszhrJoc04UwE3
J8YVzPW92EaOm9yxMj+IqbdvqalddDT2R1sVHwyUECsvE3giLNOb6YE5LfscHUYTwYHnIj2yYdU8
PbjKPOtUFPuh7NrtLA3jJPOvk5eyPKn4XnNBdFfcI2LsR1LI4xY0U8c7Qp/VgjtL6+EA8cDHRsSr
wWC6Ab7VHtp5srZ6hpBpYiK3z1irmjQdjn2TfqkcFrJz1j3AagQ6/mRH+jOdeePI06I3ixAre6i3
bU0y3alI5eB726ONye5mgpwEMsODFyoLMbZ9do32KdPV+CBLd3xYb7FEIZFFSzF7O7I85KyoyRVJ
a9Y9uILGyT+y6rtqMUq6KX+mxx79BawHjaDvtApGCBcjvMrEhttVQus3hUG2QBaDFA1FOg5QhX2E
I45/tgsAF1nWx89GpDZfmkwc/K76yL1cP2TLGkeL0juyFYVO4aobw1usQv1ZL7/1HccX3pCgGQr9
NjgVvKfSy7al/AnOpt1CW+oCWCZuvDWJyB3bZSQ0YAVVo5Hf2zwq7l4dZ7e8/TnqUb4lOUyeENpE
r/UcnbW8IWxK8hR5Wn2OBhYrdPgRWUjbgmFRkEeyuum2wB0+kaGx4FSqrvvh5ob1QCj1DPtJ2rvU
gIVXYJzd0+voj6LSPvvaBQdqE/qnl847oYHDUdjpS09IzM2IxYKpMV7XE207t8+RoK+hRWK8GWnB
8n7KDgo5I9QzCditmM62nrMj9DF5356BCH2Mrr0wA4v8tsfY0pmRym9taMhz6aknl6yva1KxB3aw
X3si2zcCVv9+sulCIBPVNlOukGO7/hsnmvyEFvnEEvgDK1R+naIl9c1xVRDmpAidZp/efoqhfleN
5tkEHwnll4lcoXto+zhHssd8zaAIU2J216Q1DaARvnFIs8Ha0TUmY67Q0G86WbHz8TsjTJZ3hRzo
eemmquNC0/vonHFB1+IVMlpcBQu/tWJknbTVISp/2iNghL4ZjhFRBGdl/KTEGI8EhpJbKoifSWM8
h4xAdmVPKkCZISDSEnUom+ro5+6vlLL9zaa671EZbmNNc66GQGFbNEue2w/Y04KhGIeSMyA4t9sG
KRMs0bfsWvjilCZOfhuySjxRXjMYk1kK7wCy5DL32Xqm/7vF77gpna6j1I2TresI3Bla6G3CigK7
N8rXxoLKOKNM9eIxY0VrekFXOPZeJYzuW5MCdnao5rHMIvPA3xKM0rytpZiOP585P+7zvmrfu9xz
drGsjDPu2TdM/2cbFedOADSi1RCNm6aPsh2XsodhcQ2IUWFPmWjGUKx3eJZOIvSqnTOLK4TRJVZC
wzMIQyDq8w8lJ39XTAO+IvMdi093sTT74qc9oeu5Ce4XjrLLWOnkoVF4BcmHcGL8YY9zfBnzhvPT
BChez5LiPszoayPfvvoF+HdAWdScsSSRBKmT619KVENXo73VA/DA0QmHAMnE9AJ/55C1eC5oRTHQ
80GcE2OH6iDJ41suqL3BOWWBz/K1IcGH2GfcH3XxW+p4wTeeP/4Qsn4mirDYiyYbyMoJOyZk4ZJ5
Z9HW1EieZCp19V2XhgPso55gn73uQgOcKX+2SeKzajVfWEn9HmZdPbgtoU6sGAkNryAOdiZtE9Mi
+rjcM/BNdhGpsVwzKmNvdTQ6ehPwQg1h4wIrNfClxJNpeOUbQmd17y0w4Iz10rT/YvcpV7aZlOvO
I+Qly2MDVWt307qYThS25EvZToGl28NTI3UE4KL0OMPYS0iB1HZ2LWl/tsYziQqw+wv/ATPzlwmA
0HlsBPBe0IDIMarmUujIhwZbS5brjH4d+ozroUINFJsxoWR9rgFo0wnLANONu3g81kQ6BOWyw1oS
zb6t9qVTq6vttwj0y/qr3njyoRrT+OLy6hUp1MAoCxMsY20c8zn8AZGwfps4EJPB4yS7MAK0BmNB
rUUE2jMxZVC9K0rmH0YKNWBuveogvGaT+B0ABdiru5yl7b7QIwH1RidqFN0RIwvUONk4WMfRL4dL
LLNiucxru7CzzGuy/JWWzu2mNFCW6BXF/DJ0z4p0oLsujFcL2//OUe249RjWsHxoejLSnyun9PcA
CmzcMK2J2o0KNWuqmxfdVC7FRWYkRgHhXPhT+ZOhJWPgj3wBro94cYwWKmYPnYdpG2LMSetPCQxg
QIn5lcbEYbSBkA6N2V6skRhGuyUBYMDJyCjINU6dU32YgqLIGDyI0fBbb0ixZqyfRnSkKgqsMeIT
mdtkn8werWNzgHlYeazXKgnTu5qHnTsCfI1LrTysH7RBvo5lGNNNa0idsEL94tbUwSzPBq5Ecwnp
PSWbtXOKhzBx5ZOhA48kRuWYjIJW13fyiRrSm6pXPU9nKGBAfdMIO+JkdteqACuazwZn2YjWhbLp
KBY9STDUyjRI2+yrDSTsIIrZegiLglCIqfjZkUG10SffRbyj5/QjSyYnVvmQOBQX+KLkDgJ+SmhV
FfyFiFBMLE+ZWyNQ0Rk6VemdazLA4i7Mr05h730tq26d3gUW7+xQq4SFoYieQ3qb11Lnkxq/JmSw
PngZeZhOaDV72+sI1XV9FmmV9izS1L2sG08OKU8n0y0gpOIOoZDB/YgUzosoIZvCk4dkdN2rmTjl
lbft9Yl2t1PnmxC9fwqXe52bfgPWKy8s6gca+JwLRpgjhauVtwaP1y21TDRUSl7SpENiyJp172Zq
X5vT+FwuG+W3+7zsn/2BlSpmGHlv0Ca5fn8h9azZsXgwgYQSBDc3iLGzPG0uc2KQZu+TJFjmxqNJ
ENeLPsfs6zgIdwnO/INhL+5jvrgtZn0XR0nqbROd+BvBwHJYwpcTj9rV59yF3zlMIcfPd9Vy/FaV
+glCPzmafKk3AhC2WjElVx82LiFdEE3ytP8YlbCfUnZDAjf1lwGlUZyTExZVxo0172mGB/HQONnW
HmaK8/xkV5BXgDHkgaxdHVdif6dBiMgnSib623YGCoSyUdC4zSe/v3pyB8aYiwFLUwwN2a7MhDzV
BSfhItc6IntYsdBxevQ6diJrkAtX+KGXZYPnp9slYjR3eW29jsK81LLxDloaJXA8keaaTcfwpPGz
O/qWO0rA4ZzTDgSUPG5sOFy4MEr6NMO0IUUuxvOfbVpjwkLXwbTF+0yTuWDEA90v2RugUffCqQbO
Hz7H9eD8TlL5i4Q/kjZL7yfG5vPYDgVQB9DIY0pCNLKYfi/kfJPowmCZIImLaU7jhsm1w6RUd7Bz
LvUpy6YAts/ScGvqINFq8kVdYxebUf9eCPnQa451slzmzfPk1oepIMxIz8f4IvLuWfd6ANNVx2tV
5ErVXv9ah773QAMXkCPXkjxENZUkBpyg3j2RZlS1TX1yJmT4rLnZOYg00DAHHwpBb9eYG6QgZqGx
evSeOkV7ahRAvEkctXcTbqpN2dNRaoz2lxWp6lI2Lu5vUR2XbClL5yLT9u2X0qm+6VOFLWQaf/RA
m5Sn0v36PnoPipc1uwBKS3bgJCJExujfYg82M5hajbHbfQ7fHWVHwaA1M6dAhwaxz+TWZfCEV8l+
rbML/ED11RZcd0ZpI8gR/fmvWf7S0frH3G+dAK4/Q/r3Gjd4Gejm0uwtll5S/V/sncdy5MiWbX+l
fwBl0GIaWlHrmsCYSSYcWsuvf8udeYvV1fe1dc97AgMQjMiMgHI/Z++1ZTe2b8ttD9P6VAp7vfgD
mXqyUqYFfcadIMGYM6CAMwo9X2ee1CCobfJuUI7l0ZHiIfJrIsdXFqDAjTEKhu/Iek9JF2TbmMw6
mELRXdQHEdz8JN6ovn0nO92MocYDpr2N3sdIE/T8Pbd8iLekUQTNTdIgVcAfyvNfVsqwD3hYWCps
yq4xniJSkjY1WIKVShJQC5ElBI9DltMo1Zza2QagM3Fy53SxME1j32FIc8fFIiPL62cHfQ9zlliQ
PhLC6UoyAxVhjoBaJ9+Ve6pRVRAsgI4DzD1mUhMfWUu5TsykOXma3pyChSevuQTLijrok5FomCKT
vF2B40UzWLc02olgWzMFCaGR8k3UIpBvzWSR73ufZpnJjrzIp3/0oUOLUVLKbMSZwvGkvrlaK6ti
+tumesGr5mTTWHSSmB4yCm4IZlBr/l9ralPlL5Sm+bh09bWoc2udV1O24saebWeZuDbKRYDRb5VZ
aBAH4EgntXB4eh0XHKo+TgISwZnvIdljtSLm5WuhNheTwWiSEJxLtPAFldt8bqNFZxzAjyH/b4us
aVLPlzKMVIkUUu7OVNVpGtOtYMCbWNJ87It9W+mvxmzBUZSVU6w07SlV9VLGIO0p8JznPoC22NBZ
PuV4Nk5qLZVrosicXdslN2oXjcTpKLznTn6dMiYUTi06TC4bAiqt1SCvH6WUiVz/hCEO+6ZWBYT6
wkHxKZqBJxtWGcy30/disMpLj+dsD1UZ1YgzEPykKsI0Bw1y1Agf1AaXMiKVTEJibm0/NXb/JxD7
n2CbAKUa0Bz//9imB8To4j8272nZvf9dJvb7jb9lYgEqMUiizDYDy3FsF9rSXzIx3f5Dd23fsh1k
X1IW9i0Tc/4IbJtJf+CbBHV5FuKyf8nEzD9s3zFdz0U89iUu+1/gmwzL+wceVg8QqJm6jp6NkHod
ZNp/lokRp1GQ/Ftr50QDu1gJCi+wkvo1Xj5isFpY4xHxLFjuX30nBE4zh6dkal+XXLvN5tBbJzXP
wmRsVjbWwp05oFs3DnO6nTOCBv1ovGXwnXkxTAvZdGl8GM06cS+Eo240O8t2mOK4+hJ/j0FoXpGC
Qkhifk+749WioBfRNMWcUlzjzgJr5t8aFuYFvVyco9Vg4cLCvc6M4E1vvIeAgN9kWQijnn76FTmj
md2TwjGf7YLuRDgdgrS4AEwgwkcwPQ1kqdBM78su/gFvCh7Uoag0RGF6e586jB/MOvZQYvLg6pwS
Amy2zczJuRgYq9oYqS55VSDXil8iy/ZoQc9xuSuqYbuA7WRqSEEH1/UwMQwLy190U+knA7XGE2Q/
9czOxj591rzIwqrLd3ZCj2lZe7eUUYmqmgyHIDJ/Loa9nTucwGlt3tdZekKK+EBRb1pZVYcwvA82
fqP92TnDY1UX79izhw6fGE1dI2kIOrHgssB922pT82ToPO51nBALoxynH5K1G49rohqvNM/rVsb0
rCfD1VDCKKI3ceXkfN2UX6HVaDwYxXBbZeBXqOUUUB7EgXx4NLj3XTHRLDNxifTpZQEYsfZHJjSa
Gb/Xs0AfPOMbWvz0o8xu08i5wTX+YPcEw/AZu7SvKO/GcbMZEeOYFqKFaID+mGgaJjvqS7Ez/Wjy
9ILhkKlElhHbtNxn8X3l/tQn92qsYJd3/AgzOKj7eSoOyYw9Nfjhp/FZqxqk/X0IUHW5FRxrkwxE
kuQGZkSAqP2p9o4GKPW1RhGqMWYPGIF46q3RP4imu0orszpX3vBY+rALJJvJWBwJRKSQ4bR0VDiY
3NRTTuXEeMkRQ25cq8Wz7acXt6yTnSHTM6e7lufEwWnFtTWA67C80F2LoQCpUb1iCZhXhf5se+lL
hXZ/nZIwvIKH/pwWxc95uNKD4spEB+2nYGbgLwHnI0sFsMKu6qD1j+79QvwXI6sY5tHIs0nfkCnX
r60ovHUdEKPFtadF8cYgTQUA7bSmiOcsAb4aq+m3erfQvWNoRHF3bUkA4/eidWNi3Aq+Yu4zcW3T
tOCCHudXUmaQ+wGG9rvPPiW4LvWp1yxZHQP9z5+qikNk8kiiRb02FvutBmfEyAyNYIEtdQMeBZGi
dZd1g32IdLJpY936qIcm2dBsxFMgjiFE4l2jFzo6SEx5oyzdqrXvfUDzKYRilsFPpxa9NFeptVau
yZsxoFL/9feLRKZw9khDXm9/r2sLhta8p4P+9drfPg43MHYTvaO+avenaexo5CADVVuM9OAkG3FC
g9ospZMzBE1Z5zhRqC0SXtqKAe0kOFvdZYra63VzYHyyYyoId05GisZhcBBJiYkqkM4ysHjdKVoY
Uqi10apu55nn+PcutZ8p7HU8xd7u++9j+Sb1ZzPPkg1Ohpy2MU1RRTeorGVP2LC5bxSW4R/EA/V3
RRTSktb3auP7nYqLEHuSFE42MzJL+hJq39cnfWEe1A6kZfdRMEDPaDi7naF8aHsn3KVFbD+OuYak
FAdwmrzTv/cyEx1O5FtvY/kULr2Beyn293Xp1bdGGzK16yb7nNNk7usuOY9D+TjOc4PdTZgH1yiu
XdmE72H7r5qqiI9MY4sBqaqIlvdJDFQrNwEcvZjmTrWzcnBpU51cL3loX6Z5eMxjrSRTrXRXIaKG
DR03/9R4Zn0wo/KpJSd07Vn6RauqftvhLdhmRNfh5zj3y+tkkJ/nz8gcwuW1sSyp6H9bLF+XmXDL
fpqS7hpHyjE1dYieS/tet4Z30AqrPeRz+cOekKiQYiMOgt7fU4z7JHc9Ygpjzd1WGlJlzY/e6rn/
hLjV3rt6WN6aQIksn2BKresfl6KPyXkpbvtwgiA0deWLS0ZEPot7yvU0DFsX2K4gBa719NehEzT1
oppQ3YAHbktDVNBBmZprU9w1nF1MiZlT0GMjWr1gUD8XBG6H6GuYB664jCskSxFzL3uqxd41wzPE
X8I9pEAUME5dHNS2P9AAH0gLGrGKHgapNFWLJQ5vhoGuFaOJ/DTFBL+suk6pPe3eAtrowI1pW65I
T6p+swR/rKzWYVRDq4ophckIZYBGtv7VIqQ7fEoCeTJ+b8+Vbu4xSWDaLs0F0xZaWrXouAEj2OCM
R+fbQhWboJe5mlYcK6loUFIPJWJQa2rf96a3VM8kX2tUsvkMSybkzWAtQXwVMrLGTA8GiN1VrBkm
8aa8akuySGxaEkMnXaYuxMmqmOOjSilXCwduJrXIv3QIpBC8uO7gwxAmkN1hVGDaxB4bddSdFrlQ
8o3vTUOMhKFG3rDOfZeJ3yQnJl+rQk761LY2MhtN0uqnrXK1XerzCb8nZyQ/A3WKDO7m7JGyvvjr
TnjMxufRh/Y6OGt1XBes1+B15SEmp8Dd126wU0dZJPT+SrM6DFIk/H2UeznDbuVCrakXYHPTJNfL
bZBP8E1G4/dCnQjfm2ptqWFldBUuMXXcldZFLWJ5Gqh9VS6h8GHjRrvcrXGtc0LYxhL/Pg0gcrMK
VOKV5CdnS2xRddTjH62cqYV6aG/SqCA2Wv2s8idTWhjI6aQ2StfTtz5G/d4AuY09oSuHUE6fvxdK
xPK9qdbUvsV9q8ukO/rQavB5y99UnW5qLc1BShBr7a/VWfa9+D4Hv09EL7NBA0I6GjTpuY4yH+Rv
idfzL82Ryld3VGFE7RzjiuSYuP5UKqOvY/d1jaqwR7UKLoFbWzpvvg+cF2kIMf7dMbT6gBG81x/U
sRnUNft15X6tO0n1E9hNu1UH5vsQqSP2j31eEQy464oUcTxHTF29X4oedezUtnoFikS4rYX+bEih
ztfF27RSMi63WzqJPH0GLz8y7FvFBXaqlbpk1KUkpARfrX3vMyKidFrT3qtM1ja0GEcXa4fk830r
9UZK+qNe+/oDua+MoI8NTo9eTZoCdOkC8P5a+8c+ralprTN2h2kp5eUxM4edl8VAvMTSnIN42Zvq
xiHlZWqtCAjyXILmT3UI8XD8lpKpzZwsVLRK8jADc3IPbQIIVF6C6pIsWwGuMYpApQN587d9Cg6w
UVaVr/vsdTDWydclScIeMpklCdE7cklCtmEO1maCwqDczEeGfOpNlWXcFYQ37dSBLmrXTVfqalWL
0OeZD84BI37ap8xApAItIEEy/RKj/W279V26Z5nOwLOYBHWa/6zZ0tVOXLH0ujCO4tn8fYQVzl5t
qjW1UIde7QupzYew+Olj/0u2lYULWW9KwfW1iibsrQgikazT1t4F8iGTy1uNO6clERnqK0zWJL+Y
es2MGjQ58i8mg/HRQa2qlxiH/X6v2owAMM9r09UkllaIH2GX0syV32swOJHV2vfi3+0rNI276Pff
RLn8af7dR0zMVQjAFb/Ux2TqfViBzo5jxfu/ve3fvfcf+8gmdTdLa3E6yv+relXPvHfcooQfy13l
hKm+lZympvswRvk4KgwuH5L6fi+Glp/7e9+YyIvN1LWd3pjefhozPPZ9vrcQaUK8kW+L5phV9Rb1
ZrXzHx+jNv/2nmD2tg7mMUh0cJwa68UQpr9Vf/X1cV9/O1STlPDxaxgWYkT1ulq48h/+enXA1KTn
nCiaXXGbaEfOr8pA0cXTDRhx64IdGfqyaA741KE4aB6ySOEzLCgKco54uCtfyqQe7pUyqnSlkZ6W
h1KOEjQpFa3VeEG4/GdIgHltEK7AkuCKIH81RNs3oriL5A0O0CFEzrC4zJo07stLThWg1UJt+urO
q7aTIDe4XVCp/rbOxV8ZvfLSrzqLUwiqyZ3t05wbrf4jp0m95f8NrkwuVFqv2vxdKi/I8wXKOzPB
29jyzjPoEfFKjFbVd1G71BdSiygx3P2QZ/sucIizaOWDS8hRQiwfjX4AM1lVkFXxWOPBwFRPCjlh
nMCjngoIV37MvU/VS1WRVK21HXT9nhNR3kCdTH9zxsVGI4Kus5ULtYa4dGPHaHo6eetVjiu11lC4
bQxozF/uMXlrTyEB8CRQdU25PdoZRSVi6mzEWvRE5P3BU4JP07G5S4aQdpYRzIccLKoq99ea7kQn
oSHPtxZjq0rrviycq7WaL7YjY/QqqR1hbs2rUFqbvqvmZMYRXh46/apS5V8wKXg/5IACOKehr2sB
Js/vAfMkLdO4UWg7QQVwv2RjpOOt4NKbtei2dkrkP+pWKp1DmJ25n36ZtTrpN7LDS00QwlFZtHTq
WZifpXVHdTIKk9RSKFYADRiDKz+WWuMY8Vz43qkPQtv0DUwH1Y75XuR+4u2X1tt971LtnC4qcF+3
ISUSm6zoSdPu1KepMrVa+15E8szsjPYFZpS/VR+UqWeXWnWnnB/eTuiYN4Nz6AhXxqw5RP0BZymE
AsbgaqGSOIUjNlaSTQcdaThCbPmqVlpYwbr6XfU01NnmBzlqYbXtKOGwIKyQg2u9m4N5LvJoZjAg
R3VqEVMj1NfQon5R7Ktx0Jg6H42Gfymg+NSymYFTfDrpuo3a4XsbUi7KJ9ofqpmhmjwlHSrIQ4gv
c4aetDjimLx63yl+0rCg6xEgAIpCFmrzv+xLmrUWjPRXR6IwivIGmd143YcNXDVzy7iGQhEl/CC1
w92SIwrtXO1h8AkNjfXQ2wnTdUkALQvo2jnKvCWvd2AOoU7q/nJr5PezXmDugEYGtu+hahf/nEzl
I9p7fBAxHcTOct/QVorLWIt1Uy76bd8b5QXTeBX6Vwy3k6t+1q3zRM64kXhcEJHYjsbcEZpsryFy
3yI61J+x/qbHdKgKyDDefTLVsgrT0cLQ6cSmFCqnZAgPTbjcpeEcH+rW684IOy+D5YaHEZUxlFpn
F0c6NAvsLb3H9GNuk/rgegDStRFhbjC11tFus+sixPKCkh3eKjkrSC7d/tj1EDCjGKVp7TjXkQe6
Gp8epeD5ZaQBtYaOOqNwRbJjaAj7MUAjAjHHGypb9blJLHr7cq1P688WdNjOqdvqYqGyZpBLPyrV
iP8Gm92vsWDNdO4b2F4OQIMiQmetAWpYO5kdX2dZTuGT2fgOXsMigSIIHMpDkglkJeQ4LwO5XHE7
Plp97O9mEzYZpghamoU+7iP0wDTHMcYgM6cMEhEsmuj1ukELOFtRfzF9ElWGqh82lm3C4yjjEtau
f2UVTbHzaoPUGGozNr18SoV3TqU9ZoEFXsKjY95RSM2t/qcTIzwOTFiQs9j36F9Xds8iJEF8Y03B
1g6Hj1JqCmdj7S9jhZnKenSKfLoKK6wRaKKfJt0U2zqROYo94dWVWPxt0vd/luhJVn1hEABJZX1O
9B9uSxG3GD6qiLYoGHQq/MFhmeKF9JX+qmhtZOAWPc/G0qkEZ8l9jQ9jb9Wi24WthTfZmfS71uZh
ORbZZtELE4UcEkOfJ8Vaej6GLkJuEThIK/B2TDWhzQ4sEFvDlew5wPswPVhI/csFWHzUE1Qf9ztr
zsdjtZjzOp9wbY3xxwCHFEk6vhf+G1ryqRsR6FyGfWvdKDw4j4Rgenl5ZVka2NWaf7hy4OFlsyGu
Jw0AhIvcnmJ0Cbe+p5kR+/Vn58jxpgW3LWWCSYOy3PRpy8PejHiaI6OhApHvY6vD01gY+xDg4cYq
CZsOYxRtdRtsJk7QddH6NyhszgECzkvtdwc9I+IuTesf1USzpDSsbvN/3bv/affuvw1d+ererd9p
85MU8M/+HW/93b/z/D8c29A9rPL0yVyTcLN/pa9Yf1iOSsigS+ebhJ/81b6znD9kJw3MIHp32+Sv
/mrfWeYfOkM3xwMPQd9NYiP+F+070/qvMVAeAi4dYIQPCNmw9H9QHnoZo9UkqEmasov2Rjh4l7ju
H3Obnow3vTTj0N4Pbc2dZxoGQMSGc0nm80BdlDKm6+/REAUllNMwv/bqu9DTwk2A5oCgEuNkldG0
sUUYbsP5em4qhtN68DNJ6G1BdUnQAWoxltGEiySm9TG6U7mJrrGzJw9Bqm/1prCe5hALSD5hCDWW
nnBNF9spItJ9p8OCdKDqrrPGj3Z2IxmsxgCP2AMDSAZtcjDhJe2qKdh5RYSGDc6Zix0gNWk/GPxH
IYwJik0Ug49lGJ9wDk+bRh9Jg2qiYF9U8TYlWHkXdhH6iNG9bu1h17ZV9uAZKC5znlaHOl0OsTaU
MOYNgmAnMOr16B9z3BF7U0xPgfAFgs+kuWjOHrZlfAYU7K4RpLRvmjURV0KQHUl7wU7LYht5CCqD
0PKCkzsWH00KT72AnroZStNAHNU74HIm0GvwRLY8OV5B0VyALQu0yLSukhiIcFxbexiLcPOJkOpL
zzhlo/WjaeN07VN7PRK77sWG8wjjF5MIKS2F2di7Ihf5JZrCQx+a0Qm/DqLAbY6H7n0Z2ktuPTmB
E6BBRl+bhOO9pScFXkyqBK6e+cAgabvBHgrc/B6eq8MTsrVvxtnOjwQBYN0UPBIpQTI/7bUzHszs
JHBQXSdDgI0mqJ4Gl5u81c/1ZomFg7Ma+KcQ26wfwkvYNqjAJN7dwqPTYLOhx2m8FOCpLjRtn6cS
CpzlpJAnQt27x5qFFYpGIxKvWTL5RlwBCAwxrkO/68o19WXnOew7xGOhdTSb6N6eY2tXZ4Ro1BXP
spxUudAN4ZHTk5pM2gKzcJfznC7khHbOXcNE554fFA2SS440z+9KC7J1G+jdVssEapuB/NqlokCa
puVIezCydlHzASwKM4Tnerc2aNxVab1VuVG9E6+ZXLJwKO7w7UCP1FtAm3TAXsCnH8Zkdmgqk0lZ
etmN52YzVsQq4rx3ES7V8xWNaO22HR7dSK/OYsrv/cLcxn33YNPLOM3k7fmoYCGHAAenogUcYHQO
tWd5dyFqU6ae0dEoiK216+YSTxDUrM62jgKZJXN4Ohm+T2wbdJyV5/TtudOWu7ocyHiW46PlI9FA
EHix3nIC5Q80FkhTi+e7Mgo/8p7gMNPTdY5r4a/aqIdTW0OCSnLopEYsYcUjkFDbJCKgKsaDZujk
qYZnQ/vTm4PHOm5qEj42OZOrPQcKb6i/mRP/wlhvxK/fEgbXt8EpbdInHf2kxiPzMmfFjZrk+lZ/
M5lTdlPso2s05ueS7KAzGDxtzbBS39qJeeoNP0B32g77QFTjzimZi094xdMhEdt2whgxQroJunoX
WIV4bMznAnpm7vvTptAN4jcjkgiTAG6AoXm3Yek+cgvybkl6+yXkeMUrYLDFZV5uCXJzLzp6Akzc
1jboe4T0OhO9pAbc4qclIAK3vp6i2LuUXRDuM9lNmmNcUH2H+db2+/u8qkcCuF2x8UeUPwiSra2W
1Bad6yDm9zH/NDybIXidBntd9B+tm+4IEDL3VJTSQyKjKFAWfXr9LCHdQLY7SpXbMfHzW3DtqX9G
TP2Ukfiwi620Q3IlIVcujX4AlBjZIo0Ae2xEC3OzrbD8X3YQPjeWyNcVPnMaGq69L1+YTMXXs4+5
OKnDkP/3dMNPi2lgzu/r4jPPuv6poW9XTrh07MA56FAHt5KeYNCrn/xx3UXJcGwMM99qRHKtRocp
wDBk+Hl5CAi/IyFs/gzp3u3bGnoNvoNl17X1S+IY6ToeGnej8zeIw14RjGPH8qISAvH0VBD1upmn
juGbE16E0SK31oufi1+f+tLoNvjpf+YGuXZm2h17soi33syIjQjrrWXAW84zY49Gm86dRVZ5zJgv
ZBCNaHamLRtzUVKGruYJd4Il3Q4LusyIssOO//phCsSx9lPvYtugyX2sEpRa8Qy62FglXg9Ef7e1
Ggf/TTTm3OYnhI52DtRWe7Hj6Glup3jrVIF1nANg/PP4w5nILXItf9ojvsyPAAzezGj54YssvGua
IwrN4b6d6fOnzp2v2/FtFBsGCEaa6LabOCB6+BLktd6RSMAtbubSbHIr2vTkARepTdjHBOyg8AIi
baJq3VhoHKw0OGVGB2oOB8J2yRD46vqVPziLVF/DH6oK/eAXyY9lwZ05GmSCUMBBGhHsS90fVx4u
36h1imsw6LWEZi6QzIHs5q5pnjw8fjyyE2c7k3Z/cpd6GwI0QG8DTmKxmherc8XB7PA3GTLwIBmL
d6po2MeC5LgsqbPq8NFsTGfiLOEEy2om76XXBseyunXdBNNzrh2gp23JT1oO7WJ/zJ4nrpZEWKgI
HW4+3a85941HgtaxeL0ahHTe58SDlfXyE3dztF06zhk02Ph7UFGTZpNpFnakPdGV2snomzffTetD
nUXjJmAuuyGTIVl7refuA2/JHwyzO6ah1q5i7t+72glJD+ULWI1v3IFZ2iaFFr/O6RFlVHgAeJlu
kXEQy1iQXOe4UfeCtOPBj5GDFIZ4HUxDzjjJVk165xFI4RO3JUw/onvxDOAX9tCu3TRtr+HTAMli
BLOOulI/pBieN2nXZw+Y1sqNnzXdBvhyv9drK18nog1fJ3f+05y77tqIC3sTJBdI5vY7JUF/w7Q5
PHfgX3w8P2chQBxSt/LeHeG/hlX4LiijHHXpbkaJjKclyryLaBb7cfCal8HWuV6MaNiRkRrdOy5K
70aI/LAQswcsB1pM5U3pqXeme5sm/hV68oIuu1YdXBljFIrPGvvKynGb5AGMbr8ffCyfEEOdm2Tk
93Bsou0CIuUPTBmPFZluv8CScGvMLqM5fwq8EZ7wqmM9CZmEZuwg0ET7EQnNOo0BADWzUZygpXPl
91g8i3uacHi4BKDNOWgeg46TGCzb8HMq3XXl1vex31LDC/X2CERqm5XlAz+VLFTE1bGn3LRzwyW/
WFmDa6JO3mEEu2jd/J6D4mzKxqC2NcXi0cVQyThryFF4ZKG7R+XirIO8fuLZuyMMID16NaTOXnfu
+6q9NcdjWDaELYWwYFpjCR4Wr7UQaC/FVcxwlXs14W4ZU2I7Dj8RN5Djhd9iU8E52ZBWZ6zTRmbL
lpG20iQlwimsX0kLFUJ0tou+RL/1UXsv7Ys9Os0HBdy30KziV12E/nqYKx5wCb3RxSEFScCKiMrn
CUftpogqc61jd9q2eVICD1rEW3hbWPFVCEr5M0LBLGyxvM2t9aB5zo82KMr7whoIpOuvuB9xB/Gt
bJ/Z9cUd/fjG4LSkpDB2e3d8dUYDpJvDqLQkAGhbLkbzSZGiXnktRiF/sM/gHum6a7/IKRLn2odb
n+iJFK1PRDa1brs1vNTezZo9rjJzBBu8hPGta29yYsWf/d7GITAitPUr/aYMcaEZY/pR+WlKwpUx
H8pweqnLFlyGNkOAXYK3dGiuwpr/fkLj+OA0eNZj+5mObYeE2Pw15t1E9cPvCGsHSmXFaYEtu/yw
CgRPrtnjKkN6oldUCU0zfla9NaYeC8JEApgd+R71xlGqgYUNDaHM+VtG6A/VqLV4jvBBMMdKMjzh
unjGxufh85g+fJA8lOVKROMEBK5GH8G+Lt1RlUUqXBSNXwvuz0ehV3dah26OVK7kJOKj73HGAYG+
Lg1ENAzAriaTZDISaKlJ9RNIOrkYg3g6xaREGFjM4Z6jSrd0HLdSo7qemy2mYFTTEYFdGV4aIqnR
XxYzeUG6h3+La56GQSgl/GlVWRRTkxeDcKsdupxrrfXiveFMBewZhOmxSYtobPtz5JFC4wib6Bun
xsoPIgaFEhlxI2NLyK2Sv667P7oa5UWOg3UdZAvaurB7rCf0Ka0fM6dboh3QOfKGZm/YdLO4qx3P
3SEn9I8MT5bauy8xOnjih5sO6aX7EPiqmT8kN7nTY4CLx2AdGu25nLIIrL+DKGhA3BFjmCac7Agd
SlwZWihwvIKpcfzkxvegNyQAw6M88eBneMEVRpznUpT1SoKh7tMx2xsINXGuMUAWaXJv5N6+curP
QBf6g5YQ2D0iN8OYRHhTClB3Ey/DmzZq+ZougE5J3n8tTFAfZTfae7DfPfYGoMetOCUgXLrR6h6W
hDAWLfLfqPQe5mYQB73IXvvMe8NCte8q4+KN4gemNfDyuf2iNVcCKmndBUxEa0ykZsJDi8TKm55s
JNw3u0Un1GLMIqYfWN4iN4TbwZ1N6KT/6sORick5LZKTnV1n5D+FeUneprmxHfoQBL7sGzEMhwKz
1qHXzH07+4iieGbhaAV33DMHXOHpdTEYV+tMuNoumnTiRCZy1J0LxXD7ZPX1+0DXZd0jStRasHKB
XtEuCfP0HIvndPTfXcCSXLu3RZ++hFblnoIOANukX9uoHzcM7NUHlQvW/bpKD3VIb7+teHDQ3qZb
1awQ776AEzHPYcl1LHASb+sBl/FYVjiG5enXp/nILIjygQgysnMC8xjCYSllusKcWwcaoO6pGYNs
n6bazQBYuqMRcQxmQma9HOpNZPKdKI8vyBXMYROjiwRd3D9w47mLe4sxTs4gMg/NeDM0TEe21riE
9KGAKabNWWYYzjfU441j1VrglyTGsXGi8Kh1HxqxD+sm8AjH6MHTzZSafULad3EKm3vOpw4LMD8k
RvCeWY//yMzKOdlW7ZwQPzunQEDhdvi8qrJxm0UOrnlDo0Eo72lBPz4QdP6Wud2N2cfduh/HeVNq
jKMYyzwaNT30IkC9pdPyWoUi+sloCHBuFAF1Fs5eN50n0nitTTBo9wUMFKO/N3wiWtJuRGPg5dvF
z671pSMxcwFkzeP1WXdh2GquuIq87CP3M2Plk/0F6neP69tmyJ7Bz5Khf56dVqe0n/b2UBHJoodP
3hiLTW/Mn2Px1tZT/mCan+4SPOdTHBE25q9GeHiIFSx6YbNv7jNxk8+gtZDPj3CkAANk7SYUk3FO
vO4HAfKHQjBkWuhq03u7TSLjz97YtEVPpb3X3zpqgKcSoJpDN3VFGyJBEbNawpY8v4SIeMt4R7HJ
OKLucNjPzjYi8XvVzDXeHfOz0urg6rqfg+BPk0oZ1LG6z3tgQVIUHJ3dFhEvyB4CA8xuV6KUWok5
sjcRQm6UtONNB84Df2Fi7nCW76c4Ty4mQ/01WPloq2f4bIeWpCt768C5t2c88bNjfIxTJiihyTkA
lRHOS/ccapG3ihPkg6Ukdoz8VeKUT3rVESDqQlDJnYUwEUh30KUmKZ/3tpodiRuvzU3qNISODD1F
9zCNY+TjQN+0eMZ3xAy45rQ+NBm61gU9d1GTxVZ+1sx16WlHh9gb/LWWTTfVE4m2+3GqiZNvngPN
JphPZLdtkLXbNv4TsyUaficDAbqkOF29JxgSb3ZJKWQxr7muQV5UYP7yz6rjdDDp6NghTDWnGa+E
NsCGDHHmm/NmGWgE2lXxroN8q4Fi1PSp14KcsjSU+BcbpTyst3dEKofB4ikXWKiieZbgANBWwAUI
mlmuPM/huVAyZrHQRTL/iO0PPxEf1A0DkTwQ09hvU8viADWvqZu+ja4sER/thiNnYCy0vX7vhM6d
iPjCzZC9Q1a4GiY4AwUWyywcN6nQjl4XonguPnzQAVOJBCLrnBPatbUOcoEMG+xduU6AxtDpR7sL
qwuTqrOeaLcVwDaqPTdRkzzGQ/XgC7zI3OHh+/MrtO491wh4w7siHj5dk0TU1nBfomG6LtElS7Ys
sJR7CkyoH7QfcSg58xkmVsifWBzBnHObj7roEOrb1qjzHTc1bQWp8LbpMIAEE3fcwRaMWl8QMv1c
RvszWdqnnFTKBS5b4o/PbQgYvJh+xmEKoLSZr7TY+qFN9cOCdHFIaMnoxr23jDjfhuOSFtifaW8l
5ASjbAIw2GfvNF5oCo7TB7DYVWh2XD4cByYq17ZJ2ZRpwjGIyfx2IuPJcp3jXKXHiPDKoKWfVHVv
Ze08jswCxjLZZdzMM2j42PVRwpNLIbR9niPv9whuoihHmq0G0d6CVppWBslwKNB9EcBgMcgW9kCQ
9V32jCOV/2PYkn2W7PWh5iVfqwFQtpvZr35QBr4VRzv/KGsLnm5zZTVQ4nQdc8oyQr7I7Pmq7Oof
nWmfQ2c+0hGlrDIVz5ODwaMzgnaVMi7rdEnczT5n+1hodP4dInFIvSD0DRmb4X804fhmD+RMJQbj
x7Lwt25V3NRLddasWzKD0JQ8F3z3Mu1uA84psmXyOt4Q8Awn6f+xd17Njarrnv8qU+ceDzlM1bkB
ZckKthxvVHa3myRA5PDp5wfqbrm911q19/GNa2rcq7QAIYRe3vg8/wAX3Q1xVgKQrboyP0AhjitX
+J/liMPqhoFfpIo3T5qB6c9K5taeJtzGWHA6h0C9D5W7MDQBgBH/AGRrd8SgC7xMCIY2P04qALFT
aN2hE9pCEuiePDOq+Cqlm+NL6wQh0Rar9n7ksbIuNJBVKVHt0izHclEGI8WLxes0eWuJg6FDOPYV
TwHngGSiXt6kXQQkkgQoMQ4Hv7l2rNb9Eylvcqs5kqfGwbOwvOsD5D5W5QhqdYd4LODhjDc3E1OC
OST+e8IvXa+kSYiUxfU0q3DwkjzE/rpD8wr+8hlSsJ35CDCQ7XdYhR8dKULXoM16JZtyeSQ14c1A
AVXTSoT1gljzCP4lBNCMsJR6otUJpezIYgClCSuXsZmzxsRtNbF9hEHt/JC0K4FmJaOLAxsROauj
pDm5cVLnqoQ8VxOVTDxhdApx8KJ7bj1vxDR0Ist3BKo+APZQdEwDCQrZ1/RVE06VBqqyLAgEzAEI
RMYi8k3mQOjbl5V25/bZ7Hqta9JLfPyGB7ByZ3pkCLK8tGUUIJY4xkpYSmj1HC2AGD0eEVG+YzaR
8O62MWJhjoFhn6CoYy9mphVXgTLJZf+mC0qS05aKFmlK8DNFlsrKXEiTBw/nE+00y6qsXGubrvwm
nhTVqbvE7M1UmTbiNigLbQIHstq3smjBd77pTqg85JjEsKawvLGH3UAYW31ip4aan7i2fwqbKeOi
OpObEpxhEeYjSzNOjnKI71uicJmL4pB11GyAVA9hAQJXq9VNRadlSSlW3Lq1FVN1L3kthpDoyFzr
mSejX3xUnKLSbk55kM17j7UJqMrXzHP3hQ4mWM1d+p0eEpHI2VjM81vziK8HMkPGyBgh5IshSzsv
WpAzUOFkPDgZIU4E6idZR+s0LWgCuYoHpaJ41lZFNlGTmK21Lp6W1INVZnXYJhbyLCxi5iiYZcfA
wRy0pmZ6J8XjKsWkDh/nsR884Md72qouApoZ1bCI3XF5RIVKjIqxh8MJJsz3THBxwT0ZaN0SE2EG
cvxWJoJsJ/KdGxrpPLRYhGlWpGxEt8PWItKp10qyrjz8C47pXXQw8omCoK2jQe2xY/ABQnR4OZUY
rNUSro1Vz905tcepfOSyYcV6O63uifajpoHfW94uGiX6XhfVKJeRPe8E/UnV402Hfxu2kNMU9qod
VN1jnMPKwNvjtjG4KXFH+pyeh6h+ptXMh59lo77F1EtDH7YWxyeNgIKLRQ7uLemEVUUK7R8OsT5S
SyxwMnS8mXIhwir6k0CFXCU1+UwykO4JBZTrCqSlWoCw2e2BkI4PeMU20KqwRTjBUX3YCQfjNkdB
hmkBof/OGhPGDG0RkWGDNm7lpOmVDngewhAE65XypsW5aYTAnW/n4vHF4+RQdX9E7XcNcoohok0m
nUj7odN9I4PNsAIm3+oU++H1Kcqes7qgxh7x+8UEt2nwuETnqyHu3iMNNJTU6JUxW+zXBqCgmM5c
F9GD3pA59EKdOZeYohlYsUyJWKUQ7lKmvYKb3NQPZBfHETbPmWwsoNP/6CiSSuuNk47oA524Su3O
gDiNfOVFOeToh0bfIzxEXWuXtFiwSDIGnVa9kkWd7CtqwFGl7zIs/ro8hHwYjg3dvU79/Dk3wnGW
5PfM8tSJX5rrsjGuBT0YuRmrVluUjvuqLB5P2mHRXyvTwus4UZfMWKeF8phamUPGgsVWs5AYW321
nh78eImUWGrEj5bcbmtRv7FK5N0OU+yxH2XZWPEkrfo4kiEfnV2cDOYp9D6or4GvkOki7YaZSZZo
4yOdVIaxMzEEVJWSjqXOCeepE12lH0m3Ztvt/TyGxAPeTQlGjVGtIh2l4Dq5O6p7Sm1EK537InZ7
5EOyxtpodbnpn1cpENCNgg1fuRaxgkv03aHIn+sTUa0uwPNDL1lrNzXCRmpnC4fZoa5naKwGMD8z
hpaIkVEltn5SMlS02nSnH8sHZH8o7pwRQL6RddMWCs0O9G6LOv0YOQu0PeKnQFNyOwnSXW7tYklf
A++ZZyY29t5xCnoHxZ5Uu/dLeaLjS3co4+s066k1obBv4gwYTr0LAiJVgmGRrPGyYHo8BveN0Hwn
qwieKEcFEb1kpQxvRDNGbepYzZoig+dD3iBHjsLrBfROlbpJZXeC6yvkTRKuXgqLq/HviT331lSY
vxhygZAuDgH6+qA+E9haHttKHsVN7+wQzETLnca1PEtYJUcYTtM9quXWhRVXUEfw/btGZhPDRm9e
Bt5eDph4C8qkK1q0q06zA1rFiDRB8SXrcooB2jZklaTRwcSI7aiVtweCwAW2ZHS7U+Az5G0QopIT
f4wlyG1f8QsheEmORD0Y05JqXeMCXQFJxI3y8Rh6y0yw1sdQG+eFeUei/bEOkxEE1iUrbLqrVHyQ
ahNh1/ZH3NtvNVG+a2nytqS7PJyqFhzsuZZMPcABq3NZzKZRLvVwzr1M9OHE/CWJ5DWqZOs4OL2Q
vn7Cv3EmBQW5cTmaGvW3WI1HMWlPVeiwnkEUgx7VLITXTsq/lxE+jrJ5l3vE3QlGfI8Lfd+G+lgQ
5LlepPfkMZ9RvtbKw7OoIWbY5T/C1LuL43ASauGOnPO87mlVLYlW8BVWHGzECqJfutc9fCgbmrJ1
fJVF8sC6chu7SP5oIMoORPRxgC7Dl0wQb7Jj/hTR6oX4tCq94FE+1U91ISDJpiqjKjRmGL9tO1Kw
6LAQ3pSzSRoyAPXiP5G1QNx3xBiDo6h7JyvSNuGZKKb5nXvFzcxDVSebJtGdSCZNZ/wE87YNmj35
pbdDa65TV17nx/D5CCTZNYIZsLsVhMe1iVqwIiAlpKjLTDm9+bg0ZmG11ITyUaFR6WBx9VaKRj45
01DcHXP/KY5QVchk4nkscEuNqLmSP2iCttLgcYOwtE8GIuL+ae0ZyDRWJFPEot4o3WlTy9mi6JS1
EEmEnxkvTXeRH8IVCrZ7gku3GWNKzzK66emcbtuNi4SqTe+pSfjQmzTPSN6WJ9ZPN3hGC3bhuNAx
HL0slnrSr76ybIzPQGdstBZhuEoD/GLFref0leUgR9uDu8XCdeKd0MvxiV/Rz8DuMvIMl8WYoBVy
xhiutqAnThPkrGLb3ahA4Kwi3ksq8HqldYxEU+wiSceFeEJjGs9W41YJ6rnWKoATiPC78qPWxso0
aggBGe0tZvN8RV0SScs2XaVeB628tYT0VWm8mZthlRp1qwNZ1By2PQZrz1Hp3yTR3vJQCsAH+6E1
n4HKzhut+ZbAxtQPkrwu8vDmAAyxuaul9KUuJ1WWI3eVP3pq+2SU0jgKrXvPpMnhzntU8+JbK/vX
KlFw0iLTk5iQxZSZTilZMgdNN/IFd4Z5GCjRgswGuBiUyZa1RSwuIhkdJtcBPMhDyByJHmOMiBcL
MxwNjUY3YO0D+EabbYJ3I2Kp6i2uJu6oMqQ7slvXVizboAMWrHFmvnq8Vyuafd25XL1bioQfMI2e
YdhM9SPwpKlb5rxvLe8fJHNsWe2kkTZ6Gu0xa5u6yq7p/AcYCre6pk0sphFkBwiXe05ygh0SnCaC
4BGg1pARktQf/fci4bkTFWvppd41HD8NmCFQnf4LI1W6NSIN8oBnrRoXvSsPf4qcmuL5d3IkT4oq
uTcA03fXmoRkEOpiPeKxmqL5h2UN+ef+pCZKH0oDhUPPf5Nzr7CNSN9D8tvh743yp4IYcRLfmkBK
gJOOwsh6lXt+rqLgVtt1jOTWCONrpI0TbHzUpvcw7O6VrpwGGsq5AiqsvunoKkERISPIzWQHpjlA
dmjkwjVMHAQOWoaDpp5lRrWxYMQfRHV+qPNNKxhoZipz1yumATbB6mNVEsRu91Xnjxq/hd9Tgrl9
cvtQZp28BbX5SrQVKXtyoJ5o667xmlp3pGhm7uH4dlDN64N3wG0Nn2xTzF+6g35zwDG4Lj1sZIng
YGPAF8jIW6DK2tFFnqJwSgjPKVvjOSabNsLfb3PEVVoKa4oyLNVxx6jlGLGBeh1pVSco0CmogA2Q
gYodtZenaCL5qe8y3bx51KM0dsj+6I6Qb3SzUBwLHPACrV9LpnsENXGttd6sYD6xiAX7/8M//y34
p6rLqKn8vXjLXfHi/QH6PH/gJ+gTk+ErQJUm6KhfIM1fqE9J6kVbRNmi/1Yt0BfIpcQJSMP//i8V
aKcERN/URUuXLPRjLqhP40rkj0QaRnUGUFHtP0J9aqaCKMt7by9TxUFMVEiLgQ63dIUf+97bK0kT
30tas73WJcGzj4Pq+cCHebdJsoTBoeppxufNjyeouAPQIfYh6rDDlt3otsD3yGUhSDAlAABNvbbu
q4RcMQrjgK5Tfxq3wtYzUNbCKnCVZQJZRVrZmMT7jyYR/C0C/JkjtS0InybsXbQFKn7vZYoLMpT2
TG4xCMP7Ec1aGDPBExyaR9RfjD5M6s9OKhyAsCbkG5XpJDIs1bFUKccIUccIu8TNI0dhsXOGX8IU
A4rFsClIidndDptqxHppaXZJPSKDmNseRKCfHxhYQ+eieHeZ4VPvSunCLRKBx/p5J02ZnlbieGBe
oWqpV4/D5qGsj1gUevuBUDMcGl4GVsyFq/XhGKEsWJ/DwTOJZtg8c7mGTw77w8cvu8Oxy9eg4881
hv1/2fznbx8udLku/EBiqX7WzIueQjdIOgxbVb87bF3eyHvj5MvusOVqPf9u2Lx85HKZ4SPDLix6
zxF9mCB/dTLI6w7uXv+l7654Pjp8XCN3BPnKRPufNWTVpd75Zj/c0+X7hmt9+Kph1+srhQDnfnT5
LOh7ROiGfWASsoOKD4GdtoV/Hg+vfs9+rwftkGFzkAqhZ8fTLkumw6HziXFP07qccr7GcPb5pN+K
JcPuu7cJZfJtg47JeXP40IfLDbt///ZwzXd36WI/jL2nTw7LOqK3FvTURIben3eYDqxEqxZOo6xA
1Oi8n/RKDsNJw+nDLqw+bMJuhqPDgcuVOr2AwzbsH/vLD1uXTyIJC9vt8hmT5CZkDJkQjidsFFJm
EMt6kzgILr82y0OcLaKeoTq838RRODohMmzXAqIyIAVZepQGAkqCUCGsu4s0TQMFi+LdAUjpIvbz
lQGqemIUQjvr/AZ/355yN1hhnTelgYhHaRL46Yl52rA5HCURtVQD15sOe8PL8MHhvMvuu0sOB4e3
hxMvnxuOAYOsnIR0/iR1SY2Suk1eqzb1Rt0hW3ZlosDqPGJNqxEJQiP8eWA6Dy8KGTp084auHXkx
KKtRdkI+OUMk8TeQQ0VPaAYCcRS26bpT032iHVsSNgiTn4ndurbKoryde739hdn/7mHr8jIci3vF
bGL86DX15dFlqHORSAjo2OHponWL0Z8hEZ3MgKe7Hly6g8vLUZfSid9Jez9qAHGYbs56pzrsLV3b
5bi0OKesKBZIjAIxrUlLDLsRwE614FeQiWBm1iBkHcg1NHzflBIH9C6GrD13cjD/MLLUwl+qnBQ+
vF6pvNeU6gUZRwkHCDdd+iDVliguE7Cy0C+JMDxg8t1hAswEFOmdWdpbXg40fq3nAA9buYnnniEj
kzTw8X1A1pqew2TvFfoGZn5+MsloDpuXg34lbpQawGrTt6DhZWDrX3aHLQK3EvIz6noABQ0vYa/u
YGADZxnHlrSGLooLwd2kIvR4PdMJu5Jjh9BI/ABAFtKXAl5ZcVZu8QKrzxVR6Z/cpfoNW8MxfIyR
kKzUIxprOO8kqFoyR85Rv0TKUMsIorH8/7U/bKUy4mQ2mDhm09iOC0bVLMKT0T9hheVlHAN58Yd9
pEObRZMeeCq1DEdONQp1nB9Qi4GI2NmlieOjI3aocZ43UZwgjCcDP+8mhzpTFy7uPLZ7wiXGdWmA
XgzeO5EQpulf0nKu1tA/dWR1F0WWmwsMNfD+M/EJwTUM3gEavGiTuhMhHHkAKGjIJNvhifkzqd3l
waS9BaGjePP8tnlGy7E82CapF0yz748z4UfisfjCFxyNN/KHTviduFy49avpyX0sWZP0ZJFZWz6O
vymndYreUz6TEQv1xlUjO2Oj8scIXmjg71pjhgON361dcSvhuKN+Lw/g/fpLw/dULIfQ/RGZ/3sC
xhkoNg+hUQTR4Y3ASVmW5gyjVaSvAmukJ49eO4+6N1keB1ptn7wFQtiaO690sHdIodgo2ldmNanV
O12FnzdXlCUoVuNNP81b7Y41YlKiVTbLgutEvycYnB5XBzgC+PigcheuYu86E+cnkLzZKC9wnkJt
eNqRuiuRslKmOcUpCzi49AoWs6OPjrSDBrNgEvJ2hB/NKSekR5ajfMyaEVBKrng4bYjsRID/RUco
V615Ex+ndfkQASsq3e2p+K7jCrQwl0Y4Ip1mVlPNXwTEHEDZH+eeoGGdNkNDCwSPG94YvQIXq701
gsG6OctRtjFnykvtosufTEHNkdaVw1WEbl7qJOLaQ4+1skmPH5W9r9zDv462rTttcaEBJ08e9YcM
uuUxuzeFRSPOQEKSMGG+tpGuo3wkHGcHbax7Y/9gJ9b02DnVPSwCa1xvelG0OxwWiEeRkXHCwyRB
LqSYt/q8UaaEa0ija9lbYUD8XLrJNR4Zkg+OcKJ3K1N+DTqm1HSTJRGQlUhAXRgl+hSla69DVGob
lghVL6qOdoHhHzyAIATMeq/m1y71aInKLOUdgBZ0p4j7HnVb+AG2AtYhfZhANW3wqAXyS2qUB1gh
+b7UftBmVe271429ZpTKIxOvph9JtotD2I8g+PoCo5wEGOBI71I7ZWOGG0cAog6zv9SBb8LFiuek
XKLR5zeTJJ60hSMQQbScOLgGdhhbTo2CqrkUC3IqI3F1utGwo1P31nHRiTPVG+XzCIWcDNDBxEgI
fY5xoMgKEGioBOJFodtHEOqrDlW7cfPc3HmZHcyQRz5i9yDP4cfbVbXSikkbTBrCvraru3jgzMoC
HwC0q23pLXjWBW4VvkA+BdlYyzd1tALmJ+5l0oDCkwhI1tj4j8ilIm6mVwuJ3IXqRE+WsshpCu40
krYn7GBFkpbEyTsVpJa4zQKkgU6O640kdaKWNtnoYzSq66VM0Ad0gQRoDf+pEflTdAJLPOqFVZAh
uo6OlkrqfV+aG3gJWTDDD6UDNfudQJJ1B1hUGytrwH0kD8lOokgLFA1Vm5M6qZ/CGvXaaYCkZTw5
RVOWRcljH62m40QHEKZDOuIquAEEHoDHEWUO+8Yxrq21soym8Qy8qlBMGMdRzISpYOcUmOI0uA8d
iX2h3DeuijsWTthhnJblo0aqpZwZx3ExK2/k7wcQDtmMWyP2fiKajww5cTvu6ZBPzWhFcl4nP++4
d6eHXANrPCXeBNykBD83SeRboF2F6Fh0xRJU9nqlixPvFXZIZwHXmAsvx17avSDCKRDsWeNIm8mk
2Rz/Ln6IrlGU2Kh7YVx0Nx7Gpghhps/AZ7zDqEyg7aLJI43FYFSlUwUp+2YlqNfZYen2Wb67Npmk
JrJnS+u4qzyAlk60IzYsqTNQsCRVWti9W+sBoTvrG6Gu5VGdNTOcPYEt2OTV3V23DFUbsYfmgWiX
2U7hXtXhuAJ/TFsWRsGjqEBQGPvE+CprliMijbm771geoGgbPULAnVgOCnsNR4xur0LCandA28L8
hexCkTEwOARHFY2H7HC6FgCHcNrOVpPbfent2w7PM/gMBfrVi/JIEg1YAxLsP+r2qVLRC8872/ce
IhAXOLzI7gYfA0dkB6IVlh8gqE2CbKB/Z+FhpYNaomfxFydx5BMzPa0kYZljMYYKA0MhOXbsHlAO
NkFX2WAdsAdCyxyAXfXdJFNpb7xHn0QcUJMlCxoPjF8FfNkGtO6k0/omQclRHuHlGAc2GLyYdfYI
oX/iumDlDDuZetkUXt5exM3F0ReyI9jBxCC1OvqmwVh/OLUjfUtucK7ulHDSTdBwXLZbtOiU5wMB
LQeAmTGmpuEDWDvi9xPdwb27D3xHvDXWdTDmziVsR2zvobFGaBiAiXHv1K35/TTDau36LXsoBVtb
B4iTovl3cCBOCdRYdpAMcEDp3eSjxjnMQCnbvo2yuO1NtJtv9hs2tt/yiT4CI23LW2Udz+RtS6fA
BOAOlAstJn4IHvCSAoaUPWg31cFRDDtSR3hIH/Yg5Pg/1hOcip9CXpFvGYG9SEaH7cEYV/IdOqRm
AALQQctOi4Cbgux2vJHFFCoZYXTk1uM5vq4Rin+FkzznU5wZx00JPAgz2huWS4kdHzrHzSbk+hfq
qHLQOpFxd1QnVbxG7hLDJGn0atkpmrSYNJLpkx5AKI7q5wNw7VU7dmeAd/K18A35rIQZkZ2/uDQD
FNd22izaiXfuIsRBiiHBjgivBmsY8cldMg24q6m/M58EVob0uA9ROMYHrns1uOsxsqgBiedknjis
tDyTaZvDMd9GT36XE+omVEyxP2AkRj3jgHgn7WXXqW7l+3xNMmtSbbVVA3JgixmBo4yo7BNkF1QK
zdFWyipfV9tsfpg+g//rVt0qXSsTE+jCDLbRCijINc0bZlGYswsZN9sXB8YMewIKHaGpW87AQdlm
pbPSJt5TMdeIur60Y3NxWDznL80qWjcQfGzQk6N4hUvoCtRHNyHb5ISOMIZZZkd2aQfXKDDanDJK
ro8TayI7wbaY66Zz2ofr01549G+aUfkS7C072IMc+JHe12MsQ2xchRAzfHIf9M4GrbDHJ4VkAlaK
vEaFjUv6hFHjgZ6MqkMJq7QrYG0ONRZxAvrwetvdZCvTc07zcC3MtJGx0vYnwCUHJ55a29hBTwyA
OEnhkQdmxemeSgeUgg3tEW8UBwiZDu94RnqNweUp4ldN3SmTkvlxSXW4D/bFqv4Rrs1ptUpfjsx6
iHw9ij8eo7V/g4nYD+8p/h7NREqCPkZbakv8IgSnw3vyNr5FxEF2JuWzeOfv9ASDVB58TqPy7b34
hkuFgE2i095Jdt7Ye+u1fCb5q47DZbpDd+tFvcueIImDtmDO8pI9Bd/AAa0xOWtuw2W4lO8Aym/T
nXoXjkWHQp3K17w6kFr4gldw2fQ+EyQ9R8QKtZUx0x3kJh/7SjcTHhqANT1Ktu/h0mdI4OW1b5Pr
4k6iHaDeDUPiIn2jrpLUj+15twwm+V23dOljiockHCfXjE7h21Dvi4dgA26J/xpa0YiEL88rGAHX
LPSFcoDz6QBG7MEgrEnfClzCHniPxgSNR5eWJmsUika1+RiJTkxge0LAa/ca3AoAokPnUONEMyH9
p7ZTTQQ2SDMRXsVr+mXd0SbNHL1+WstWX7izZt7wQNp18z17SlmB2sqE+h7va6bk30D/tE5yL2y6
CaC7GVDgMpBmyE6I97XyGE7FOUmveQOAzq7SSTdWFsK1cl2QATduojc89LQcf4fvMKQASUfIVFnN
NnzAaQx1R2/X3ohTY9OtynYXXmdLphTgzWgr4hMknXE1O2zf/F1NUSNuGWJfMaqZKi+Cjb/rHpqh
Axx6iUMvNYk4sZ3fJW8k5nvJFFt7xQGM/4qYAAay12Pjtb6GUqLeF/N41MwllmovxSZdWK/ITINn
q28sCO4vbGVP3iNUgQ0IFe4aqQ8cWW8qgOqZw3Ovbo0H8S7b4L4Uom676+cHz9Jr+swtBkj+a6P0
rWpX3QMDYvXa8RgD0HV9Z0zHxhShvs7pltqxYGPT0C7a8Ws1Y4bHWvNGWZsj1ybZ7niOO8429KUM
k89ddF230/zuuKHLO27qa8o1nMEcGwvLEsfojbzwaKFMgRzpWZyjLABVe2zOafjqiYOnMfYzM2Ai
I6iEG3EqrpNZgUXq3n3IJqdRS7zKRic7v3dnr97oNNamiGIeZs1OX1U2DCgn2HDfUB8lOknI3BNW
Yw8pI86r8b17KmpH+y49aRuTsTuYWOv44bTU58XSA7p7I5PpMsZlAGiUcZDpIHEYKu1dM1PonrM5
NIORsAQjM02nzFC58nSLGcQNc4r6Deu+9NldVMtkijLXW0U/MYtmgNodaRZMglt/F+6w15rUN5MM
z+sHmSoQIk86ku8qWuaONnsALDbiAapvCnRkfyzety/ty2mb7cObaF2sEChdG9+sjbc3bqUNGe1u
fljo02ht7sRxMAqeXoORcNMsK5qzMuv/6dA5atvPHP1efjluBW0cnCAPzNLcxhhIeBSPM8R2wbWw
nvXtR9O77pHmIJRXZjFhXrzQF+G4Z33apznrhR0y3eDh+lor3wGWOU7opxNwmHt3AdujG8XBBI26
zngTWx8x+x3iBzxFEBLGvtiTB3UXOvUoo8UmN9YDN/HqTpngB0E1GbQXw4qJlS4bgK6PrI+GsNsH
PdTzsZzEuSnrxArQIBs0IYetQTJy2DpHo0w4H0kd7FiFEIQalD6HlyESddkdtvCNxzW5Bo85RKGG
+zHF46L0UJCqDek2hCA/B3Zqp4f6NFdOtSMVuQF3jrlg5S9z4bkimCN11aSHoKWV7M+Qd3UXJq2a
NG4vRgDwjkymKLobmZj8NDu6LID7F5YuENd0IFsIsg16n8NWnivZrCPDPIg+nkU+B71PAkC/pD/D
QvQZBWq6y2OezDG4Bf9qEsE071wzg2HiKkRI4vgm6VKQ0YN5cReQT2qVdJupxAZ9ks8LqT/U1Ihx
exDGoYyFr1KhE32R8f/wmFGfGpcEVdP0k/IeMYBd40lnGtTfMVEtMgJiIBqOFvqWDR7fnzZdAnlA
ocNNhd5ueJa52ZGOk3sCZw5YInloKsNwyrCF4WX1PsVGnx4ZNstGJ6Th4836zqN4iOsO0V5jSNbV
KU5zBzeaYniVLoaXQd8UDamfu8OxE0T9GbDViYtoOiGVXk6v6GX2qkFrr98djom9dXJVswIb4qDD
y0kQUnk8bOqHw64oEcga4rLnWK3cyUg/pj6vNfytGTKPIC0NRHmbPjLc/t7SEOs7Hxve+LA7nDd8
LBROJDaiuH2WzIRAd/4Wivmb2JgOuVU6gLCkqaLaAiY+WUoFbHJMPY/4ptAnE6TE/EfMFqmkNNMA
c+boMK9LF+/qUqEnUomKn/qsVNMLWA5boWktu9gLR0HXbBNRj2GEpUQZI6ziKhQly02ZZhIGSHq6
6OQTMo9E1YmR6veGbJbz897whiUiqe67xOzfHRw+d94fNqtmbMUGaMKOGKtGhy9nBJELNyN+nGua
R25s2B4ODy8A6Iky9y+X3cu7KbKNTVoB8/t9xvDm+SpKmWWId/5+C5WZnVkasImQBHEq0Zeg+Ira
tW+RBbXlvA2JMlQ9CkSneHs13l4cXlAreWxJzRNuywCwLHV+eW/YcnsRRbPrpZaHD6Ckkovj4a3h
JZUFHhrqbYmdnMD7DScNHyJ6DXtZ6tN0w5mNceTM86UuR8/7wweGjw6nBoPc/LB5ud75zOHg5eOX
z5wv//F0GBaQobLq9sNHhi+sDXwx6oyY9uUyl/M+3tm7/b+8s8tXp1oITtoKyDz35TZc8t3dv/t1
583hk4dLGb/7pvPmcML5B1pI6jv6kajt5Z7/tkyGb4ZX/evhvfvmy+/88GOGy/7LHVy+onvuCvWO
NN1T3mcH477zHzQqh5cPxz7s/tUphP+Ja324jDQkrS6nD1uXc4bLJoNi8eWcy9t/dezj1wyX+HDZ
8zmG0t0U5Nsmg+imOeRi3aBNpmkenMVcy368Hd6FcsPW711jyHAOMq/DO2et1+H98+ZwNCHWJJt4
wf3VJYYzhpfLZYbdd3fzt5+73Mk/X2Y473LKcL3LsabPgv2/hT3639+a/+O+JaOX4mU8YIp25VvW
3rzl5bHIf2my9e9uE8TS95hDFH7R/qcn/fOF/tfbOzTTt6SMi/4OIK7F78FJsor90x9YpuGWhlv5
pyscX7jj8vvbf/+XYl1hja7p6IBbwx+oJTB87s+3BQu8k2QqwJqk8/tn8NS7Ivq7Qvjn33cuzX8+
549f8PIdcPbIR5HK/1a8LwPTVIBT/TuF8OESfxSCyJityxA9z39/FoKhXamAt1QF4ajhD60/vvAL
FYKsyspHVcO/qQp/WwqqeKVK6IirFuJd/R/QsvdVwZSvDBGvMozHfpfSFysFRZf/zQbx96VgYMum
K6Ip/WwQ1p+lgFY4lcFS5C9cClJv1fapFkFd4PeL+Jvze/s/JCzf1wVDvdINzObEX1XhXOxfqEVw
39TfTxUCipyGjkonqM1zIXxsEPqVqYqKItM7nv++WregYDl47qsuQ9p/2i0oEvVdMVVEl86lQG/7
viowQiiUgWUYP0vh7I34laqC9flCUK/kvs2bknp+0h+GSUmSrqgqGvglMDr8nYekL1UI2qeHSfWK
8c8UFennMMmT/qMmYECJ9SSgOvNcU77cMGkgyPvJTkGVrpDolTQ4Decf+aE5GHQaxOMGJPdXmyT0
vdnnf74um4Dcf86E+vJ8XwcMikfq0fG0heHv3Al/oYagcWOfLATFuJLxa9CZE/9lHZAk60qXDNmw
YAIMf19uYNBEmSH9U8OjCt/B0GT+fRgXaQI6LAtLN39Oob5ePzDwIj716xXzir5QQ2Bb/us6IGro
gxumon+5FsBArnz24cuon1uaJsnKh/kxqwTVNBRExFEc7/++3s9HEP3TowDzY1llcqWJ5wb+oRs0
rSs4lDqLpcuKkur2hbpBiWr72cGACTIu1TIKdz+nfh9mRabCWkpVDFX8OSH4gnXBkM439T+fINMP
KqYlGtSHv6wLPTFMR0DUoKv4cuPAX3iZ/6cLBH6/qsBA1ZhdDX8fakG/YiY6oWJK/vVWifjxfbYr
JITWB8cY7M8/v59evJ8SmfoV00GmRNbPGeOXKwWc5M3PzolUiIzMiVGEU3/3++9LoWdOMimEBql8
ud/Pos78dMQEjqehwsZR//r3WwqBVhHWqPjz/S8XSJV0Sf70EtFk9FcZDhDHHf4+rI4sk76SgDIh
5999xdcaF1nj659uCyyCUPFGz+AcDPgYPSNkYkoMGP1ievj7chNkumrzs/FkVkmUgiLDSD7/Sjra
9z2CiReOST0h3HquC1+uX8AvxvpIFv8fjI6moRoW3O7zr/w4U9SIF4iMHl82wSJZzOU/uVZUxCuL
Ki+aH9eKlkRMSUL33vw5en7BSsCg9dmfT7enQxcXMYwa/j40BYtFkwHUi/XCuZJ8vcHBItT9yVJQ
tSuFqImqvev833cIunUlMwipjKNftUPAoeuzE4U+cND3i9qHaaKhk16TiDLjszH8fbnFEs5l6mc7
AqQwCIwpmqYz5r1/+AQOdZQ1+jnk+eefl+hfaMUss1b6bEeg6jQBBECUXyP/x/mReiVZRE5INXy1
pSI6XPpnp4c8feo3V+pb0R9PX7vS+4CEyQJi+Du3si/19AmZfrID7BOKMkCD30GhD10AUSPyRzJx
gp8xxS83DMgs9D9bCfBA1DBjNTSmPb+e9R91gdiZqakyM9Dz39erCzTQ85T9fx41ImoA7EalM/gZ
J/3QE0iSTmWgoAiyDsVwLvav1CL6aesnW4SqXOmmhibSr2wa48sfdaHPtgHMIbZyrgtfrltEbKm3
/vxcLkEDSMBqEJDRuUV8XCP0o4ZCyunLlgJd+qdTCgpxRJlFs6T+XDV/qAuSqF9JIjklsDlfbXBU
dEv+dFtgcLQsEmd/k14nYnBFZ6DiqPKz4/xqpQAKzfrsBLEfHUyFmMDPYGmPpHjfI1gUApVAFH9F
m8/Bmi/UL7LG+ReJuf80atCPDrJiMAJe4mTvS2HAmxgsm1GV+3q1gA79kz0i44KlmGAuaVjnvz9r
Adkr2gKQpJ/Yz6/0+DWz1/f71IBAMF3ltxnAt34Pe388/uHng8oi//rlHj8z2M92AsAPTcwRfy2S
BjjV+99vGFcmesB9lPn3gPm1wsg8Oemz8RKFRoCaK4Piz6jRhwHR7EuJ3CqdwbkUvlxXoGjKpxFH
fRiZsIjY/9Th70Mp/F/mzranbRiI41+l4hMMNDHxAqQJNGBb2bQh0F4eiddYTe3KToHs0+/vh0Au
KXvo5QWor0j789U92/Hd/2Kcw354hFtEdFO6/gpvDrDpE84IiBql8+LRFfEPdxv9EQFfOAwTxtGb
Z195ZSMCzz9Nwd3dN01INR9CUwSvyuN+vIFGwgFbpqP/F5/8wxLyVPyBk43rMpZ9aOW3FX689Iau
4GF8PRc7XJbHe6Gqg73xul2r1PZzVcgJU7BHZUnvYqc0ie3kj+cvOG6atdV9q+6fF1o5ckXVxgtt
NvOKVigeeV/THa2oX40B78P4fLbkeI/Z2RsFfwH75YAbws9irtO/rOHgKA6Wg5dkPPnOxPAz4vnb
mIqk5FOqNR7XZTSzOokYxWxbW0el7awMVr+L0jg52RhVNLrYNAwe9bdS+Jmq6YGc6pNTFZCYnOuL
ZvbnDGeAb1Z3vNtDsKZrNYyq3bz7A3pdl+z3zJI8qf3nyroFNznrvKTkC/S41t13j+6N09RwwyEF
X5ZUMQfcfxslWWJuXWtjNR+RSfknRptS02AWSToiMdk+cLdIwhQp9tN4bkpaDzEYgE2xbDs3iH6R
pANS9Ge70X7UzSkVLWXPSRs2eyDnMsXyMifX1mTKfncgmh+SHXKTvaei2njVNMync1JOzNdFpRfE
q0uT/EGOxlrgbcM8OyfT5GyUZuO1XrO56WA/JmumoNuNG6JDFlCMtqYZzCFZhSclX6k7R4O7pyxq
kqPvia9b0HWGTIgc/DC7oNXaV5ov6+CHHMMU/I/KecVmKgStQ6HkFPC5etQFW8ZyRHwK+A/rlp2Z
YYYFOgTYxOhwOMXslJzFSskHZ8ryTdPAGS2HYz+V6UrxXyrNezzVQIuxS5zVZ/muJge2xWinFsMC
/hgrlYK/KmN8W9/TYJtwkGJxUvy3ypZqdulHa1sqKJPiv1scarTVEXMUbZoGxo4Y8AjMSPHX6H3l
vWK3FDkvKGc/8l1lLumVcl865qb31IldNu43yq2wsnV9GmYrZHaDmEVq8I3Gzmbg3jm8KEXfEtYd
s2j40IQWL8TxxXAc+D3bajyEHhM43632hTV4uE5nauzzFGsT297i+Cmz4OSY6PwzeVuk6an4aRx/
6p4Fsu1jPLgW3lHUitzJbwAAAP//</cx:binary>
              </cx:geoCache>
            </cx:geography>
          </cx:layoutPr>
          <cx:valueColors>
            <cx:minColor>
              <a:schemeClr val="tx1">
                <a:lumMod val="75000"/>
                <a:lumOff val="25000"/>
              </a:schemeClr>
            </cx:minColor>
            <cx:midColor>
              <a:schemeClr val="bg1"/>
            </cx:midColor>
            <cx:maxColor>
              <a:srgbClr val="006666"/>
            </cx:maxColor>
          </cx:valueColors>
          <cx:valueColorPositions count="3">
            <cx:midPosition>
              <cx:number val="0"/>
            </cx:midPosition>
          </cx:valueColorPositions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Analysis!$J$3" max="10" min="1" page="10" val="10"/>
</file>

<file path=xl/ctrlProps/ctrlProp2.xml><?xml version="1.0" encoding="utf-8"?>
<formControlPr xmlns="http://schemas.microsoft.com/office/spreadsheetml/2009/9/main" objectType="Radio" checked="Checked" firstButton="1" fmlaLink="Analysis!$U$8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chart" Target="../charts/chart2.xml"/><Relationship Id="rId7" Type="http://schemas.openxmlformats.org/officeDocument/2006/relationships/image" Target="../media/image4.png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image" Target="../media/image3.png"/><Relationship Id="rId11" Type="http://schemas.openxmlformats.org/officeDocument/2006/relationships/image" Target="../media/image7.svg"/><Relationship Id="rId5" Type="http://schemas.openxmlformats.org/officeDocument/2006/relationships/image" Target="../media/image2.svg"/><Relationship Id="rId10" Type="http://schemas.openxmlformats.org/officeDocument/2006/relationships/image" Target="../media/image6.png"/><Relationship Id="rId4" Type="http://schemas.openxmlformats.org/officeDocument/2006/relationships/image" Target="../media/image1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28576</xdr:colOff>
      <xdr:row>8</xdr:row>
      <xdr:rowOff>123823</xdr:rowOff>
    </xdr:from>
    <xdr:to>
      <xdr:col>20</xdr:col>
      <xdr:colOff>390526</xdr:colOff>
      <xdr:row>29</xdr:row>
      <xdr:rowOff>161924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00976" y="1571623"/>
              <a:ext cx="5543550" cy="38385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247650</xdr:colOff>
      <xdr:row>0</xdr:row>
      <xdr:rowOff>57150</xdr:rowOff>
    </xdr:from>
    <xdr:to>
      <xdr:col>20</xdr:col>
      <xdr:colOff>419100</xdr:colOff>
      <xdr:row>4</xdr:row>
      <xdr:rowOff>152400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247650" y="57150"/>
          <a:ext cx="12363450" cy="85725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9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11</xdr:row>
      <xdr:rowOff>66675</xdr:rowOff>
    </xdr:from>
    <xdr:to>
      <xdr:col>6</xdr:col>
      <xdr:colOff>266700</xdr:colOff>
      <xdr:row>36</xdr:row>
      <xdr:rowOff>95251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257175</xdr:colOff>
      <xdr:row>11</xdr:row>
      <xdr:rowOff>57151</xdr:rowOff>
    </xdr:from>
    <xdr:to>
      <xdr:col>9</xdr:col>
      <xdr:colOff>266700</xdr:colOff>
      <xdr:row>19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485775</xdr:colOff>
      <xdr:row>12</xdr:row>
      <xdr:rowOff>66676</xdr:rowOff>
    </xdr:from>
    <xdr:to>
      <xdr:col>12</xdr:col>
      <xdr:colOff>228600</xdr:colOff>
      <xdr:row>18</xdr:row>
      <xdr:rowOff>28575</xdr:rowOff>
    </xdr:to>
    <xdr:sp macro="" textlink="Analysis!G14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362575" y="2352676"/>
          <a:ext cx="2181225" cy="1104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5ECF19A-369D-411F-8D72-527B302276A8}" type="TxLink">
            <a:rPr lang="en-US" sz="6000" b="0" i="0" u="none" strike="noStrike">
              <a:solidFill>
                <a:srgbClr val="006666"/>
              </a:solidFill>
              <a:latin typeface="Arial Black" panose="020B0A04020102020204" pitchFamily="34" charset="0"/>
              <a:cs typeface="Calibri"/>
            </a:rPr>
            <a:pPr algn="ctr"/>
            <a:t>58%</a:t>
          </a:fld>
          <a:endParaRPr lang="en-US" sz="6000">
            <a:solidFill>
              <a:srgbClr val="006666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9</xdr:col>
      <xdr:colOff>95250</xdr:colOff>
      <xdr:row>16</xdr:row>
      <xdr:rowOff>142875</xdr:rowOff>
    </xdr:from>
    <xdr:to>
      <xdr:col>11</xdr:col>
      <xdr:colOff>133349</xdr:colOff>
      <xdr:row>18</xdr:row>
      <xdr:rowOff>104775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581650" y="3190875"/>
          <a:ext cx="1257299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chemeClr val="bg1">
                  <a:lumMod val="75000"/>
                </a:schemeClr>
              </a:solidFill>
            </a:rPr>
            <a:t>Others:</a:t>
          </a:r>
          <a:endParaRPr lang="en-US" sz="24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495300</xdr:colOff>
      <xdr:row>16</xdr:row>
      <xdr:rowOff>152402</xdr:rowOff>
    </xdr:from>
    <xdr:to>
      <xdr:col>11</xdr:col>
      <xdr:colOff>571500</xdr:colOff>
      <xdr:row>18</xdr:row>
      <xdr:rowOff>123826</xdr:rowOff>
    </xdr:to>
    <xdr:sp macro="" textlink="Analysis!G15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6591300" y="3200402"/>
          <a:ext cx="685800" cy="3524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917565E-B323-4841-A1D4-DE60C5F8C9DA}" type="TxLink">
            <a:rPr lang="en-US" sz="1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cs typeface="Calibri"/>
            </a:rPr>
            <a:pPr algn="ctr"/>
            <a:t>42%</a:t>
          </a:fld>
          <a:endParaRPr lang="en-US" sz="96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0</xdr:col>
      <xdr:colOff>542925</xdr:colOff>
      <xdr:row>9</xdr:row>
      <xdr:rowOff>9525</xdr:rowOff>
    </xdr:from>
    <xdr:to>
      <xdr:col>7</xdr:col>
      <xdr:colOff>28575</xdr:colOff>
      <xdr:row>10</xdr:row>
      <xdr:rowOff>161925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542925" y="1724025"/>
          <a:ext cx="37528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solidFill>
                <a:schemeClr val="tx1">
                  <a:lumMod val="85000"/>
                  <a:lumOff val="15000"/>
                </a:schemeClr>
              </a:solidFill>
            </a:rPr>
            <a:t> Revenue by </a:t>
          </a:r>
          <a:r>
            <a:rPr lang="en-US" sz="1600" b="1">
              <a:solidFill>
                <a:srgbClr val="006666"/>
              </a:solidFill>
            </a:rPr>
            <a:t>Products</a:t>
          </a:r>
        </a:p>
      </xdr:txBody>
    </xdr:sp>
    <xdr:clientData/>
  </xdr:twoCellAnchor>
  <xdr:twoCellAnchor>
    <xdr:from>
      <xdr:col>0</xdr:col>
      <xdr:colOff>571499</xdr:colOff>
      <xdr:row>1</xdr:row>
      <xdr:rowOff>76200</xdr:rowOff>
    </xdr:from>
    <xdr:to>
      <xdr:col>15</xdr:col>
      <xdr:colOff>523875</xdr:colOff>
      <xdr:row>3</xdr:row>
      <xdr:rowOff>171450</xdr:rowOff>
    </xdr:to>
    <xdr:sp macro="" textlink="Analysis!I21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571499" y="266700"/>
          <a:ext cx="9096376" cy="47625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A3C4AE1-D496-451D-8E84-AB253699D0BD}" type="TxLink">
            <a:rPr lang="en-US" sz="3200" b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Summary of TEAPOT  Revenue in 2022</a:t>
          </a:fld>
          <a:endParaRPr lang="en-US" sz="3200" b="0">
            <a:solidFill>
              <a:schemeClr val="tx1">
                <a:lumMod val="65000"/>
                <a:lumOff val="3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18</xdr:col>
      <xdr:colOff>476251</xdr:colOff>
      <xdr:row>27</xdr:row>
      <xdr:rowOff>133350</xdr:rowOff>
    </xdr:from>
    <xdr:to>
      <xdr:col>20</xdr:col>
      <xdr:colOff>552451</xdr:colOff>
      <xdr:row>30</xdr:row>
      <xdr:rowOff>38100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12151180" y="5031921"/>
          <a:ext cx="1373414" cy="449036"/>
          <a:chOff x="11477626" y="3562350"/>
          <a:chExt cx="1295400" cy="476250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1477626" y="3790950"/>
            <a:ext cx="1295400" cy="2476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11963400" y="3562350"/>
            <a:ext cx="676276" cy="2476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352425</xdr:colOff>
      <xdr:row>9</xdr:row>
      <xdr:rowOff>47625</xdr:rowOff>
    </xdr:from>
    <xdr:to>
      <xdr:col>6</xdr:col>
      <xdr:colOff>352425</xdr:colOff>
      <xdr:row>35</xdr:row>
      <xdr:rowOff>142875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>
        <a:xfrm>
          <a:off x="4010025" y="1762125"/>
          <a:ext cx="0" cy="5048250"/>
        </a:xfrm>
        <a:prstGeom prst="line">
          <a:avLst/>
        </a:prstGeom>
        <a:ln w="38100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48000">
                <a:schemeClr val="bg1">
                  <a:lumMod val="85000"/>
                </a:schemeClr>
              </a:gs>
              <a:gs pos="61000">
                <a:schemeClr val="bg1">
                  <a:lumMod val="75000"/>
                </a:schemeClr>
              </a:gs>
              <a:gs pos="100000">
                <a:schemeClr val="bg1">
                  <a:lumMod val="95000"/>
                </a:schemeClr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9</xdr:row>
      <xdr:rowOff>47625</xdr:rowOff>
    </xdr:from>
    <xdr:to>
      <xdr:col>12</xdr:col>
      <xdr:colOff>219075</xdr:colOff>
      <xdr:row>35</xdr:row>
      <xdr:rowOff>142875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>
          <a:off x="7534275" y="1762125"/>
          <a:ext cx="0" cy="5048250"/>
        </a:xfrm>
        <a:prstGeom prst="line">
          <a:avLst/>
        </a:prstGeom>
        <a:ln w="38100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48000">
                <a:schemeClr val="bg1">
                  <a:lumMod val="85000"/>
                </a:schemeClr>
              </a:gs>
              <a:gs pos="61000">
                <a:schemeClr val="bg1">
                  <a:lumMod val="75000"/>
                </a:schemeClr>
              </a:gs>
              <a:gs pos="100000">
                <a:schemeClr val="bg1">
                  <a:lumMod val="95000"/>
                </a:schemeClr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47625</xdr:colOff>
          <xdr:row>5</xdr:row>
          <xdr:rowOff>142875</xdr:rowOff>
        </xdr:from>
        <xdr:to>
          <xdr:col>1</xdr:col>
          <xdr:colOff>476250</xdr:colOff>
          <xdr:row>7</xdr:row>
          <xdr:rowOff>161925</xdr:rowOff>
        </xdr:to>
        <xdr:sp macro="" textlink="">
          <xdr:nvSpPr>
            <xdr:cNvPr id="5121" name="Spinner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504825</xdr:colOff>
      <xdr:row>5</xdr:row>
      <xdr:rowOff>152400</xdr:rowOff>
    </xdr:from>
    <xdr:to>
      <xdr:col>6</xdr:col>
      <xdr:colOff>361951</xdr:colOff>
      <xdr:row>7</xdr:row>
      <xdr:rowOff>171450</xdr:rowOff>
    </xdr:to>
    <xdr:sp macro="" textlink="Analysis!J6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1114425" y="1104900"/>
          <a:ext cx="2905126" cy="4000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ADF49EC4-F855-44C8-BA89-B4D38C2BC0E6}" type="TxLink">
            <a:rPr lang="en-US" sz="24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Calibri"/>
              <a:cs typeface="Calibri"/>
            </a:rPr>
            <a:pPr algn="l"/>
            <a:t>Teapot </a:t>
          </a:fld>
          <a:endParaRPr lang="en-US" sz="24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13</xdr:col>
      <xdr:colOff>314327</xdr:colOff>
      <xdr:row>8</xdr:row>
      <xdr:rowOff>161925</xdr:rowOff>
    </xdr:from>
    <xdr:to>
      <xdr:col>19</xdr:col>
      <xdr:colOff>266699</xdr:colOff>
      <xdr:row>10</xdr:row>
      <xdr:rowOff>123825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pSpPr/>
      </xdr:nvGrpSpPr>
      <xdr:grpSpPr>
        <a:xfrm>
          <a:off x="8746220" y="1613354"/>
          <a:ext cx="3844015" cy="324757"/>
          <a:chOff x="8429627" y="809625"/>
          <a:chExt cx="3609972" cy="342900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8429627" y="809625"/>
            <a:ext cx="1619248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0">
                <a:solidFill>
                  <a:schemeClr val="tx1">
                    <a:lumMod val="85000"/>
                    <a:lumOff val="15000"/>
                  </a:schemeClr>
                </a:solidFill>
              </a:rPr>
              <a:t>Total </a:t>
            </a:r>
            <a:r>
              <a:rPr lang="en-US" sz="1600" b="1">
                <a:solidFill>
                  <a:srgbClr val="006666"/>
                </a:solidFill>
              </a:rPr>
              <a:t>Revenue</a:t>
            </a:r>
            <a:r>
              <a:rPr lang="en-US" sz="1600" b="0">
                <a:solidFill>
                  <a:schemeClr val="tx1">
                    <a:lumMod val="85000"/>
                    <a:lumOff val="15000"/>
                  </a:schemeClr>
                </a:solidFill>
              </a:rPr>
              <a:t> </a:t>
            </a:r>
            <a:endParaRPr lang="en-US" sz="1600">
              <a:solidFill>
                <a:schemeClr val="tx1">
                  <a:lumMod val="85000"/>
                  <a:lumOff val="15000"/>
                </a:schemeClr>
              </a:solidFill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2" name="Option Button 2" hidden="1">
                <a:extLst>
                  <a:ext uri="{63B3BB69-23CF-44E3-9099-C40C66FF867C}">
                    <a14:compatExt spid="_x0000_s5122"/>
                  </a:ext>
                  <a:ext uri="{FF2B5EF4-FFF2-40B4-BE49-F238E27FC236}">
                    <a16:creationId xmlns:a16="http://schemas.microsoft.com/office/drawing/2014/main" id="{00000000-0008-0000-0400-000002140000}"/>
                  </a:ext>
                </a:extLst>
              </xdr:cNvPr>
              <xdr:cNvSpPr/>
            </xdr:nvSpPr>
            <xdr:spPr bwMode="auto">
              <a:xfrm>
                <a:off x="8448675" y="876300"/>
                <a:ext cx="101917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0477502" y="809625"/>
            <a:ext cx="1562097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0">
                <a:solidFill>
                  <a:schemeClr val="tx1">
                    <a:lumMod val="85000"/>
                    <a:lumOff val="15000"/>
                  </a:schemeClr>
                </a:solidFill>
              </a:rPr>
              <a:t>Total </a:t>
            </a:r>
            <a:r>
              <a:rPr lang="en-US" sz="1600" b="1">
                <a:solidFill>
                  <a:schemeClr val="tx1">
                    <a:lumMod val="85000"/>
                    <a:lumOff val="15000"/>
                  </a:schemeClr>
                </a:solidFill>
              </a:rPr>
              <a:t>Qty Sold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3" name="Option Button 3" hidden="1">
                <a:extLst>
                  <a:ext uri="{63B3BB69-23CF-44E3-9099-C40C66FF867C}">
                    <a14:compatExt spid="_x0000_s5123"/>
                  </a:ext>
                  <a:ext uri="{FF2B5EF4-FFF2-40B4-BE49-F238E27FC236}">
                    <a16:creationId xmlns:a16="http://schemas.microsoft.com/office/drawing/2014/main" id="{00000000-0008-0000-0400-000003140000}"/>
                  </a:ext>
                </a:extLst>
              </xdr:cNvPr>
              <xdr:cNvSpPr/>
            </xdr:nvSpPr>
            <xdr:spPr bwMode="auto">
              <a:xfrm>
                <a:off x="10448925" y="876300"/>
                <a:ext cx="101917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0</xdr:col>
      <xdr:colOff>238125</xdr:colOff>
      <xdr:row>0</xdr:row>
      <xdr:rowOff>0</xdr:rowOff>
    </xdr:from>
    <xdr:to>
      <xdr:col>0</xdr:col>
      <xdr:colOff>238125</xdr:colOff>
      <xdr:row>36</xdr:row>
      <xdr:rowOff>38100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>
        <a:xfrm>
          <a:off x="238125" y="0"/>
          <a:ext cx="0" cy="6896100"/>
        </a:xfrm>
        <a:prstGeom prst="line">
          <a:avLst/>
        </a:prstGeom>
        <a:ln w="38100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48000">
                <a:schemeClr val="bg1">
                  <a:lumMod val="85000"/>
                </a:schemeClr>
              </a:gs>
              <a:gs pos="61000">
                <a:schemeClr val="bg1">
                  <a:lumMod val="75000"/>
                </a:schemeClr>
              </a:gs>
              <a:gs pos="100000">
                <a:schemeClr val="bg1">
                  <a:lumMod val="95000"/>
                </a:schemeClr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409575</xdr:colOff>
      <xdr:row>0</xdr:row>
      <xdr:rowOff>0</xdr:rowOff>
    </xdr:from>
    <xdr:to>
      <xdr:col>20</xdr:col>
      <xdr:colOff>409575</xdr:colOff>
      <xdr:row>36</xdr:row>
      <xdr:rowOff>38100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/>
      </xdr:nvCxnSpPr>
      <xdr:spPr>
        <a:xfrm>
          <a:off x="12601575" y="0"/>
          <a:ext cx="0" cy="6896100"/>
        </a:xfrm>
        <a:prstGeom prst="line">
          <a:avLst/>
        </a:prstGeom>
        <a:ln w="38100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48000">
                <a:schemeClr val="bg1">
                  <a:lumMod val="85000"/>
                </a:schemeClr>
              </a:gs>
              <a:gs pos="61000">
                <a:schemeClr val="bg1">
                  <a:lumMod val="75000"/>
                </a:schemeClr>
              </a:gs>
              <a:gs pos="100000">
                <a:schemeClr val="bg1">
                  <a:lumMod val="95000"/>
                </a:schemeClr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590551</xdr:colOff>
      <xdr:row>0</xdr:row>
      <xdr:rowOff>161926</xdr:rowOff>
    </xdr:from>
    <xdr:to>
      <xdr:col>20</xdr:col>
      <xdr:colOff>571499</xdr:colOff>
      <xdr:row>4</xdr:row>
      <xdr:rowOff>57151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GrpSpPr/>
      </xdr:nvGrpSpPr>
      <xdr:grpSpPr>
        <a:xfrm>
          <a:off x="10968265" y="161926"/>
          <a:ext cx="2575377" cy="620939"/>
          <a:chOff x="10201276" y="152401"/>
          <a:chExt cx="2419348" cy="657225"/>
        </a:xfrm>
      </xdr:grpSpPr>
      <xdr:pic>
        <xdr:nvPicPr>
          <xdr:cNvPr id="41" name="Graphic 40" descr="Box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0201276" y="171449"/>
            <a:ext cx="628650" cy="628650"/>
          </a:xfrm>
          <a:prstGeom prst="rect">
            <a:avLst/>
          </a:prstGeom>
        </xdr:spPr>
      </xdr:pic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/>
        </xdr:nvSpPr>
        <xdr:spPr>
          <a:xfrm>
            <a:off x="10467974" y="152401"/>
            <a:ext cx="2124075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>
                <a:solidFill>
                  <a:schemeClr val="tx1">
                    <a:lumMod val="85000"/>
                    <a:lumOff val="15000"/>
                  </a:schemeClr>
                </a:solidFill>
                <a:latin typeface="Arial Black" panose="020B0A04020102020204" pitchFamily="34" charset="0"/>
              </a:rPr>
              <a:t>Home</a:t>
            </a:r>
            <a:r>
              <a:rPr lang="en-US" sz="1800" baseline="0">
                <a:solidFill>
                  <a:schemeClr val="bg1"/>
                </a:solidFill>
                <a:latin typeface="Arial Black" panose="020B0A04020102020204" pitchFamily="34" charset="0"/>
              </a:rPr>
              <a:t> </a:t>
            </a:r>
            <a:r>
              <a:rPr lang="en-US" sz="1400">
                <a:solidFill>
                  <a:srgbClr val="006666"/>
                </a:solidFill>
                <a:latin typeface="Arial Black" panose="020B0A04020102020204" pitchFamily="34" charset="0"/>
              </a:rPr>
              <a:t>Luxury</a:t>
            </a:r>
            <a:r>
              <a:rPr lang="en-US" sz="1800">
                <a:solidFill>
                  <a:schemeClr val="bg1"/>
                </a:solidFill>
                <a:latin typeface="Arial Black" panose="020B0A04020102020204" pitchFamily="34" charset="0"/>
              </a:rPr>
              <a:t> </a:t>
            </a:r>
            <a:endParaRPr lang="en-US" sz="1800" b="1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 txBox="1"/>
        </xdr:nvSpPr>
        <xdr:spPr>
          <a:xfrm>
            <a:off x="10496549" y="390526"/>
            <a:ext cx="2124075" cy="419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>
                <a:solidFill>
                  <a:schemeClr val="tx1">
                    <a:lumMod val="85000"/>
                    <a:lumOff val="15000"/>
                  </a:schemeClr>
                </a:solidFill>
                <a:latin typeface="Arial Black" panose="020B0A04020102020204" pitchFamily="34" charset="0"/>
              </a:rPr>
              <a:t>Kitchen</a:t>
            </a:r>
            <a:r>
              <a:rPr lang="en-US" sz="24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 Black" panose="020B0A04020102020204" pitchFamily="34" charset="0"/>
              </a:rPr>
              <a:t> </a:t>
            </a:r>
            <a:endParaRPr lang="en-US" sz="2400" b="1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12</xdr:col>
      <xdr:colOff>247650</xdr:colOff>
      <xdr:row>28</xdr:row>
      <xdr:rowOff>85725</xdr:rowOff>
    </xdr:from>
    <xdr:to>
      <xdr:col>20</xdr:col>
      <xdr:colOff>342900</xdr:colOff>
      <xdr:row>28</xdr:row>
      <xdr:rowOff>85725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>
          <a:off x="7562850" y="5419725"/>
          <a:ext cx="4972050" cy="0"/>
        </a:xfrm>
        <a:prstGeom prst="line">
          <a:avLst/>
        </a:prstGeom>
        <a:ln w="38100">
          <a:gradFill flip="none" rotWithShape="1">
            <a:gsLst>
              <a:gs pos="6000">
                <a:schemeClr val="accent1">
                  <a:lumMod val="5000"/>
                  <a:lumOff val="95000"/>
                </a:schemeClr>
              </a:gs>
              <a:gs pos="46000">
                <a:schemeClr val="bg1">
                  <a:lumMod val="75000"/>
                </a:schemeClr>
              </a:gs>
              <a:gs pos="83000">
                <a:schemeClr val="bg1">
                  <a:lumMod val="95000"/>
                  <a:alpha val="76000"/>
                </a:schemeClr>
              </a:gs>
            </a:gsLst>
            <a:lin ang="0" scaled="1"/>
            <a:tileRect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361950</xdr:colOff>
      <xdr:row>21</xdr:row>
      <xdr:rowOff>161925</xdr:rowOff>
    </xdr:from>
    <xdr:to>
      <xdr:col>12</xdr:col>
      <xdr:colOff>219075</xdr:colOff>
      <xdr:row>23</xdr:row>
      <xdr:rowOff>47625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4019550" y="4162425"/>
          <a:ext cx="3514725" cy="266700"/>
        </a:xfrm>
        <a:prstGeom prst="rect">
          <a:avLst/>
        </a:prstGeom>
        <a:solidFill>
          <a:srgbClr val="006666">
            <a:alpha val="70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 i="0">
              <a:solidFill>
                <a:schemeClr val="bg1"/>
              </a:solidFill>
              <a:latin typeface="Candara Light" panose="020E0502030303020204" pitchFamily="34" charset="0"/>
            </a:rPr>
            <a:t>Revenue</a:t>
          </a:r>
          <a:r>
            <a:rPr lang="en-US" sz="1400" b="1" i="0">
              <a:solidFill>
                <a:schemeClr val="bg1"/>
              </a:solidFill>
              <a:latin typeface="Candara Light" panose="020E0502030303020204" pitchFamily="34" charset="0"/>
            </a:rPr>
            <a:t> by means of </a:t>
          </a:r>
          <a:r>
            <a:rPr lang="en-US" sz="1400" b="1" i="0" baseline="0">
              <a:solidFill>
                <a:schemeClr val="bg1"/>
              </a:solidFill>
              <a:latin typeface="Candara Light" panose="020E0502030303020204" pitchFamily="34" charset="0"/>
            </a:rPr>
            <a:t>order </a:t>
          </a:r>
          <a:endParaRPr lang="en-US" sz="1400" b="1" i="0">
            <a:solidFill>
              <a:schemeClr val="bg1"/>
            </a:solidFill>
            <a:latin typeface="Candara Light" panose="020E0502030303020204" pitchFamily="34" charset="0"/>
          </a:endParaRPr>
        </a:p>
      </xdr:txBody>
    </xdr:sp>
    <xdr:clientData/>
  </xdr:twoCellAnchor>
  <xdr:twoCellAnchor editAs="oneCell">
    <xdr:from>
      <xdr:col>12</xdr:col>
      <xdr:colOff>440175</xdr:colOff>
      <xdr:row>31</xdr:row>
      <xdr:rowOff>19050</xdr:rowOff>
    </xdr:from>
    <xdr:to>
      <xdr:col>13</xdr:col>
      <xdr:colOff>329629</xdr:colOff>
      <xdr:row>33</xdr:row>
      <xdr:rowOff>137104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5375" y="5924550"/>
          <a:ext cx="499054" cy="499054"/>
        </a:xfrm>
        <a:prstGeom prst="rect">
          <a:avLst/>
        </a:prstGeom>
      </xdr:spPr>
    </xdr:pic>
    <xdr:clientData/>
  </xdr:twoCellAnchor>
  <xdr:twoCellAnchor>
    <xdr:from>
      <xdr:col>0</xdr:col>
      <xdr:colOff>361950</xdr:colOff>
      <xdr:row>2</xdr:row>
      <xdr:rowOff>19050</xdr:rowOff>
    </xdr:from>
    <xdr:to>
      <xdr:col>0</xdr:col>
      <xdr:colOff>581025</xdr:colOff>
      <xdr:row>3</xdr:row>
      <xdr:rowOff>47625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361950" y="400050"/>
          <a:ext cx="219075" cy="219075"/>
        </a:xfrm>
        <a:prstGeom prst="ellipse">
          <a:avLst/>
        </a:prstGeom>
        <a:solidFill>
          <a:srgbClr val="006666">
            <a:alpha val="66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286134</xdr:colOff>
      <xdr:row>36</xdr:row>
      <xdr:rowOff>8754</xdr:rowOff>
    </xdr:from>
    <xdr:to>
      <xdr:col>20</xdr:col>
      <xdr:colOff>457584</xdr:colOff>
      <xdr:row>37</xdr:row>
      <xdr:rowOff>56379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286134" y="6589663"/>
          <a:ext cx="13160086" cy="23042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9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228599</xdr:colOff>
      <xdr:row>13</xdr:row>
      <xdr:rowOff>142874</xdr:rowOff>
    </xdr:from>
    <xdr:to>
      <xdr:col>8</xdr:col>
      <xdr:colOff>257174</xdr:colOff>
      <xdr:row>17</xdr:row>
      <xdr:rowOff>19049</xdr:rowOff>
    </xdr:to>
    <xdr:pic>
      <xdr:nvPicPr>
        <xdr:cNvPr id="11" name="Graphic 10" descr="Bar graph with upward trend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495799" y="2619374"/>
          <a:ext cx="638175" cy="638175"/>
        </a:xfrm>
        <a:prstGeom prst="rect">
          <a:avLst/>
        </a:prstGeom>
      </xdr:spPr>
    </xdr:pic>
    <xdr:clientData/>
  </xdr:twoCellAnchor>
  <xdr:twoCellAnchor>
    <xdr:from>
      <xdr:col>6</xdr:col>
      <xdr:colOff>295275</xdr:colOff>
      <xdr:row>25</xdr:row>
      <xdr:rowOff>95250</xdr:rowOff>
    </xdr:from>
    <xdr:to>
      <xdr:col>9</xdr:col>
      <xdr:colOff>304419</xdr:colOff>
      <xdr:row>33</xdr:row>
      <xdr:rowOff>144018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76201</xdr:colOff>
      <xdr:row>26</xdr:row>
      <xdr:rowOff>57152</xdr:rowOff>
    </xdr:from>
    <xdr:to>
      <xdr:col>11</xdr:col>
      <xdr:colOff>552451</xdr:colOff>
      <xdr:row>29</xdr:row>
      <xdr:rowOff>47626</xdr:rowOff>
    </xdr:to>
    <xdr:sp macro="" textlink="Analysis!E23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5562601" y="5010152"/>
          <a:ext cx="1695450" cy="561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942A020-6F3B-4E60-8FF1-6B3351B186F8}" type="TxLink">
            <a:rPr lang="en-US" sz="3600" b="0" i="0" u="none" strike="noStrike">
              <a:solidFill>
                <a:srgbClr val="006666"/>
              </a:solidFill>
              <a:latin typeface="Arial Black" panose="020B0A04020102020204" pitchFamily="34" charset="0"/>
              <a:ea typeface="+mn-ea"/>
              <a:cs typeface="Calibri"/>
            </a:rPr>
            <a:pPr marL="0" indent="0" algn="ctr"/>
            <a:t>49%</a:t>
          </a:fld>
          <a:endParaRPr lang="en-US" sz="3600" b="0" i="0" u="none" strike="noStrike">
            <a:solidFill>
              <a:srgbClr val="006666"/>
            </a:solidFill>
            <a:latin typeface="Arial Black" panose="020B0A040201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9</xdr:col>
      <xdr:colOff>47626</xdr:colOff>
      <xdr:row>30</xdr:row>
      <xdr:rowOff>152402</xdr:rowOff>
    </xdr:from>
    <xdr:to>
      <xdr:col>11</xdr:col>
      <xdr:colOff>523876</xdr:colOff>
      <xdr:row>33</xdr:row>
      <xdr:rowOff>142876</xdr:rowOff>
    </xdr:to>
    <xdr:sp macro="" textlink="Analysis!E22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5534026" y="5867402"/>
          <a:ext cx="1695450" cy="561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70D8B66-0F8C-4B4D-BFBD-A95DAE8DD18A}" type="TxLink">
            <a:rPr lang="en-US" sz="3600" b="0" i="0" u="none" strike="noStrike">
              <a:solidFill>
                <a:schemeClr val="bg1">
                  <a:lumMod val="75000"/>
                </a:schemeClr>
              </a:solidFill>
              <a:latin typeface="Arial Black" panose="020B0A04020102020204" pitchFamily="34" charset="0"/>
              <a:ea typeface="+mn-ea"/>
              <a:cs typeface="Calibri"/>
            </a:rPr>
            <a:pPr marL="0" indent="0" algn="ctr"/>
            <a:t>51%</a:t>
          </a:fld>
          <a:endParaRPr lang="en-US" sz="3600" b="0" i="0" u="none" strike="noStrike">
            <a:solidFill>
              <a:schemeClr val="bg1">
                <a:lumMod val="75000"/>
              </a:schemeClr>
            </a:solidFill>
            <a:latin typeface="Arial Black" panose="020B0A040201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552450</xdr:colOff>
      <xdr:row>29</xdr:row>
      <xdr:rowOff>161925</xdr:rowOff>
    </xdr:from>
    <xdr:to>
      <xdr:col>12</xdr:col>
      <xdr:colOff>104775</xdr:colOff>
      <xdr:row>31</xdr:row>
      <xdr:rowOff>123825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5429250" y="5686425"/>
          <a:ext cx="19907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bg1">
                  <a:lumMod val="75000"/>
                </a:schemeClr>
              </a:solidFill>
            </a:rPr>
            <a:t>In-Store Revenue:</a:t>
          </a:r>
          <a:endParaRPr lang="en-US" sz="14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8</xdr:col>
      <xdr:colOff>571500</xdr:colOff>
      <xdr:row>25</xdr:row>
      <xdr:rowOff>28575</xdr:rowOff>
    </xdr:from>
    <xdr:to>
      <xdr:col>12</xdr:col>
      <xdr:colOff>38100</xdr:colOff>
      <xdr:row>26</xdr:row>
      <xdr:rowOff>180975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5448300" y="4791075"/>
          <a:ext cx="19050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rgbClr val="006666">
                  <a:alpha val="66000"/>
                </a:srgbClr>
              </a:solidFill>
            </a:rPr>
            <a:t>Online Revenue:</a:t>
          </a:r>
          <a:endParaRPr lang="en-US" sz="1400">
            <a:solidFill>
              <a:srgbClr val="006666">
                <a:alpha val="66000"/>
              </a:srgbClr>
            </a:solidFill>
          </a:endParaRPr>
        </a:p>
      </xdr:txBody>
    </xdr:sp>
    <xdr:clientData/>
  </xdr:twoCellAnchor>
  <xdr:twoCellAnchor editAs="oneCell">
    <xdr:from>
      <xdr:col>7</xdr:col>
      <xdr:colOff>295275</xdr:colOff>
      <xdr:row>28</xdr:row>
      <xdr:rowOff>9525</xdr:rowOff>
    </xdr:from>
    <xdr:to>
      <xdr:col>8</xdr:col>
      <xdr:colOff>314325</xdr:colOff>
      <xdr:row>31</xdr:row>
      <xdr:rowOff>66675</xdr:rowOff>
    </xdr:to>
    <xdr:pic>
      <xdr:nvPicPr>
        <xdr:cNvPr id="26" name="Graphic 25" descr="Shopping cart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562475" y="5343525"/>
          <a:ext cx="628650" cy="628650"/>
        </a:xfrm>
        <a:prstGeom prst="rect">
          <a:avLst/>
        </a:prstGeom>
      </xdr:spPr>
    </xdr:pic>
    <xdr:clientData/>
  </xdr:twoCellAnchor>
  <xdr:twoCellAnchor>
    <xdr:from>
      <xdr:col>6</xdr:col>
      <xdr:colOff>361950</xdr:colOff>
      <xdr:row>8</xdr:row>
      <xdr:rowOff>180975</xdr:rowOff>
    </xdr:from>
    <xdr:to>
      <xdr:col>12</xdr:col>
      <xdr:colOff>209550</xdr:colOff>
      <xdr:row>10</xdr:row>
      <xdr:rowOff>76200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4019550" y="1704975"/>
          <a:ext cx="3505200" cy="276225"/>
        </a:xfrm>
        <a:prstGeom prst="rect">
          <a:avLst/>
        </a:prstGeom>
        <a:solidFill>
          <a:srgbClr val="006666">
            <a:alpha val="70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 i="0">
              <a:solidFill>
                <a:schemeClr val="bg1"/>
              </a:solidFill>
              <a:latin typeface="Candara Light" panose="020E0502030303020204" pitchFamily="34" charset="0"/>
              <a:ea typeface="+mn-ea"/>
              <a:cs typeface="+mn-cs"/>
            </a:rPr>
            <a:t>Selected Year (2022) vs other Years</a:t>
          </a:r>
        </a:p>
      </xdr:txBody>
    </xdr:sp>
    <xdr:clientData/>
  </xdr:twoCellAnchor>
  <xdr:twoCellAnchor>
    <xdr:from>
      <xdr:col>12</xdr:col>
      <xdr:colOff>133350</xdr:colOff>
      <xdr:row>28</xdr:row>
      <xdr:rowOff>85725</xdr:rowOff>
    </xdr:from>
    <xdr:to>
      <xdr:col>15</xdr:col>
      <xdr:colOff>209550</xdr:colOff>
      <xdr:row>30</xdr:row>
      <xdr:rowOff>47625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7448550" y="5419725"/>
          <a:ext cx="19050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rgbClr val="006666">
                  <a:alpha val="66000"/>
                </a:srgbClr>
              </a:solidFill>
            </a:rPr>
            <a:t>Recommendations</a:t>
          </a:r>
          <a:endParaRPr lang="en-US" sz="1400">
            <a:solidFill>
              <a:srgbClr val="006666">
                <a:alpha val="66000"/>
              </a:srgbClr>
            </a:solidFill>
          </a:endParaRPr>
        </a:p>
      </xdr:txBody>
    </xdr:sp>
    <xdr:clientData/>
  </xdr:twoCellAnchor>
  <xdr:twoCellAnchor>
    <xdr:from>
      <xdr:col>13</xdr:col>
      <xdr:colOff>590550</xdr:colOff>
      <xdr:row>30</xdr:row>
      <xdr:rowOff>66675</xdr:rowOff>
    </xdr:from>
    <xdr:to>
      <xdr:col>20</xdr:col>
      <xdr:colOff>142875</xdr:colOff>
      <xdr:row>31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8515350" y="5781675"/>
          <a:ext cx="38195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Invest</a:t>
          </a:r>
          <a:r>
            <a:rPr lang="en-US" sz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 more on </a:t>
          </a:r>
          <a:r>
            <a:rPr lang="en-US" sz="12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ads</a:t>
          </a:r>
          <a:r>
            <a:rPr lang="en-US" sz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 to trigger more sales from </a:t>
          </a:r>
          <a:r>
            <a:rPr lang="en-US" sz="12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Online</a:t>
          </a:r>
          <a:endParaRPr lang="en-US" sz="1200" b="1">
            <a:solidFill>
              <a:schemeClr val="tx1">
                <a:lumMod val="75000"/>
                <a:lumOff val="25000"/>
              </a:schemeClr>
            </a:solidFill>
            <a:latin typeface="+mn-lt"/>
          </a:endParaRPr>
        </a:p>
      </xdr:txBody>
    </xdr:sp>
    <xdr:clientData/>
  </xdr:twoCellAnchor>
  <xdr:twoCellAnchor>
    <xdr:from>
      <xdr:col>13</xdr:col>
      <xdr:colOff>590550</xdr:colOff>
      <xdr:row>32</xdr:row>
      <xdr:rowOff>38100</xdr:rowOff>
    </xdr:from>
    <xdr:to>
      <xdr:col>20</xdr:col>
      <xdr:colOff>142875</xdr:colOff>
      <xdr:row>34</xdr:row>
      <xdr:rowOff>152400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8515350" y="6134100"/>
          <a:ext cx="381952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20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California, Texas, Florida, &amp; New York should be the main target as they are the </a:t>
          </a:r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top-populated</a:t>
          </a:r>
          <a:r>
            <a:rPr lang="en-US" sz="120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 states in the US</a:t>
          </a:r>
        </a:p>
      </xdr:txBody>
    </xdr:sp>
    <xdr:clientData/>
  </xdr:twoCellAnchor>
  <xdr:twoCellAnchor>
    <xdr:from>
      <xdr:col>13</xdr:col>
      <xdr:colOff>419101</xdr:colOff>
      <xdr:row>30</xdr:row>
      <xdr:rowOff>114301</xdr:rowOff>
    </xdr:from>
    <xdr:to>
      <xdr:col>13</xdr:col>
      <xdr:colOff>571501</xdr:colOff>
      <xdr:row>31</xdr:row>
      <xdr:rowOff>76201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8343901" y="5829301"/>
          <a:ext cx="152400" cy="152400"/>
        </a:xfrm>
        <a:prstGeom prst="ellipse">
          <a:avLst/>
        </a:prstGeom>
        <a:solidFill>
          <a:srgbClr val="FFC000">
            <a:alpha val="66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419101</xdr:colOff>
      <xdr:row>32</xdr:row>
      <xdr:rowOff>85726</xdr:rowOff>
    </xdr:from>
    <xdr:to>
      <xdr:col>13</xdr:col>
      <xdr:colOff>571501</xdr:colOff>
      <xdr:row>33</xdr:row>
      <xdr:rowOff>47626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8343901" y="6181726"/>
          <a:ext cx="152400" cy="152400"/>
        </a:xfrm>
        <a:prstGeom prst="ellipse">
          <a:avLst/>
        </a:prstGeom>
        <a:solidFill>
          <a:srgbClr val="FFC000">
            <a:alpha val="66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266700</xdr:colOff>
      <xdr:row>8</xdr:row>
      <xdr:rowOff>133350</xdr:rowOff>
    </xdr:from>
    <xdr:to>
      <xdr:col>20</xdr:col>
      <xdr:colOff>381000</xdr:colOff>
      <xdr:row>8</xdr:row>
      <xdr:rowOff>133350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/>
      </xdr:nvCxnSpPr>
      <xdr:spPr>
        <a:xfrm>
          <a:off x="266700" y="1657350"/>
          <a:ext cx="12306300" cy="0"/>
        </a:xfrm>
        <a:prstGeom prst="line">
          <a:avLst/>
        </a:prstGeom>
        <a:ln w="38100">
          <a:gradFill flip="none" rotWithShape="1">
            <a:gsLst>
              <a:gs pos="6000">
                <a:schemeClr val="accent1">
                  <a:lumMod val="5000"/>
                  <a:lumOff val="95000"/>
                </a:schemeClr>
              </a:gs>
              <a:gs pos="46000">
                <a:schemeClr val="bg1">
                  <a:lumMod val="75000"/>
                </a:schemeClr>
              </a:gs>
              <a:gs pos="83000">
                <a:schemeClr val="bg1">
                  <a:lumMod val="95000"/>
                  <a:alpha val="76000"/>
                </a:schemeClr>
              </a:gs>
            </a:gsLst>
            <a:lin ang="0" scaled="1"/>
            <a:tileRect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352426</xdr:colOff>
      <xdr:row>18</xdr:row>
      <xdr:rowOff>28574</xdr:rowOff>
    </xdr:from>
    <xdr:to>
      <xdr:col>12</xdr:col>
      <xdr:colOff>219076</xdr:colOff>
      <xdr:row>22</xdr:row>
      <xdr:rowOff>57149</xdr:rowOff>
    </xdr:to>
    <xdr:sp macro="" textlink="Analysis!I22">
      <xdr:nvSpPr>
        <xdr:cNvPr id="61" name="TextBox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4010026" y="3457574"/>
          <a:ext cx="352425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29356B9-B1ED-447F-BDB5-B6F6CB487E4A}" type="TxLink">
            <a:rPr lang="en-US" sz="1200" b="0" i="1" u="none" strike="noStrike">
              <a:solidFill>
                <a:schemeClr val="tx1">
                  <a:lumMod val="65000"/>
                  <a:lumOff val="35000"/>
                </a:schemeClr>
              </a:solidFill>
              <a:latin typeface="Calibri"/>
              <a:cs typeface="Calibri"/>
            </a:rPr>
            <a:pPr algn="ctr"/>
            <a:t>TEAPOT has the highest Revenue in 2022 compared to the previous years (2019, 2020, &amp; 2021)</a:t>
          </a:fld>
          <a:endParaRPr lang="en-US" sz="2800" b="1" i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12</xdr:col>
      <xdr:colOff>66675</xdr:colOff>
      <xdr:row>23</xdr:row>
      <xdr:rowOff>133350</xdr:rowOff>
    </xdr:from>
    <xdr:to>
      <xdr:col>15</xdr:col>
      <xdr:colOff>390525</xdr:colOff>
      <xdr:row>28</xdr:row>
      <xdr:rowOff>66675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/>
      </xdr:nvGrpSpPr>
      <xdr:grpSpPr>
        <a:xfrm>
          <a:off x="7849961" y="4306207"/>
          <a:ext cx="2269672" cy="840468"/>
          <a:chOff x="7381875" y="4514850"/>
          <a:chExt cx="2152650" cy="885825"/>
        </a:xfrm>
      </xdr:grpSpPr>
      <xdr:sp macro="" textlink="Analysis!X18">
        <xdr:nvSpPr>
          <xdr:cNvPr id="65" name="TextBox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SpPr txBox="1"/>
        </xdr:nvSpPr>
        <xdr:spPr>
          <a:xfrm>
            <a:off x="7524750" y="4514850"/>
            <a:ext cx="1905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C5584872-9C66-4482-9EE2-2C7C665CA1F7}" type="TxLink">
              <a:rPr lang="en-US" sz="1200" b="1">
                <a:solidFill>
                  <a:schemeClr val="tx1">
                    <a:lumMod val="85000"/>
                    <a:lumOff val="15000"/>
                    <a:alpha val="66000"/>
                  </a:schemeClr>
                </a:solidFill>
                <a:latin typeface="+mn-lt"/>
                <a:ea typeface="+mn-ea"/>
                <a:cs typeface="+mn-cs"/>
              </a:rPr>
              <a:pPr marL="0" indent="0" algn="ctr"/>
              <a:t> </a:t>
            </a:fld>
            <a:endParaRPr lang="en-US" sz="1200" b="1">
              <a:solidFill>
                <a:schemeClr val="tx1">
                  <a:lumMod val="85000"/>
                  <a:lumOff val="15000"/>
                  <a:alpha val="66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Analysis!W18">
        <xdr:nvSpPr>
          <xdr:cNvPr id="67" name="TextBox 66">
            <a:extLst>
              <a:ext uri="{FF2B5EF4-FFF2-40B4-BE49-F238E27FC236}">
                <a16:creationId xmlns:a16="http://schemas.microsoft.com/office/drawing/2014/main" id="{00000000-0008-0000-0200-000043000000}"/>
              </a:ext>
            </a:extLst>
          </xdr:cNvPr>
          <xdr:cNvSpPr txBox="1"/>
        </xdr:nvSpPr>
        <xdr:spPr>
          <a:xfrm>
            <a:off x="7381875" y="4686300"/>
            <a:ext cx="2152650" cy="552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091FD9C0-DFE5-439C-B7B6-DA76EFA38BAE}" type="TxLink">
              <a:rPr lang="en-US" sz="2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Calibri"/>
              </a:rPr>
              <a:pPr marL="0" indent="0" algn="ctr"/>
              <a:t> </a:t>
            </a:fld>
            <a:endParaRPr lang="en-US" sz="2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Calibri"/>
            </a:endParaRPr>
          </a:p>
        </xdr:txBody>
      </xdr:sp>
      <xdr:sp macro="" textlink="Analysis!X23">
        <xdr:nvSpPr>
          <xdr:cNvPr id="68" name="TextBox 67">
            <a:extLst>
              <a:ext uri="{FF2B5EF4-FFF2-40B4-BE49-F238E27FC236}">
                <a16:creationId xmlns:a16="http://schemas.microsoft.com/office/drawing/2014/main" id="{00000000-0008-0000-0200-000044000000}"/>
              </a:ext>
            </a:extLst>
          </xdr:cNvPr>
          <xdr:cNvSpPr txBox="1"/>
        </xdr:nvSpPr>
        <xdr:spPr>
          <a:xfrm>
            <a:off x="7524750" y="4514850"/>
            <a:ext cx="1905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3CA4B5FD-80AB-4F16-9913-03D56BBA8DF1}" type="TxLink">
              <a:rPr lang="en-US" sz="1200" b="1">
                <a:solidFill>
                  <a:srgbClr val="006666">
                    <a:alpha val="66000"/>
                  </a:srgbClr>
                </a:solidFill>
                <a:latin typeface="+mn-lt"/>
                <a:ea typeface="+mn-ea"/>
                <a:cs typeface="+mn-cs"/>
              </a:rPr>
              <a:pPr marL="0" indent="0" algn="ctr"/>
              <a:t>Revenue till date</a:t>
            </a:fld>
            <a:endParaRPr lang="en-US" sz="1200" b="1">
              <a:solidFill>
                <a:srgbClr val="006666">
                  <a:alpha val="66000"/>
                </a:srgbClr>
              </a:solidFill>
              <a:latin typeface="+mn-lt"/>
              <a:ea typeface="+mn-ea"/>
              <a:cs typeface="+mn-cs"/>
            </a:endParaRPr>
          </a:p>
        </xdr:txBody>
      </xdr:sp>
      <xdr:sp macro="" textlink="Analysis!W23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200-000045000000}"/>
              </a:ext>
            </a:extLst>
          </xdr:cNvPr>
          <xdr:cNvSpPr txBox="1"/>
        </xdr:nvSpPr>
        <xdr:spPr>
          <a:xfrm>
            <a:off x="7381875" y="4686300"/>
            <a:ext cx="2152650" cy="552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88A1F30D-FF3D-4301-B562-0ED4A2707929}" type="TxLink">
              <a:rPr lang="en-US" sz="2400" b="0" i="0" u="none" strike="noStrike">
                <a:solidFill>
                  <a:srgbClr val="006666"/>
                </a:solidFill>
                <a:latin typeface="Arial Black" panose="020B0A04020102020204" pitchFamily="34" charset="0"/>
                <a:ea typeface="+mn-ea"/>
                <a:cs typeface="Calibri"/>
              </a:rPr>
              <a:pPr marL="0" indent="0" algn="ctr"/>
              <a:t>$159.38M</a:t>
            </a:fld>
            <a:endParaRPr lang="en-US" sz="2400" b="0" i="0" u="none" strike="noStrike">
              <a:solidFill>
                <a:srgbClr val="006666"/>
              </a:solidFill>
              <a:latin typeface="Arial Black" panose="020B0A04020102020204" pitchFamily="34" charset="0"/>
              <a:ea typeface="+mn-ea"/>
              <a:cs typeface="Calibri"/>
            </a:endParaRPr>
          </a:p>
        </xdr:txBody>
      </xdr:sp>
      <xdr:sp macro="" textlink="Analysis!AA19">
        <xdr:nvSpPr>
          <xdr:cNvPr id="71" name="TextBox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SpPr txBox="1"/>
        </xdr:nvSpPr>
        <xdr:spPr>
          <a:xfrm>
            <a:off x="7591425" y="5057775"/>
            <a:ext cx="1266825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2DD08136-ADEE-4550-8E93-C38CC0AB75C9}" type="TxLink">
              <a:rPr lang="en-US" sz="1100" b="1">
                <a:solidFill>
                  <a:srgbClr val="006666">
                    <a:alpha val="66000"/>
                  </a:srgbClr>
                </a:solidFill>
                <a:latin typeface="+mn-lt"/>
                <a:ea typeface="+mn-ea"/>
                <a:cs typeface="+mn-cs"/>
              </a:rPr>
              <a:pPr marL="0" indent="0" algn="l"/>
              <a:t> </a:t>
            </a:fld>
            <a:endParaRPr lang="en-US" sz="1100" b="1">
              <a:solidFill>
                <a:srgbClr val="006666">
                  <a:alpha val="66000"/>
                </a:srgbClr>
              </a:solidFill>
              <a:latin typeface="+mn-lt"/>
              <a:ea typeface="+mn-ea"/>
              <a:cs typeface="+mn-cs"/>
            </a:endParaRPr>
          </a:p>
        </xdr:txBody>
      </xdr:sp>
      <xdr:sp macro="" textlink="Analysis!Z18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200-000048000000}"/>
              </a:ext>
            </a:extLst>
          </xdr:cNvPr>
          <xdr:cNvSpPr txBox="1"/>
        </xdr:nvSpPr>
        <xdr:spPr>
          <a:xfrm>
            <a:off x="8686800" y="5057775"/>
            <a:ext cx="714375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27D86E2A-E55D-4610-B872-F8E5523947A9}" type="TxLink">
              <a:rPr lang="en-US" sz="1200" b="1" i="0" u="none" strike="noStrike">
                <a:solidFill>
                  <a:srgbClr val="006666"/>
                </a:solidFill>
                <a:latin typeface="Calibri"/>
                <a:ea typeface="+mn-ea"/>
                <a:cs typeface="Calibri"/>
              </a:rPr>
              <a:pPr marL="0" indent="0" algn="l"/>
              <a:t> </a:t>
            </a:fld>
            <a:endParaRPr lang="en-US" sz="1400" b="1">
              <a:solidFill>
                <a:srgbClr val="006666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fb>39557045</fb>
    <v>0</v>
  </rv>
  <rv s="0">
    <fb>28701845</fb>
    <v>0</v>
  </rv>
  <rv s="0">
    <fb>21670000</fb>
    <v>0</v>
  </rv>
  <rv s="0">
    <fb>19542209</fb>
    <v>0</v>
  </rv>
  <rv s="0">
    <fb>12807060</fb>
    <v>0</v>
  </rv>
  <rv s="0">
    <fb>12741080</fb>
    <v>0</v>
  </rv>
  <rv s="0">
    <fb>11689442</fb>
    <v>0</v>
  </rv>
  <rv s="0">
    <fb>10519475</fb>
    <v>0</v>
  </rv>
  <rv s="0">
    <fb>10383620</fb>
    <v>0</v>
  </rv>
  <rv s="0">
    <fb>9995915</fb>
    <v>0</v>
  </rv>
  <rv s="0">
    <fb>8908520</fb>
    <v>0</v>
  </rv>
  <rv s="0">
    <fb>8517685</fb>
    <v>0</v>
  </rv>
  <rv s="0">
    <fb>7614893</fb>
    <v>0</v>
  </rv>
  <rv s="0">
    <fb>7171646</fb>
    <v>0</v>
  </rv>
  <rv s="0">
    <fb>6902149</fb>
    <v>0</v>
  </rv>
  <rv s="0">
    <fb>6770010</fb>
    <v>0</v>
  </rv>
  <rv s="0">
    <fb>6691878</fb>
    <v>0</v>
  </rv>
  <rv s="0">
    <fb>6126452</fb>
    <v>0</v>
  </rv>
  <rv s="0">
    <fb>6042718</fb>
    <v>0</v>
  </rv>
  <rv s="0">
    <fb>5813568</fb>
    <v>0</v>
  </rv>
  <rv s="0">
    <fb>5695564</fb>
    <v>0</v>
  </rv>
  <rv s="0">
    <fb>5611179</fb>
    <v>0</v>
  </rv>
  <rv s="0">
    <fb>5084127</fb>
    <v>0</v>
  </rv>
  <rv s="0">
    <fb>4887871</fb>
    <v>0</v>
  </rv>
  <rv s="0">
    <fb>4659978</fb>
    <v>0</v>
  </rv>
  <rv s="0">
    <fb>4468402</fb>
    <v>0</v>
  </rv>
  <rv s="0">
    <fb>4190713</fb>
    <v>0</v>
  </rv>
  <rv s="0">
    <fb>3943079</fb>
    <v>0</v>
  </rv>
  <rv s="0">
    <fb>3572665</fb>
    <v>0</v>
  </rv>
  <rv s="0">
    <fb>3161105</fb>
    <v>0</v>
  </rv>
  <rv s="0">
    <fb>3156145</fb>
    <v>0</v>
  </rv>
  <rv s="0">
    <fb>3034392</fb>
    <v>0</v>
  </rv>
  <rv s="0">
    <fb>3013825</fb>
    <v>0</v>
  </rv>
  <rv s="0">
    <fb>2963914</fb>
    <v>0</v>
  </rv>
  <rv s="0">
    <fb>2911505</fb>
    <v>0</v>
  </rv>
  <rv s="0">
    <fb>2095428</fb>
    <v>0</v>
  </rv>
  <rv s="0">
    <fb>1929268</fb>
    <v>0</v>
  </rv>
  <rv s="0">
    <fb>1805832</fb>
    <v>0</v>
  </rv>
  <rv s="0">
    <fb>1754208</fb>
    <v>0</v>
  </rv>
  <rv s="0">
    <fb>1356458</fb>
    <v>0</v>
  </rv>
  <rv s="0">
    <fb>1338404</fb>
    <v>0</v>
  </rv>
  <rv s="0">
    <fb>1062305</fb>
    <v>0</v>
  </rv>
  <rv s="0">
    <fb>1057315</fb>
    <v>0</v>
  </rv>
  <rv s="0">
    <fb>967171</fb>
    <v>0</v>
  </rv>
  <rv s="0">
    <fb>882235</fb>
    <v>0</v>
  </rv>
  <rv s="0">
    <fb>760077</fb>
    <v>0</v>
  </rv>
  <rv s="0">
    <fb>626299</fb>
    <v>0</v>
  </rv>
  <rv s="0">
    <fb>577737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3" formatCode="#,##0"/>
    </x:dxf>
  </dxfs>
  <richStyles>
    <rSty dxfid="0"/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853BBE-FA9F-46B7-937A-DC913D9D7CAF}" name="Table2" displayName="Table2" ref="A1:F2615" totalsRowShown="0" headerRowDxfId="22" tableBorderDxfId="21">
  <autoFilter ref="A1:F2615" xr:uid="{D1853BBE-FA9F-46B7-937A-DC913D9D7CAF}"/>
  <tableColumns count="6">
    <tableColumn id="1" xr3:uid="{8EB4BB65-BF58-43F8-94AB-EF44C5978641}" name="Year" dataDxfId="20"/>
    <tableColumn id="2" xr3:uid="{31FDA84E-D90E-4BB3-AB9E-F92F31B0771E}" name="Products" dataDxfId="19"/>
    <tableColumn id="3" xr3:uid="{2911C73E-49FD-4235-BA63-AF4674AE17B4}" name="State" dataDxfId="18"/>
    <tableColumn id="4" xr3:uid="{ABF79DFC-2108-4575-90EA-A356F82777B4}" name="Quantity"/>
    <tableColumn id="5" xr3:uid="{B7D018DF-6D13-4D3F-B525-BA892E9ED9D9}" name="Revenue" dataDxfId="17"/>
    <tableColumn id="6" xr3:uid="{65D32B03-5F2C-45A0-AB19-64C6A5EAF7FD}" name="Sales Channel" dataDxfId="16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DB6983-8A1F-4358-9A65-F973B62EF564}" name="Table3" displayName="Table3" ref="B4:G153" totalsRowShown="0" headerRowDxfId="15" headerRowBorderDxfId="14" tableBorderDxfId="13" totalsRowBorderDxfId="12">
  <autoFilter ref="B4:G153" xr:uid="{D6DB6983-8A1F-4358-9A65-F973B62EF564}"/>
  <tableColumns count="6">
    <tableColumn id="1" xr3:uid="{B7D73C5E-7977-4C5F-989D-A246586D10F0}" name="Year" dataDxfId="11"/>
    <tableColumn id="2" xr3:uid="{E5B7F447-73CD-4F77-A88E-EC9B6F136D0C}" name="Products" dataDxfId="10"/>
    <tableColumn id="3" xr3:uid="{60560E67-A42A-45BD-883F-05A073709BA8}" name="State" dataDxfId="9"/>
    <tableColumn id="4" xr3:uid="{20E91D52-2D09-422D-8DBA-AB241B1FFE8E}" name="Quantity" dataDxfId="8"/>
    <tableColumn id="5" xr3:uid="{7DEEA25E-465E-41EE-9BE3-EB911A6F9998}" name="Revenue" dataDxfId="7"/>
    <tableColumn id="6" xr3:uid="{3317954A-FE6D-4193-80B0-A202C89771A2}" name="Sales Channel" dataDxfId="6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6A4A24-9817-4A83-9BFE-A73AA2B2D9FD}" name="Table4" displayName="Table4" ref="A1:B1048576" totalsRowShown="0" headerRowDxfId="5" headerRowBorderDxfId="4" tableBorderDxfId="3" totalsRowBorderDxfId="2">
  <autoFilter ref="A1:B1048576" xr:uid="{886A4A24-9817-4A83-9BFE-A73AA2B2D9FD}"/>
  <tableColumns count="2">
    <tableColumn id="1" xr3:uid="{CA8A798D-33D2-4BE9-8650-046D8D53FBE0}" name="State" dataDxfId="1"/>
    <tableColumn id="2" xr3:uid="{B897CFF9-D33C-402C-B0E8-11BB11ABCDE5}" name="Population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2A84-74A9-4D7E-B7E3-EC278A9D2C81}">
  <dimension ref="A1:F2615"/>
  <sheetViews>
    <sheetView tabSelected="1" zoomScale="94" zoomScaleNormal="175" workbookViewId="0">
      <selection activeCell="H7" sqref="H7"/>
    </sheetView>
  </sheetViews>
  <sheetFormatPr defaultRowHeight="14.25" x14ac:dyDescent="0.45"/>
  <cols>
    <col min="2" max="2" width="21.73046875" bestFit="1" customWidth="1"/>
    <col min="3" max="3" width="15.265625" bestFit="1" customWidth="1"/>
    <col min="4" max="4" width="14.59765625" bestFit="1" customWidth="1"/>
    <col min="5" max="5" width="16.73046875" bestFit="1" customWidth="1"/>
    <col min="6" max="6" width="14" style="63" customWidth="1"/>
    <col min="7" max="7" width="17.86328125" bestFit="1" customWidth="1"/>
    <col min="8" max="8" width="21.73046875" bestFit="1" customWidth="1"/>
  </cols>
  <sheetData>
    <row r="1" spans="1:6" x14ac:dyDescent="0.45">
      <c r="A1" s="74" t="s">
        <v>0</v>
      </c>
      <c r="B1" s="75" t="s">
        <v>60</v>
      </c>
      <c r="C1" s="75" t="s">
        <v>1</v>
      </c>
      <c r="D1" s="75" t="s">
        <v>62</v>
      </c>
      <c r="E1" s="75" t="s">
        <v>61</v>
      </c>
      <c r="F1" s="76" t="s">
        <v>80</v>
      </c>
    </row>
    <row r="2" spans="1:6" x14ac:dyDescent="0.45">
      <c r="A2" s="57">
        <v>2022</v>
      </c>
      <c r="B2" s="3" t="s">
        <v>50</v>
      </c>
      <c r="C2" s="3" t="s">
        <v>2</v>
      </c>
      <c r="D2" s="4">
        <v>1829</v>
      </c>
      <c r="E2" s="60">
        <v>64872</v>
      </c>
      <c r="F2" s="63" t="s">
        <v>81</v>
      </c>
    </row>
    <row r="3" spans="1:6" x14ac:dyDescent="0.45">
      <c r="A3" s="58">
        <v>2022</v>
      </c>
      <c r="B3" s="5" t="s">
        <v>50</v>
      </c>
      <c r="C3" s="5" t="s">
        <v>3</v>
      </c>
      <c r="D3" s="6">
        <v>1354</v>
      </c>
      <c r="E3" s="61">
        <v>61216</v>
      </c>
      <c r="F3" s="63" t="s">
        <v>82</v>
      </c>
    </row>
    <row r="4" spans="1:6" x14ac:dyDescent="0.45">
      <c r="A4" s="57">
        <v>2022</v>
      </c>
      <c r="B4" s="3" t="s">
        <v>50</v>
      </c>
      <c r="C4" s="3" t="s">
        <v>4</v>
      </c>
      <c r="D4" s="4">
        <v>2565</v>
      </c>
      <c r="E4" s="60">
        <v>55909</v>
      </c>
      <c r="F4" s="63" t="s">
        <v>81</v>
      </c>
    </row>
    <row r="5" spans="1:6" x14ac:dyDescent="0.45">
      <c r="A5" s="58">
        <v>2022</v>
      </c>
      <c r="B5" s="5" t="s">
        <v>50</v>
      </c>
      <c r="C5" s="5" t="s">
        <v>5</v>
      </c>
      <c r="D5" s="6">
        <v>17651</v>
      </c>
      <c r="E5" s="61">
        <v>48534</v>
      </c>
      <c r="F5" s="63" t="s">
        <v>81</v>
      </c>
    </row>
    <row r="6" spans="1:6" x14ac:dyDescent="0.45">
      <c r="A6" s="57">
        <v>2022</v>
      </c>
      <c r="B6" s="3" t="s">
        <v>50</v>
      </c>
      <c r="C6" s="3" t="s">
        <v>6</v>
      </c>
      <c r="D6" s="4">
        <v>3312</v>
      </c>
      <c r="E6" s="60">
        <v>97879</v>
      </c>
      <c r="F6" s="63" t="s">
        <v>82</v>
      </c>
    </row>
    <row r="7" spans="1:6" x14ac:dyDescent="0.45">
      <c r="A7" s="58">
        <v>2022</v>
      </c>
      <c r="B7" s="5" t="s">
        <v>50</v>
      </c>
      <c r="C7" s="5" t="s">
        <v>7</v>
      </c>
      <c r="D7" s="5">
        <v>467</v>
      </c>
      <c r="E7" s="61">
        <v>49142</v>
      </c>
      <c r="F7" s="63" t="s">
        <v>82</v>
      </c>
    </row>
    <row r="8" spans="1:6" x14ac:dyDescent="0.45">
      <c r="A8" s="57">
        <v>2022</v>
      </c>
      <c r="B8" s="3" t="s">
        <v>50</v>
      </c>
      <c r="C8" s="3" t="s">
        <v>8</v>
      </c>
      <c r="D8" s="3">
        <v>186</v>
      </c>
      <c r="E8" s="60">
        <v>49290</v>
      </c>
      <c r="F8" s="63" t="s">
        <v>81</v>
      </c>
    </row>
    <row r="9" spans="1:6" x14ac:dyDescent="0.45">
      <c r="A9" s="58">
        <v>2022</v>
      </c>
      <c r="B9" s="5" t="s">
        <v>50</v>
      </c>
      <c r="C9" s="5" t="s">
        <v>9</v>
      </c>
      <c r="D9" s="6">
        <v>5394</v>
      </c>
      <c r="E9" s="61">
        <v>43717</v>
      </c>
      <c r="F9" s="63" t="s">
        <v>81</v>
      </c>
    </row>
    <row r="10" spans="1:6" x14ac:dyDescent="0.45">
      <c r="A10" s="57">
        <v>2022</v>
      </c>
      <c r="B10" s="3" t="s">
        <v>50</v>
      </c>
      <c r="C10" s="3" t="s">
        <v>10</v>
      </c>
      <c r="D10" s="4">
        <v>2794</v>
      </c>
      <c r="E10" s="60">
        <v>51978</v>
      </c>
      <c r="F10" s="63" t="s">
        <v>82</v>
      </c>
    </row>
    <row r="11" spans="1:6" x14ac:dyDescent="0.45">
      <c r="A11" s="58">
        <v>2022</v>
      </c>
      <c r="B11" s="5" t="s">
        <v>50</v>
      </c>
      <c r="C11" s="5" t="s">
        <v>11</v>
      </c>
      <c r="D11" s="6">
        <v>2531</v>
      </c>
      <c r="E11" s="61">
        <v>48820</v>
      </c>
      <c r="F11" s="63" t="s">
        <v>82</v>
      </c>
    </row>
    <row r="12" spans="1:6" x14ac:dyDescent="0.45">
      <c r="A12" s="57">
        <v>2022</v>
      </c>
      <c r="B12" s="3" t="s">
        <v>50</v>
      </c>
      <c r="C12" s="3" t="s">
        <v>12</v>
      </c>
      <c r="D12" s="4">
        <v>2818</v>
      </c>
      <c r="E12" s="60">
        <v>58259</v>
      </c>
      <c r="F12" s="63" t="s">
        <v>82</v>
      </c>
    </row>
    <row r="13" spans="1:6" x14ac:dyDescent="0.45">
      <c r="A13" s="58">
        <v>2022</v>
      </c>
      <c r="B13" s="5" t="s">
        <v>50</v>
      </c>
      <c r="C13" s="5" t="s">
        <v>13</v>
      </c>
      <c r="D13" s="6">
        <v>2302</v>
      </c>
      <c r="E13" s="61">
        <v>56732</v>
      </c>
      <c r="F13" s="63" t="s">
        <v>82</v>
      </c>
    </row>
    <row r="14" spans="1:6" x14ac:dyDescent="0.45">
      <c r="A14" s="57">
        <v>2022</v>
      </c>
      <c r="B14" s="3" t="s">
        <v>50</v>
      </c>
      <c r="C14" s="3" t="s">
        <v>14</v>
      </c>
      <c r="D14" s="4">
        <v>2911</v>
      </c>
      <c r="E14" s="60">
        <v>51588</v>
      </c>
      <c r="F14" s="63" t="s">
        <v>82</v>
      </c>
    </row>
    <row r="15" spans="1:6" x14ac:dyDescent="0.45">
      <c r="A15" s="58">
        <v>2022</v>
      </c>
      <c r="B15" s="5" t="s">
        <v>50</v>
      </c>
      <c r="C15" s="5" t="s">
        <v>15</v>
      </c>
      <c r="D15" s="6">
        <v>2613</v>
      </c>
      <c r="E15" s="61">
        <v>53721</v>
      </c>
      <c r="F15" s="63" t="s">
        <v>82</v>
      </c>
    </row>
    <row r="16" spans="1:6" x14ac:dyDescent="0.45">
      <c r="A16" s="57">
        <v>2022</v>
      </c>
      <c r="B16" s="3" t="s">
        <v>50</v>
      </c>
      <c r="C16" s="3" t="s">
        <v>16</v>
      </c>
      <c r="D16" s="4">
        <v>1632</v>
      </c>
      <c r="E16" s="60">
        <v>60605</v>
      </c>
      <c r="F16" s="63" t="s">
        <v>82</v>
      </c>
    </row>
    <row r="17" spans="1:6" x14ac:dyDescent="0.45">
      <c r="A17" s="58">
        <v>2022</v>
      </c>
      <c r="B17" s="5" t="s">
        <v>50</v>
      </c>
      <c r="C17" s="5" t="s">
        <v>17</v>
      </c>
      <c r="D17" s="6">
        <v>3143</v>
      </c>
      <c r="E17" s="61">
        <v>92727</v>
      </c>
      <c r="F17" s="63" t="s">
        <v>82</v>
      </c>
    </row>
    <row r="18" spans="1:6" x14ac:dyDescent="0.45">
      <c r="A18" s="57">
        <v>2022</v>
      </c>
      <c r="B18" s="3" t="s">
        <v>50</v>
      </c>
      <c r="C18" s="3" t="s">
        <v>18</v>
      </c>
      <c r="D18" s="4">
        <v>1581</v>
      </c>
      <c r="E18" s="60">
        <v>47422</v>
      </c>
      <c r="F18" s="63" t="s">
        <v>82</v>
      </c>
    </row>
    <row r="19" spans="1:6" x14ac:dyDescent="0.45">
      <c r="A19" s="58">
        <v>2022</v>
      </c>
      <c r="B19" s="5" t="s">
        <v>50</v>
      </c>
      <c r="C19" s="5" t="s">
        <v>19</v>
      </c>
      <c r="D19" s="5">
        <v>720</v>
      </c>
      <c r="E19" s="61">
        <v>52887</v>
      </c>
      <c r="F19" s="63" t="s">
        <v>82</v>
      </c>
    </row>
    <row r="20" spans="1:6" x14ac:dyDescent="0.45">
      <c r="A20" s="57">
        <v>2022</v>
      </c>
      <c r="B20" s="3" t="s">
        <v>50</v>
      </c>
      <c r="C20" s="3" t="s">
        <v>20</v>
      </c>
      <c r="D20" s="3">
        <v>999</v>
      </c>
      <c r="E20" s="60">
        <v>70628</v>
      </c>
      <c r="F20" s="63" t="s">
        <v>82</v>
      </c>
    </row>
    <row r="21" spans="1:6" x14ac:dyDescent="0.45">
      <c r="A21" s="58">
        <v>2022</v>
      </c>
      <c r="B21" s="5" t="s">
        <v>50</v>
      </c>
      <c r="C21" s="5" t="s">
        <v>21</v>
      </c>
      <c r="D21" s="6">
        <v>3574</v>
      </c>
      <c r="E21" s="61">
        <v>49309</v>
      </c>
      <c r="F21" s="63" t="s">
        <v>82</v>
      </c>
    </row>
    <row r="22" spans="1:6" x14ac:dyDescent="0.45">
      <c r="A22" s="57">
        <v>2022</v>
      </c>
      <c r="B22" s="3" t="s">
        <v>50</v>
      </c>
      <c r="C22" s="3" t="s">
        <v>22</v>
      </c>
      <c r="D22" s="4">
        <v>3175</v>
      </c>
      <c r="E22" s="60">
        <v>57276</v>
      </c>
      <c r="F22" s="63" t="s">
        <v>82</v>
      </c>
    </row>
    <row r="23" spans="1:6" x14ac:dyDescent="0.45">
      <c r="A23" s="58">
        <v>2022</v>
      </c>
      <c r="B23" s="5" t="s">
        <v>50</v>
      </c>
      <c r="C23" s="5" t="s">
        <v>23</v>
      </c>
      <c r="D23" s="6">
        <v>2070</v>
      </c>
      <c r="E23" s="61">
        <v>56525</v>
      </c>
      <c r="F23" s="63" t="s">
        <v>82</v>
      </c>
    </row>
    <row r="24" spans="1:6" x14ac:dyDescent="0.45">
      <c r="A24" s="57">
        <v>2022</v>
      </c>
      <c r="B24" s="3" t="s">
        <v>50</v>
      </c>
      <c r="C24" s="3" t="s">
        <v>24</v>
      </c>
      <c r="D24" s="4">
        <v>2123</v>
      </c>
      <c r="E24" s="60">
        <v>52677</v>
      </c>
      <c r="F24" s="63" t="s">
        <v>81</v>
      </c>
    </row>
    <row r="25" spans="1:6" x14ac:dyDescent="0.45">
      <c r="A25" s="58">
        <v>2022</v>
      </c>
      <c r="B25" s="5" t="s">
        <v>50</v>
      </c>
      <c r="C25" s="5" t="s">
        <v>25</v>
      </c>
      <c r="D25" s="6">
        <v>1847</v>
      </c>
      <c r="E25" s="61">
        <v>71945</v>
      </c>
      <c r="F25" s="63" t="s">
        <v>81</v>
      </c>
    </row>
    <row r="26" spans="1:6" x14ac:dyDescent="0.45">
      <c r="A26" s="57">
        <v>2022</v>
      </c>
      <c r="B26" s="3" t="s">
        <v>50</v>
      </c>
      <c r="C26" s="3" t="s">
        <v>26</v>
      </c>
      <c r="D26" s="4">
        <v>2469</v>
      </c>
      <c r="E26" s="60">
        <v>50449</v>
      </c>
      <c r="F26" s="63" t="s">
        <v>82</v>
      </c>
    </row>
    <row r="27" spans="1:6" x14ac:dyDescent="0.45">
      <c r="A27" s="58">
        <v>2022</v>
      </c>
      <c r="B27" s="5" t="s">
        <v>50</v>
      </c>
      <c r="C27" s="5" t="s">
        <v>27</v>
      </c>
      <c r="D27" s="5">
        <v>598</v>
      </c>
      <c r="E27" s="61">
        <v>94060</v>
      </c>
      <c r="F27" s="63" t="s">
        <v>81</v>
      </c>
    </row>
    <row r="28" spans="1:6" x14ac:dyDescent="0.45">
      <c r="A28" s="57">
        <v>2022</v>
      </c>
      <c r="B28" s="3" t="s">
        <v>50</v>
      </c>
      <c r="C28" s="3" t="s">
        <v>28</v>
      </c>
      <c r="D28" s="3">
        <v>350</v>
      </c>
      <c r="E28" s="60">
        <v>54051</v>
      </c>
      <c r="F28" s="63" t="s">
        <v>81</v>
      </c>
    </row>
    <row r="29" spans="1:6" x14ac:dyDescent="0.45">
      <c r="A29" s="58">
        <v>2022</v>
      </c>
      <c r="B29" s="5" t="s">
        <v>50</v>
      </c>
      <c r="C29" s="5" t="s">
        <v>29</v>
      </c>
      <c r="D29" s="5">
        <v>999</v>
      </c>
      <c r="E29" s="61">
        <v>50634</v>
      </c>
      <c r="F29" s="63" t="s">
        <v>82</v>
      </c>
    </row>
    <row r="30" spans="1:6" x14ac:dyDescent="0.45">
      <c r="A30" s="57">
        <v>2022</v>
      </c>
      <c r="B30" s="3" t="s">
        <v>50</v>
      </c>
      <c r="C30" s="3" t="s">
        <v>30</v>
      </c>
      <c r="D30" s="4">
        <v>2064</v>
      </c>
      <c r="E30" s="60">
        <v>71885</v>
      </c>
      <c r="F30" s="63" t="s">
        <v>82</v>
      </c>
    </row>
    <row r="31" spans="1:6" x14ac:dyDescent="0.45">
      <c r="A31" s="58">
        <v>2022</v>
      </c>
      <c r="B31" s="5" t="s">
        <v>50</v>
      </c>
      <c r="C31" s="5" t="s">
        <v>31</v>
      </c>
      <c r="D31" s="6">
        <v>3335</v>
      </c>
      <c r="E31" s="61">
        <v>50384</v>
      </c>
      <c r="F31" s="63" t="s">
        <v>81</v>
      </c>
    </row>
    <row r="32" spans="1:6" x14ac:dyDescent="0.45">
      <c r="A32" s="57">
        <v>2022</v>
      </c>
      <c r="B32" s="3" t="s">
        <v>50</v>
      </c>
      <c r="C32" s="3" t="s">
        <v>32</v>
      </c>
      <c r="D32" s="4">
        <v>3428</v>
      </c>
      <c r="E32" s="60">
        <v>48720</v>
      </c>
      <c r="F32" s="63" t="s">
        <v>81</v>
      </c>
    </row>
    <row r="33" spans="1:6" x14ac:dyDescent="0.45">
      <c r="A33" s="58">
        <v>2022</v>
      </c>
      <c r="B33" s="5" t="s">
        <v>50</v>
      </c>
      <c r="C33" s="5" t="s">
        <v>33</v>
      </c>
      <c r="D33" s="6">
        <v>1830</v>
      </c>
      <c r="E33" s="61">
        <v>98355</v>
      </c>
      <c r="F33" s="63" t="s">
        <v>82</v>
      </c>
    </row>
    <row r="34" spans="1:6" x14ac:dyDescent="0.45">
      <c r="A34" s="57">
        <v>2022</v>
      </c>
      <c r="B34" s="3" t="s">
        <v>50</v>
      </c>
      <c r="C34" s="3" t="s">
        <v>34</v>
      </c>
      <c r="D34" s="4">
        <v>2541</v>
      </c>
      <c r="E34" s="60">
        <v>57404</v>
      </c>
      <c r="F34" s="63" t="s">
        <v>81</v>
      </c>
    </row>
    <row r="35" spans="1:6" x14ac:dyDescent="0.45">
      <c r="A35" s="58">
        <v>2022</v>
      </c>
      <c r="B35" s="5" t="s">
        <v>50</v>
      </c>
      <c r="C35" s="5" t="s">
        <v>35</v>
      </c>
      <c r="D35" s="6">
        <v>4355</v>
      </c>
      <c r="E35" s="61">
        <v>96660</v>
      </c>
      <c r="F35" s="63" t="s">
        <v>82</v>
      </c>
    </row>
    <row r="36" spans="1:6" x14ac:dyDescent="0.45">
      <c r="A36" s="57">
        <v>2022</v>
      </c>
      <c r="B36" s="3" t="s">
        <v>50</v>
      </c>
      <c r="C36" s="3" t="s">
        <v>36</v>
      </c>
      <c r="D36" s="4">
        <v>4739</v>
      </c>
      <c r="E36" s="60">
        <v>46689</v>
      </c>
      <c r="F36" s="63" t="s">
        <v>81</v>
      </c>
    </row>
    <row r="37" spans="1:6" x14ac:dyDescent="0.45">
      <c r="A37" s="58">
        <v>2022</v>
      </c>
      <c r="B37" s="5" t="s">
        <v>50</v>
      </c>
      <c r="C37" s="5" t="s">
        <v>37</v>
      </c>
      <c r="D37" s="6">
        <v>3629</v>
      </c>
      <c r="E37" s="61">
        <v>67949</v>
      </c>
      <c r="F37" s="63" t="s">
        <v>81</v>
      </c>
    </row>
    <row r="38" spans="1:6" x14ac:dyDescent="0.45">
      <c r="A38" s="57">
        <v>2022</v>
      </c>
      <c r="B38" s="3" t="s">
        <v>50</v>
      </c>
      <c r="C38" s="3" t="s">
        <v>38</v>
      </c>
      <c r="D38" s="3">
        <v>205</v>
      </c>
      <c r="E38" s="60">
        <v>48071</v>
      </c>
      <c r="F38" s="63" t="s">
        <v>82</v>
      </c>
    </row>
    <row r="39" spans="1:6" x14ac:dyDescent="0.45">
      <c r="A39" s="58">
        <v>2022</v>
      </c>
      <c r="B39" s="5" t="s">
        <v>50</v>
      </c>
      <c r="C39" s="5" t="s">
        <v>39</v>
      </c>
      <c r="D39" s="6">
        <v>1375</v>
      </c>
      <c r="E39" s="61">
        <v>50990</v>
      </c>
      <c r="F39" s="63" t="s">
        <v>82</v>
      </c>
    </row>
    <row r="40" spans="1:6" x14ac:dyDescent="0.45">
      <c r="A40" s="57">
        <v>2022</v>
      </c>
      <c r="B40" s="3" t="s">
        <v>50</v>
      </c>
      <c r="C40" s="3" t="s">
        <v>40</v>
      </c>
      <c r="D40" s="4">
        <v>1099</v>
      </c>
      <c r="E40" s="60">
        <v>51582</v>
      </c>
      <c r="F40" s="63" t="s">
        <v>81</v>
      </c>
    </row>
    <row r="41" spans="1:6" x14ac:dyDescent="0.45">
      <c r="A41" s="58">
        <v>2022</v>
      </c>
      <c r="B41" s="5" t="s">
        <v>50</v>
      </c>
      <c r="C41" s="5" t="s">
        <v>41</v>
      </c>
      <c r="D41" s="6">
        <v>1130</v>
      </c>
      <c r="E41" s="61">
        <v>54930</v>
      </c>
      <c r="F41" s="63" t="s">
        <v>81</v>
      </c>
    </row>
    <row r="42" spans="1:6" x14ac:dyDescent="0.45">
      <c r="A42" s="57">
        <v>2022</v>
      </c>
      <c r="B42" s="3" t="s">
        <v>50</v>
      </c>
      <c r="C42" s="3" t="s">
        <v>42</v>
      </c>
      <c r="D42" s="4">
        <v>19698</v>
      </c>
      <c r="E42" s="60">
        <v>123086</v>
      </c>
      <c r="F42" s="63" t="s">
        <v>82</v>
      </c>
    </row>
    <row r="43" spans="1:6" x14ac:dyDescent="0.45">
      <c r="A43" s="58">
        <v>2022</v>
      </c>
      <c r="B43" s="5" t="s">
        <v>50</v>
      </c>
      <c r="C43" s="5" t="s">
        <v>43</v>
      </c>
      <c r="D43" s="6">
        <v>1066</v>
      </c>
      <c r="E43" s="61">
        <v>71747</v>
      </c>
      <c r="F43" s="63" t="s">
        <v>82</v>
      </c>
    </row>
    <row r="44" spans="1:6" x14ac:dyDescent="0.45">
      <c r="A44" s="57">
        <v>2022</v>
      </c>
      <c r="B44" s="3" t="s">
        <v>50</v>
      </c>
      <c r="C44" s="3" t="s">
        <v>44</v>
      </c>
      <c r="D44" s="3">
        <v>571</v>
      </c>
      <c r="E44" s="60">
        <v>47096</v>
      </c>
      <c r="F44" s="63" t="s">
        <v>82</v>
      </c>
    </row>
    <row r="45" spans="1:6" x14ac:dyDescent="0.45">
      <c r="A45" s="58">
        <v>2022</v>
      </c>
      <c r="B45" s="5" t="s">
        <v>50</v>
      </c>
      <c r="C45" s="5" t="s">
        <v>45</v>
      </c>
      <c r="D45" s="6">
        <v>2073</v>
      </c>
      <c r="E45" s="61">
        <v>54671</v>
      </c>
      <c r="F45" s="63" t="s">
        <v>82</v>
      </c>
    </row>
    <row r="46" spans="1:6" x14ac:dyDescent="0.45">
      <c r="A46" s="57">
        <v>2022</v>
      </c>
      <c r="B46" s="3" t="s">
        <v>50</v>
      </c>
      <c r="C46" s="3" t="s">
        <v>46</v>
      </c>
      <c r="D46" s="4">
        <v>6971</v>
      </c>
      <c r="E46" s="60">
        <v>42964</v>
      </c>
      <c r="F46" s="63" t="s">
        <v>82</v>
      </c>
    </row>
    <row r="47" spans="1:6" x14ac:dyDescent="0.45">
      <c r="A47" s="58">
        <v>2022</v>
      </c>
      <c r="B47" s="5" t="s">
        <v>50</v>
      </c>
      <c r="C47" s="5" t="s">
        <v>47</v>
      </c>
      <c r="D47" s="6">
        <v>1117</v>
      </c>
      <c r="E47" s="61">
        <v>84059</v>
      </c>
      <c r="F47" s="63" t="s">
        <v>81</v>
      </c>
    </row>
    <row r="48" spans="1:6" x14ac:dyDescent="0.45">
      <c r="A48" s="57">
        <v>2022</v>
      </c>
      <c r="B48" s="3" t="s">
        <v>50</v>
      </c>
      <c r="C48" s="3" t="s">
        <v>48</v>
      </c>
      <c r="D48" s="4">
        <v>2872</v>
      </c>
      <c r="E48" s="60">
        <v>47928</v>
      </c>
      <c r="F48" s="63" t="s">
        <v>81</v>
      </c>
    </row>
    <row r="49" spans="1:6" x14ac:dyDescent="0.45">
      <c r="A49" s="58">
        <v>2022</v>
      </c>
      <c r="B49" s="5" t="s">
        <v>50</v>
      </c>
      <c r="C49" s="5" t="s">
        <v>49</v>
      </c>
      <c r="D49" s="6">
        <v>1440</v>
      </c>
      <c r="E49" s="61">
        <v>89063</v>
      </c>
      <c r="F49" s="63" t="s">
        <v>82</v>
      </c>
    </row>
    <row r="50" spans="1:6" x14ac:dyDescent="0.45">
      <c r="A50" s="57">
        <v>2022</v>
      </c>
      <c r="B50" s="3" t="s">
        <v>51</v>
      </c>
      <c r="C50" s="3" t="s">
        <v>2</v>
      </c>
      <c r="D50" s="4">
        <v>10335</v>
      </c>
      <c r="E50" s="60">
        <v>65279</v>
      </c>
      <c r="F50" s="63" t="s">
        <v>81</v>
      </c>
    </row>
    <row r="51" spans="1:6" x14ac:dyDescent="0.45">
      <c r="A51" s="58">
        <v>2022</v>
      </c>
      <c r="B51" s="5" t="s">
        <v>51</v>
      </c>
      <c r="C51" s="5" t="s">
        <v>3</v>
      </c>
      <c r="D51" s="6">
        <v>14006</v>
      </c>
      <c r="E51" s="61">
        <v>69056</v>
      </c>
      <c r="F51" s="63" t="s">
        <v>81</v>
      </c>
    </row>
    <row r="52" spans="1:6" x14ac:dyDescent="0.45">
      <c r="A52" s="57">
        <v>2022</v>
      </c>
      <c r="B52" s="3" t="s">
        <v>51</v>
      </c>
      <c r="C52" s="3" t="s">
        <v>4</v>
      </c>
      <c r="D52" s="4">
        <v>7277</v>
      </c>
      <c r="E52" s="60">
        <v>58247</v>
      </c>
      <c r="F52" s="63" t="s">
        <v>82</v>
      </c>
    </row>
    <row r="53" spans="1:6" x14ac:dyDescent="0.45">
      <c r="A53" s="58">
        <v>2022</v>
      </c>
      <c r="B53" s="5" t="s">
        <v>51</v>
      </c>
      <c r="C53" s="5" t="s">
        <v>5</v>
      </c>
      <c r="D53" s="6">
        <v>86322</v>
      </c>
      <c r="E53" s="61">
        <v>82740</v>
      </c>
      <c r="F53" s="63" t="s">
        <v>82</v>
      </c>
    </row>
    <row r="54" spans="1:6" x14ac:dyDescent="0.45">
      <c r="A54" s="57">
        <v>2022</v>
      </c>
      <c r="B54" s="3" t="s">
        <v>51</v>
      </c>
      <c r="C54" s="3" t="s">
        <v>6</v>
      </c>
      <c r="D54" s="4">
        <v>21025</v>
      </c>
      <c r="E54" s="60">
        <v>74209</v>
      </c>
      <c r="F54" s="63" t="s">
        <v>81</v>
      </c>
    </row>
    <row r="55" spans="1:6" x14ac:dyDescent="0.45">
      <c r="A55" s="58">
        <v>2022</v>
      </c>
      <c r="B55" s="5" t="s">
        <v>51</v>
      </c>
      <c r="C55" s="5" t="s">
        <v>7</v>
      </c>
      <c r="D55" s="6">
        <v>9415</v>
      </c>
      <c r="E55" s="61">
        <v>81591</v>
      </c>
      <c r="F55" s="63" t="s">
        <v>81</v>
      </c>
    </row>
    <row r="56" spans="1:6" x14ac:dyDescent="0.45">
      <c r="A56" s="57">
        <v>2022</v>
      </c>
      <c r="B56" s="3" t="s">
        <v>51</v>
      </c>
      <c r="C56" s="3" t="s">
        <v>8</v>
      </c>
      <c r="D56" s="4">
        <v>3106</v>
      </c>
      <c r="E56" s="60">
        <v>70977</v>
      </c>
      <c r="F56" s="63" t="s">
        <v>82</v>
      </c>
    </row>
    <row r="57" spans="1:6" x14ac:dyDescent="0.45">
      <c r="A57" s="58">
        <v>2022</v>
      </c>
      <c r="B57" s="5" t="s">
        <v>51</v>
      </c>
      <c r="C57" s="5" t="s">
        <v>9</v>
      </c>
      <c r="D57" s="6">
        <v>76308</v>
      </c>
      <c r="E57" s="61">
        <v>61910</v>
      </c>
      <c r="F57" s="63" t="s">
        <v>81</v>
      </c>
    </row>
    <row r="58" spans="1:6" x14ac:dyDescent="0.45">
      <c r="A58" s="57">
        <v>2022</v>
      </c>
      <c r="B58" s="3" t="s">
        <v>51</v>
      </c>
      <c r="C58" s="3" t="s">
        <v>10</v>
      </c>
      <c r="D58" s="4">
        <v>22906</v>
      </c>
      <c r="E58" s="60">
        <v>72214</v>
      </c>
      <c r="F58" s="63" t="s">
        <v>82</v>
      </c>
    </row>
    <row r="59" spans="1:6" x14ac:dyDescent="0.45">
      <c r="A59" s="58">
        <v>2022</v>
      </c>
      <c r="B59" s="5" t="s">
        <v>51</v>
      </c>
      <c r="C59" s="5" t="s">
        <v>11</v>
      </c>
      <c r="D59" s="6">
        <v>9159</v>
      </c>
      <c r="E59" s="61">
        <v>54649</v>
      </c>
      <c r="F59" s="63" t="s">
        <v>81</v>
      </c>
    </row>
    <row r="60" spans="1:6" x14ac:dyDescent="0.45">
      <c r="A60" s="57">
        <v>2022</v>
      </c>
      <c r="B60" s="3" t="s">
        <v>51</v>
      </c>
      <c r="C60" s="3" t="s">
        <v>12</v>
      </c>
      <c r="D60" s="4">
        <v>32538</v>
      </c>
      <c r="E60" s="60">
        <v>82581</v>
      </c>
      <c r="F60" s="63" t="s">
        <v>81</v>
      </c>
    </row>
    <row r="61" spans="1:6" x14ac:dyDescent="0.45">
      <c r="A61" s="58">
        <v>2022</v>
      </c>
      <c r="B61" s="5" t="s">
        <v>51</v>
      </c>
      <c r="C61" s="5" t="s">
        <v>13</v>
      </c>
      <c r="D61" s="6">
        <v>15617</v>
      </c>
      <c r="E61" s="61">
        <v>68619</v>
      </c>
      <c r="F61" s="63" t="s">
        <v>82</v>
      </c>
    </row>
    <row r="62" spans="1:6" x14ac:dyDescent="0.45">
      <c r="A62" s="57">
        <v>2022</v>
      </c>
      <c r="B62" s="3" t="s">
        <v>51</v>
      </c>
      <c r="C62" s="3" t="s">
        <v>14</v>
      </c>
      <c r="D62" s="4">
        <v>9434</v>
      </c>
      <c r="E62" s="60">
        <v>67831</v>
      </c>
      <c r="F62" s="63" t="s">
        <v>82</v>
      </c>
    </row>
    <row r="63" spans="1:6" x14ac:dyDescent="0.45">
      <c r="A63" s="58">
        <v>2022</v>
      </c>
      <c r="B63" s="5" t="s">
        <v>51</v>
      </c>
      <c r="C63" s="5" t="s">
        <v>15</v>
      </c>
      <c r="D63" s="6">
        <v>7355</v>
      </c>
      <c r="E63" s="61">
        <v>65126</v>
      </c>
      <c r="F63" s="63" t="s">
        <v>81</v>
      </c>
    </row>
    <row r="64" spans="1:6" x14ac:dyDescent="0.45">
      <c r="A64" s="57">
        <v>2022</v>
      </c>
      <c r="B64" s="3" t="s">
        <v>51</v>
      </c>
      <c r="C64" s="3" t="s">
        <v>16</v>
      </c>
      <c r="D64" s="4">
        <v>9832</v>
      </c>
      <c r="E64" s="60">
        <v>64484</v>
      </c>
      <c r="F64" s="63" t="s">
        <v>81</v>
      </c>
    </row>
    <row r="65" spans="1:6" x14ac:dyDescent="0.45">
      <c r="A65" s="58">
        <v>2022</v>
      </c>
      <c r="B65" s="5" t="s">
        <v>51</v>
      </c>
      <c r="C65" s="5" t="s">
        <v>17</v>
      </c>
      <c r="D65" s="6">
        <v>11349</v>
      </c>
      <c r="E65" s="61">
        <v>71354</v>
      </c>
      <c r="F65" s="63" t="s">
        <v>82</v>
      </c>
    </row>
    <row r="66" spans="1:6" x14ac:dyDescent="0.45">
      <c r="A66" s="57">
        <v>2022</v>
      </c>
      <c r="B66" s="3" t="s">
        <v>51</v>
      </c>
      <c r="C66" s="3" t="s">
        <v>18</v>
      </c>
      <c r="D66" s="4">
        <v>5732</v>
      </c>
      <c r="E66" s="60">
        <v>61607</v>
      </c>
      <c r="F66" s="63" t="s">
        <v>82</v>
      </c>
    </row>
    <row r="67" spans="1:6" x14ac:dyDescent="0.45">
      <c r="A67" s="58">
        <v>2022</v>
      </c>
      <c r="B67" s="5" t="s">
        <v>51</v>
      </c>
      <c r="C67" s="5" t="s">
        <v>19</v>
      </c>
      <c r="D67" s="6">
        <v>16346</v>
      </c>
      <c r="E67" s="61">
        <v>76642</v>
      </c>
      <c r="F67" s="63" t="s">
        <v>82</v>
      </c>
    </row>
    <row r="68" spans="1:6" x14ac:dyDescent="0.45">
      <c r="A68" s="57">
        <v>2022</v>
      </c>
      <c r="B68" s="3" t="s">
        <v>51</v>
      </c>
      <c r="C68" s="3" t="s">
        <v>20</v>
      </c>
      <c r="D68" s="4">
        <v>21102</v>
      </c>
      <c r="E68" s="60">
        <v>90958</v>
      </c>
      <c r="F68" s="63" t="s">
        <v>82</v>
      </c>
    </row>
    <row r="69" spans="1:6" x14ac:dyDescent="0.45">
      <c r="A69" s="58">
        <v>2022</v>
      </c>
      <c r="B69" s="5" t="s">
        <v>51</v>
      </c>
      <c r="C69" s="5" t="s">
        <v>21</v>
      </c>
      <c r="D69" s="6">
        <v>21646</v>
      </c>
      <c r="E69" s="61">
        <v>73631</v>
      </c>
      <c r="F69" s="63" t="s">
        <v>82</v>
      </c>
    </row>
    <row r="70" spans="1:6" x14ac:dyDescent="0.45">
      <c r="A70" s="57">
        <v>2022</v>
      </c>
      <c r="B70" s="3" t="s">
        <v>51</v>
      </c>
      <c r="C70" s="3" t="s">
        <v>22</v>
      </c>
      <c r="D70" s="4">
        <v>16952</v>
      </c>
      <c r="E70" s="60">
        <v>78942</v>
      </c>
      <c r="F70" s="63" t="s">
        <v>81</v>
      </c>
    </row>
    <row r="71" spans="1:6" x14ac:dyDescent="0.45">
      <c r="A71" s="58">
        <v>2022</v>
      </c>
      <c r="B71" s="5" t="s">
        <v>51</v>
      </c>
      <c r="C71" s="5" t="s">
        <v>23</v>
      </c>
      <c r="D71" s="6">
        <v>5839</v>
      </c>
      <c r="E71" s="61">
        <v>59779</v>
      </c>
      <c r="F71" s="63" t="s">
        <v>81</v>
      </c>
    </row>
    <row r="72" spans="1:6" x14ac:dyDescent="0.45">
      <c r="A72" s="57">
        <v>2022</v>
      </c>
      <c r="B72" s="3" t="s">
        <v>51</v>
      </c>
      <c r="C72" s="3" t="s">
        <v>24</v>
      </c>
      <c r="D72" s="4">
        <v>15735</v>
      </c>
      <c r="E72" s="60">
        <v>70664</v>
      </c>
      <c r="F72" s="63" t="s">
        <v>82</v>
      </c>
    </row>
    <row r="73" spans="1:6" x14ac:dyDescent="0.45">
      <c r="A73" s="58">
        <v>2022</v>
      </c>
      <c r="B73" s="5" t="s">
        <v>51</v>
      </c>
      <c r="C73" s="5" t="s">
        <v>25</v>
      </c>
      <c r="D73" s="6">
        <v>6813</v>
      </c>
      <c r="E73" s="61">
        <v>61897</v>
      </c>
      <c r="F73" s="63" t="s">
        <v>81</v>
      </c>
    </row>
    <row r="74" spans="1:6" x14ac:dyDescent="0.45">
      <c r="A74" s="57">
        <v>2022</v>
      </c>
      <c r="B74" s="3" t="s">
        <v>51</v>
      </c>
      <c r="C74" s="3" t="s">
        <v>26</v>
      </c>
      <c r="D74" s="4">
        <v>7000</v>
      </c>
      <c r="E74" s="60">
        <v>62548</v>
      </c>
      <c r="F74" s="63" t="s">
        <v>81</v>
      </c>
    </row>
    <row r="75" spans="1:6" x14ac:dyDescent="0.45">
      <c r="A75" s="58">
        <v>2022</v>
      </c>
      <c r="B75" s="5" t="s">
        <v>51</v>
      </c>
      <c r="C75" s="5" t="s">
        <v>27</v>
      </c>
      <c r="D75" s="6">
        <v>5757</v>
      </c>
      <c r="E75" s="61">
        <v>73902</v>
      </c>
      <c r="F75" s="63" t="s">
        <v>82</v>
      </c>
    </row>
    <row r="76" spans="1:6" x14ac:dyDescent="0.45">
      <c r="A76" s="57">
        <v>2022</v>
      </c>
      <c r="B76" s="3" t="s">
        <v>51</v>
      </c>
      <c r="C76" s="3" t="s">
        <v>28</v>
      </c>
      <c r="D76" s="4">
        <v>4901</v>
      </c>
      <c r="E76" s="60">
        <v>74870</v>
      </c>
      <c r="F76" s="63" t="s">
        <v>82</v>
      </c>
    </row>
    <row r="77" spans="1:6" x14ac:dyDescent="0.45">
      <c r="A77" s="58">
        <v>2022</v>
      </c>
      <c r="B77" s="5" t="s">
        <v>51</v>
      </c>
      <c r="C77" s="5" t="s">
        <v>29</v>
      </c>
      <c r="D77" s="6">
        <v>22711</v>
      </c>
      <c r="E77" s="61">
        <v>83924</v>
      </c>
      <c r="F77" s="63" t="s">
        <v>81</v>
      </c>
    </row>
    <row r="78" spans="1:6" x14ac:dyDescent="0.45">
      <c r="A78" s="57">
        <v>2022</v>
      </c>
      <c r="B78" s="3" t="s">
        <v>51</v>
      </c>
      <c r="C78" s="3" t="s">
        <v>30</v>
      </c>
      <c r="D78" s="4">
        <v>5485</v>
      </c>
      <c r="E78" s="60">
        <v>59439</v>
      </c>
      <c r="F78" s="63" t="s">
        <v>81</v>
      </c>
    </row>
    <row r="79" spans="1:6" x14ac:dyDescent="0.45">
      <c r="A79" s="58">
        <v>2022</v>
      </c>
      <c r="B79" s="5" t="s">
        <v>51</v>
      </c>
      <c r="C79" s="5" t="s">
        <v>31</v>
      </c>
      <c r="D79" s="6">
        <v>50929</v>
      </c>
      <c r="E79" s="61">
        <v>84199</v>
      </c>
      <c r="F79" s="63" t="s">
        <v>82</v>
      </c>
    </row>
    <row r="80" spans="1:6" x14ac:dyDescent="0.45">
      <c r="A80" s="57">
        <v>2022</v>
      </c>
      <c r="B80" s="3" t="s">
        <v>51</v>
      </c>
      <c r="C80" s="3" t="s">
        <v>32</v>
      </c>
      <c r="D80" s="4">
        <v>29231</v>
      </c>
      <c r="E80" s="60">
        <v>65177</v>
      </c>
      <c r="F80" s="63" t="s">
        <v>81</v>
      </c>
    </row>
    <row r="81" spans="1:6" x14ac:dyDescent="0.45">
      <c r="A81" s="58">
        <v>2022</v>
      </c>
      <c r="B81" s="5" t="s">
        <v>51</v>
      </c>
      <c r="C81" s="5" t="s">
        <v>33</v>
      </c>
      <c r="D81" s="6">
        <v>3669</v>
      </c>
      <c r="E81" s="61">
        <v>72729</v>
      </c>
      <c r="F81" s="63" t="s">
        <v>82</v>
      </c>
    </row>
    <row r="82" spans="1:6" x14ac:dyDescent="0.45">
      <c r="A82" s="57">
        <v>2022</v>
      </c>
      <c r="B82" s="3" t="s">
        <v>51</v>
      </c>
      <c r="C82" s="3" t="s">
        <v>34</v>
      </c>
      <c r="D82" s="4">
        <v>23650</v>
      </c>
      <c r="E82" s="60">
        <v>71104</v>
      </c>
      <c r="F82" s="63" t="s">
        <v>81</v>
      </c>
    </row>
    <row r="83" spans="1:6" x14ac:dyDescent="0.45">
      <c r="A83" s="58">
        <v>2022</v>
      </c>
      <c r="B83" s="5" t="s">
        <v>51</v>
      </c>
      <c r="C83" s="5" t="s">
        <v>35</v>
      </c>
      <c r="D83" s="6">
        <v>9855</v>
      </c>
      <c r="E83" s="61">
        <v>61099</v>
      </c>
      <c r="F83" s="63" t="s">
        <v>81</v>
      </c>
    </row>
    <row r="84" spans="1:6" x14ac:dyDescent="0.45">
      <c r="A84" s="57">
        <v>2022</v>
      </c>
      <c r="B84" s="3" t="s">
        <v>51</v>
      </c>
      <c r="C84" s="3" t="s">
        <v>36</v>
      </c>
      <c r="D84" s="4">
        <v>14899</v>
      </c>
      <c r="E84" s="60">
        <v>72876</v>
      </c>
      <c r="F84" s="63" t="s">
        <v>82</v>
      </c>
    </row>
    <row r="85" spans="1:6" x14ac:dyDescent="0.45">
      <c r="A85" s="58">
        <v>2022</v>
      </c>
      <c r="B85" s="5" t="s">
        <v>51</v>
      </c>
      <c r="C85" s="5" t="s">
        <v>37</v>
      </c>
      <c r="D85" s="6">
        <v>29345</v>
      </c>
      <c r="E85" s="61">
        <v>76639</v>
      </c>
      <c r="F85" s="63" t="s">
        <v>82</v>
      </c>
    </row>
    <row r="86" spans="1:6" x14ac:dyDescent="0.45">
      <c r="A86" s="57">
        <v>2022</v>
      </c>
      <c r="B86" s="3" t="s">
        <v>51</v>
      </c>
      <c r="C86" s="3" t="s">
        <v>38</v>
      </c>
      <c r="D86" s="4">
        <v>3878</v>
      </c>
      <c r="E86" s="60">
        <v>72955</v>
      </c>
      <c r="F86" s="63" t="s">
        <v>81</v>
      </c>
    </row>
    <row r="87" spans="1:6" x14ac:dyDescent="0.45">
      <c r="A87" s="58">
        <v>2022</v>
      </c>
      <c r="B87" s="5" t="s">
        <v>51</v>
      </c>
      <c r="C87" s="5" t="s">
        <v>39</v>
      </c>
      <c r="D87" s="6">
        <v>13348</v>
      </c>
      <c r="E87" s="61">
        <v>63906</v>
      </c>
      <c r="F87" s="63" t="s">
        <v>81</v>
      </c>
    </row>
    <row r="88" spans="1:6" x14ac:dyDescent="0.45">
      <c r="A88" s="57">
        <v>2022</v>
      </c>
      <c r="B88" s="3" t="s">
        <v>51</v>
      </c>
      <c r="C88" s="3" t="s">
        <v>40</v>
      </c>
      <c r="D88" s="4">
        <v>3954</v>
      </c>
      <c r="E88" s="60">
        <v>60005</v>
      </c>
      <c r="F88" s="63" t="s">
        <v>82</v>
      </c>
    </row>
    <row r="89" spans="1:6" x14ac:dyDescent="0.45">
      <c r="A89" s="58">
        <v>2022</v>
      </c>
      <c r="B89" s="5" t="s">
        <v>51</v>
      </c>
      <c r="C89" s="5" t="s">
        <v>41</v>
      </c>
      <c r="D89" s="6">
        <v>12894</v>
      </c>
      <c r="E89" s="61">
        <v>68259</v>
      </c>
      <c r="F89" s="63" t="s">
        <v>82</v>
      </c>
    </row>
    <row r="90" spans="1:6" x14ac:dyDescent="0.45">
      <c r="A90" s="57">
        <v>2022</v>
      </c>
      <c r="B90" s="3" t="s">
        <v>51</v>
      </c>
      <c r="C90" s="3" t="s">
        <v>42</v>
      </c>
      <c r="D90" s="4">
        <v>55014</v>
      </c>
      <c r="E90" s="60">
        <v>74929</v>
      </c>
      <c r="F90" s="63" t="s">
        <v>82</v>
      </c>
    </row>
    <row r="91" spans="1:6" x14ac:dyDescent="0.45">
      <c r="A91" s="58">
        <v>2022</v>
      </c>
      <c r="B91" s="5" t="s">
        <v>51</v>
      </c>
      <c r="C91" s="5" t="s">
        <v>43</v>
      </c>
      <c r="D91" s="6">
        <v>12932</v>
      </c>
      <c r="E91" s="61">
        <v>63474</v>
      </c>
      <c r="F91" s="63" t="s">
        <v>82</v>
      </c>
    </row>
    <row r="92" spans="1:6" x14ac:dyDescent="0.45">
      <c r="A92" s="57">
        <v>2022</v>
      </c>
      <c r="B92" s="3" t="s">
        <v>51</v>
      </c>
      <c r="C92" s="3" t="s">
        <v>44</v>
      </c>
      <c r="D92" s="4">
        <v>2839</v>
      </c>
      <c r="E92" s="60">
        <v>61130</v>
      </c>
      <c r="F92" s="63" t="s">
        <v>82</v>
      </c>
    </row>
    <row r="93" spans="1:6" x14ac:dyDescent="0.45">
      <c r="A93" s="58">
        <v>2022</v>
      </c>
      <c r="B93" s="5" t="s">
        <v>51</v>
      </c>
      <c r="C93" s="5" t="s">
        <v>45</v>
      </c>
      <c r="D93" s="6">
        <v>21412</v>
      </c>
      <c r="E93" s="61">
        <v>69521</v>
      </c>
      <c r="F93" s="63" t="s">
        <v>81</v>
      </c>
    </row>
    <row r="94" spans="1:6" x14ac:dyDescent="0.45">
      <c r="A94" s="57">
        <v>2022</v>
      </c>
      <c r="B94" s="3" t="s">
        <v>51</v>
      </c>
      <c r="C94" s="3" t="s">
        <v>46</v>
      </c>
      <c r="D94" s="4">
        <v>27072</v>
      </c>
      <c r="E94" s="60">
        <v>75827</v>
      </c>
      <c r="F94" s="63" t="s">
        <v>82</v>
      </c>
    </row>
    <row r="95" spans="1:6" x14ac:dyDescent="0.45">
      <c r="A95" s="58">
        <v>2022</v>
      </c>
      <c r="B95" s="5" t="s">
        <v>51</v>
      </c>
      <c r="C95" s="5" t="s">
        <v>47</v>
      </c>
      <c r="D95" s="6">
        <v>4300</v>
      </c>
      <c r="E95" s="61">
        <v>66489</v>
      </c>
      <c r="F95" s="63" t="s">
        <v>82</v>
      </c>
    </row>
    <row r="96" spans="1:6" x14ac:dyDescent="0.45">
      <c r="A96" s="57">
        <v>2022</v>
      </c>
      <c r="B96" s="3" t="s">
        <v>51</v>
      </c>
      <c r="C96" s="3" t="s">
        <v>48</v>
      </c>
      <c r="D96" s="4">
        <v>14760</v>
      </c>
      <c r="E96" s="60">
        <v>72423</v>
      </c>
      <c r="F96" s="63" t="s">
        <v>82</v>
      </c>
    </row>
    <row r="97" spans="1:6" x14ac:dyDescent="0.45">
      <c r="A97" s="58">
        <v>2022</v>
      </c>
      <c r="B97" s="5" t="s">
        <v>51</v>
      </c>
      <c r="C97" s="5" t="s">
        <v>49</v>
      </c>
      <c r="D97" s="6">
        <v>3478</v>
      </c>
      <c r="E97" s="61">
        <v>62640</v>
      </c>
      <c r="F97" s="63" t="s">
        <v>82</v>
      </c>
    </row>
    <row r="98" spans="1:6" x14ac:dyDescent="0.45">
      <c r="A98" s="57">
        <v>2022</v>
      </c>
      <c r="B98" s="3" t="s">
        <v>52</v>
      </c>
      <c r="C98" s="3" t="s">
        <v>2</v>
      </c>
      <c r="D98" s="4">
        <v>5773</v>
      </c>
      <c r="E98" s="60">
        <v>66387</v>
      </c>
      <c r="F98" s="63" t="s">
        <v>81</v>
      </c>
    </row>
    <row r="99" spans="1:6" x14ac:dyDescent="0.45">
      <c r="A99" s="58">
        <v>2022</v>
      </c>
      <c r="B99" s="5" t="s">
        <v>52</v>
      </c>
      <c r="C99" s="5" t="s">
        <v>3</v>
      </c>
      <c r="D99" s="6">
        <v>5213</v>
      </c>
      <c r="E99" s="61">
        <v>88375</v>
      </c>
      <c r="F99" s="63" t="s">
        <v>82</v>
      </c>
    </row>
    <row r="100" spans="1:6" x14ac:dyDescent="0.45">
      <c r="A100" s="57">
        <v>2022</v>
      </c>
      <c r="B100" s="3" t="s">
        <v>52</v>
      </c>
      <c r="C100" s="3" t="s">
        <v>4</v>
      </c>
      <c r="D100" s="4">
        <v>2961</v>
      </c>
      <c r="E100" s="60">
        <v>57570</v>
      </c>
      <c r="F100" s="63" t="s">
        <v>82</v>
      </c>
    </row>
    <row r="101" spans="1:6" x14ac:dyDescent="0.45">
      <c r="A101" s="58">
        <v>2022</v>
      </c>
      <c r="B101" s="5" t="s">
        <v>52</v>
      </c>
      <c r="C101" s="5" t="s">
        <v>5</v>
      </c>
      <c r="D101" s="6">
        <v>44156</v>
      </c>
      <c r="E101" s="61">
        <v>115888</v>
      </c>
      <c r="F101" s="63" t="s">
        <v>82</v>
      </c>
    </row>
    <row r="102" spans="1:6" x14ac:dyDescent="0.45">
      <c r="A102" s="57">
        <v>2022</v>
      </c>
      <c r="B102" s="3" t="s">
        <v>52</v>
      </c>
      <c r="C102" s="3" t="s">
        <v>6</v>
      </c>
      <c r="D102" s="4">
        <v>5888</v>
      </c>
      <c r="E102" s="60">
        <v>83207</v>
      </c>
      <c r="F102" s="63" t="s">
        <v>82</v>
      </c>
    </row>
    <row r="103" spans="1:6" x14ac:dyDescent="0.45">
      <c r="A103" s="58">
        <v>2022</v>
      </c>
      <c r="B103" s="5" t="s">
        <v>52</v>
      </c>
      <c r="C103" s="5" t="s">
        <v>7</v>
      </c>
      <c r="D103" s="6">
        <v>4386</v>
      </c>
      <c r="E103" s="61">
        <v>93706</v>
      </c>
      <c r="F103" s="63" t="s">
        <v>81</v>
      </c>
    </row>
    <row r="104" spans="1:6" x14ac:dyDescent="0.45">
      <c r="A104" s="57">
        <v>2022</v>
      </c>
      <c r="B104" s="3" t="s">
        <v>52</v>
      </c>
      <c r="C104" s="3" t="s">
        <v>8</v>
      </c>
      <c r="D104" s="3">
        <v>678</v>
      </c>
      <c r="E104" s="60">
        <v>74049</v>
      </c>
      <c r="F104" s="63" t="s">
        <v>82</v>
      </c>
    </row>
    <row r="105" spans="1:6" x14ac:dyDescent="0.45">
      <c r="A105" s="58">
        <v>2022</v>
      </c>
      <c r="B105" s="5" t="s">
        <v>52</v>
      </c>
      <c r="C105" s="5" t="s">
        <v>9</v>
      </c>
      <c r="D105" s="6">
        <v>21275</v>
      </c>
      <c r="E105" s="61">
        <v>72758</v>
      </c>
      <c r="F105" s="63" t="s">
        <v>82</v>
      </c>
    </row>
    <row r="106" spans="1:6" x14ac:dyDescent="0.45">
      <c r="A106" s="57">
        <v>2022</v>
      </c>
      <c r="B106" s="3" t="s">
        <v>52</v>
      </c>
      <c r="C106" s="3" t="s">
        <v>10</v>
      </c>
      <c r="D106" s="4">
        <v>10646</v>
      </c>
      <c r="E106" s="60">
        <v>66184</v>
      </c>
      <c r="F106" s="63" t="s">
        <v>82</v>
      </c>
    </row>
    <row r="107" spans="1:6" x14ac:dyDescent="0.45">
      <c r="A107" s="58">
        <v>2022</v>
      </c>
      <c r="B107" s="5" t="s">
        <v>52</v>
      </c>
      <c r="C107" s="5" t="s">
        <v>11</v>
      </c>
      <c r="D107" s="6">
        <v>2886</v>
      </c>
      <c r="E107" s="61">
        <v>71603</v>
      </c>
      <c r="F107" s="63" t="s">
        <v>82</v>
      </c>
    </row>
    <row r="108" spans="1:6" x14ac:dyDescent="0.45">
      <c r="A108" s="57">
        <v>2022</v>
      </c>
      <c r="B108" s="3" t="s">
        <v>52</v>
      </c>
      <c r="C108" s="3" t="s">
        <v>12</v>
      </c>
      <c r="D108" s="4">
        <v>18033</v>
      </c>
      <c r="E108" s="60">
        <v>80855</v>
      </c>
      <c r="F108" s="63" t="s">
        <v>81</v>
      </c>
    </row>
    <row r="109" spans="1:6" x14ac:dyDescent="0.45">
      <c r="A109" s="58">
        <v>2022</v>
      </c>
      <c r="B109" s="5" t="s">
        <v>52</v>
      </c>
      <c r="C109" s="5" t="s">
        <v>13</v>
      </c>
      <c r="D109" s="6">
        <v>9255</v>
      </c>
      <c r="E109" s="61">
        <v>71092</v>
      </c>
      <c r="F109" s="63" t="s">
        <v>82</v>
      </c>
    </row>
    <row r="110" spans="1:6" x14ac:dyDescent="0.45">
      <c r="A110" s="57">
        <v>2022</v>
      </c>
      <c r="B110" s="3" t="s">
        <v>52</v>
      </c>
      <c r="C110" s="3" t="s">
        <v>14</v>
      </c>
      <c r="D110" s="4">
        <v>4099</v>
      </c>
      <c r="E110" s="60">
        <v>69103</v>
      </c>
      <c r="F110" s="63" t="s">
        <v>82</v>
      </c>
    </row>
    <row r="111" spans="1:6" x14ac:dyDescent="0.45">
      <c r="A111" s="58">
        <v>2022</v>
      </c>
      <c r="B111" s="5" t="s">
        <v>52</v>
      </c>
      <c r="C111" s="5" t="s">
        <v>15</v>
      </c>
      <c r="D111" s="6">
        <v>3109</v>
      </c>
      <c r="E111" s="61">
        <v>68958</v>
      </c>
      <c r="F111" s="63" t="s">
        <v>82</v>
      </c>
    </row>
    <row r="112" spans="1:6" x14ac:dyDescent="0.45">
      <c r="A112" s="57">
        <v>2022</v>
      </c>
      <c r="B112" s="3" t="s">
        <v>52</v>
      </c>
      <c r="C112" s="3" t="s">
        <v>16</v>
      </c>
      <c r="D112" s="4">
        <v>4978</v>
      </c>
      <c r="E112" s="60">
        <v>68902</v>
      </c>
      <c r="F112" s="63" t="s">
        <v>82</v>
      </c>
    </row>
    <row r="113" spans="1:6" x14ac:dyDescent="0.45">
      <c r="A113" s="58">
        <v>2022</v>
      </c>
      <c r="B113" s="5" t="s">
        <v>52</v>
      </c>
      <c r="C113" s="5" t="s">
        <v>17</v>
      </c>
      <c r="D113" s="6">
        <v>4501</v>
      </c>
      <c r="E113" s="61">
        <v>84183</v>
      </c>
      <c r="F113" s="63" t="s">
        <v>82</v>
      </c>
    </row>
    <row r="114" spans="1:6" x14ac:dyDescent="0.45">
      <c r="A114" s="57">
        <v>2022</v>
      </c>
      <c r="B114" s="3" t="s">
        <v>52</v>
      </c>
      <c r="C114" s="3" t="s">
        <v>18</v>
      </c>
      <c r="D114" s="4">
        <v>1863</v>
      </c>
      <c r="E114" s="60">
        <v>67682</v>
      </c>
      <c r="F114" s="63" t="s">
        <v>82</v>
      </c>
    </row>
    <row r="115" spans="1:6" x14ac:dyDescent="0.45">
      <c r="A115" s="58">
        <v>2022</v>
      </c>
      <c r="B115" s="5" t="s">
        <v>52</v>
      </c>
      <c r="C115" s="5" t="s">
        <v>19</v>
      </c>
      <c r="D115" s="6">
        <v>4168</v>
      </c>
      <c r="E115" s="61">
        <v>91426</v>
      </c>
      <c r="F115" s="63" t="s">
        <v>82</v>
      </c>
    </row>
    <row r="116" spans="1:6" x14ac:dyDescent="0.45">
      <c r="A116" s="57">
        <v>2022</v>
      </c>
      <c r="B116" s="3" t="s">
        <v>52</v>
      </c>
      <c r="C116" s="3" t="s">
        <v>20</v>
      </c>
      <c r="D116" s="4">
        <v>6616</v>
      </c>
      <c r="E116" s="60">
        <v>102190</v>
      </c>
      <c r="F116" s="63" t="s">
        <v>81</v>
      </c>
    </row>
    <row r="117" spans="1:6" x14ac:dyDescent="0.45">
      <c r="A117" s="58">
        <v>2022</v>
      </c>
      <c r="B117" s="5" t="s">
        <v>52</v>
      </c>
      <c r="C117" s="5" t="s">
        <v>21</v>
      </c>
      <c r="D117" s="6">
        <v>17437</v>
      </c>
      <c r="E117" s="61">
        <v>76769</v>
      </c>
      <c r="F117" s="63" t="s">
        <v>81</v>
      </c>
    </row>
    <row r="118" spans="1:6" x14ac:dyDescent="0.45">
      <c r="A118" s="57">
        <v>2022</v>
      </c>
      <c r="B118" s="3" t="s">
        <v>52</v>
      </c>
      <c r="C118" s="3" t="s">
        <v>22</v>
      </c>
      <c r="D118" s="4">
        <v>8284</v>
      </c>
      <c r="E118" s="60">
        <v>76870</v>
      </c>
      <c r="F118" s="63" t="s">
        <v>82</v>
      </c>
    </row>
    <row r="119" spans="1:6" x14ac:dyDescent="0.45">
      <c r="A119" s="58">
        <v>2022</v>
      </c>
      <c r="B119" s="5" t="s">
        <v>52</v>
      </c>
      <c r="C119" s="5" t="s">
        <v>23</v>
      </c>
      <c r="D119" s="6">
        <v>2375</v>
      </c>
      <c r="E119" s="61">
        <v>57918</v>
      </c>
      <c r="F119" s="63" t="s">
        <v>81</v>
      </c>
    </row>
    <row r="120" spans="1:6" x14ac:dyDescent="0.45">
      <c r="A120" s="57">
        <v>2022</v>
      </c>
      <c r="B120" s="3" t="s">
        <v>52</v>
      </c>
      <c r="C120" s="3" t="s">
        <v>24</v>
      </c>
      <c r="D120" s="4">
        <v>6859</v>
      </c>
      <c r="E120" s="60">
        <v>67836</v>
      </c>
      <c r="F120" s="63" t="s">
        <v>81</v>
      </c>
    </row>
    <row r="121" spans="1:6" x14ac:dyDescent="0.45">
      <c r="A121" s="58">
        <v>2022</v>
      </c>
      <c r="B121" s="5" t="s">
        <v>52</v>
      </c>
      <c r="C121" s="5" t="s">
        <v>25</v>
      </c>
      <c r="D121" s="6">
        <v>1672</v>
      </c>
      <c r="E121" s="61">
        <v>60178</v>
      </c>
      <c r="F121" s="63" t="s">
        <v>82</v>
      </c>
    </row>
    <row r="122" spans="1:6" x14ac:dyDescent="0.45">
      <c r="A122" s="57">
        <v>2022</v>
      </c>
      <c r="B122" s="3" t="s">
        <v>52</v>
      </c>
      <c r="C122" s="3" t="s">
        <v>26</v>
      </c>
      <c r="D122" s="4">
        <v>1949</v>
      </c>
      <c r="E122" s="60">
        <v>62492</v>
      </c>
      <c r="F122" s="63" t="s">
        <v>82</v>
      </c>
    </row>
    <row r="123" spans="1:6" x14ac:dyDescent="0.45">
      <c r="A123" s="58">
        <v>2022</v>
      </c>
      <c r="B123" s="5" t="s">
        <v>52</v>
      </c>
      <c r="C123" s="5" t="s">
        <v>27</v>
      </c>
      <c r="D123" s="6">
        <v>2054</v>
      </c>
      <c r="E123" s="61">
        <v>72821</v>
      </c>
      <c r="F123" s="63" t="s">
        <v>81</v>
      </c>
    </row>
    <row r="124" spans="1:6" x14ac:dyDescent="0.45">
      <c r="A124" s="57">
        <v>2022</v>
      </c>
      <c r="B124" s="3" t="s">
        <v>52</v>
      </c>
      <c r="C124" s="3" t="s">
        <v>28</v>
      </c>
      <c r="D124" s="4">
        <v>2001</v>
      </c>
      <c r="E124" s="60">
        <v>83769</v>
      </c>
      <c r="F124" s="63" t="s">
        <v>81</v>
      </c>
    </row>
    <row r="125" spans="1:6" x14ac:dyDescent="0.45">
      <c r="A125" s="58">
        <v>2022</v>
      </c>
      <c r="B125" s="5" t="s">
        <v>52</v>
      </c>
      <c r="C125" s="5" t="s">
        <v>29</v>
      </c>
      <c r="D125" s="6">
        <v>8964</v>
      </c>
      <c r="E125" s="61">
        <v>92277</v>
      </c>
      <c r="F125" s="63" t="s">
        <v>82</v>
      </c>
    </row>
    <row r="126" spans="1:6" x14ac:dyDescent="0.45">
      <c r="A126" s="57">
        <v>2022</v>
      </c>
      <c r="B126" s="3" t="s">
        <v>52</v>
      </c>
      <c r="C126" s="3" t="s">
        <v>30</v>
      </c>
      <c r="D126" s="4">
        <v>1776</v>
      </c>
      <c r="E126" s="60">
        <v>64794</v>
      </c>
      <c r="F126" s="63" t="s">
        <v>81</v>
      </c>
    </row>
    <row r="127" spans="1:6" x14ac:dyDescent="0.45">
      <c r="A127" s="58">
        <v>2022</v>
      </c>
      <c r="B127" s="5" t="s">
        <v>52</v>
      </c>
      <c r="C127" s="5" t="s">
        <v>31</v>
      </c>
      <c r="D127" s="6">
        <v>16292</v>
      </c>
      <c r="E127" s="61">
        <v>79103</v>
      </c>
      <c r="F127" s="63" t="s">
        <v>82</v>
      </c>
    </row>
    <row r="128" spans="1:6" x14ac:dyDescent="0.45">
      <c r="A128" s="57">
        <v>2022</v>
      </c>
      <c r="B128" s="3" t="s">
        <v>52</v>
      </c>
      <c r="C128" s="3" t="s">
        <v>32</v>
      </c>
      <c r="D128" s="4">
        <v>10303</v>
      </c>
      <c r="E128" s="60">
        <v>69281</v>
      </c>
      <c r="F128" s="63" t="s">
        <v>81</v>
      </c>
    </row>
    <row r="129" spans="1:6" x14ac:dyDescent="0.45">
      <c r="A129" s="58">
        <v>2022</v>
      </c>
      <c r="B129" s="5" t="s">
        <v>52</v>
      </c>
      <c r="C129" s="5" t="s">
        <v>33</v>
      </c>
      <c r="D129" s="5">
        <v>799</v>
      </c>
      <c r="E129" s="61">
        <v>63695</v>
      </c>
      <c r="F129" s="63" t="s">
        <v>81</v>
      </c>
    </row>
    <row r="130" spans="1:6" x14ac:dyDescent="0.45">
      <c r="A130" s="57">
        <v>2022</v>
      </c>
      <c r="B130" s="3" t="s">
        <v>52</v>
      </c>
      <c r="C130" s="3" t="s">
        <v>34</v>
      </c>
      <c r="D130" s="4">
        <v>15453</v>
      </c>
      <c r="E130" s="60">
        <v>70995</v>
      </c>
      <c r="F130" s="63" t="s">
        <v>82</v>
      </c>
    </row>
    <row r="131" spans="1:6" x14ac:dyDescent="0.45">
      <c r="A131" s="58">
        <v>2022</v>
      </c>
      <c r="B131" s="5" t="s">
        <v>52</v>
      </c>
      <c r="C131" s="5" t="s">
        <v>35</v>
      </c>
      <c r="D131" s="6">
        <v>4178</v>
      </c>
      <c r="E131" s="61">
        <v>66915</v>
      </c>
      <c r="F131" s="63" t="s">
        <v>82</v>
      </c>
    </row>
    <row r="132" spans="1:6" x14ac:dyDescent="0.45">
      <c r="A132" s="57">
        <v>2022</v>
      </c>
      <c r="B132" s="3" t="s">
        <v>52</v>
      </c>
      <c r="C132" s="3" t="s">
        <v>36</v>
      </c>
      <c r="D132" s="4">
        <v>6354</v>
      </c>
      <c r="E132" s="60">
        <v>80927</v>
      </c>
      <c r="F132" s="63" t="s">
        <v>81</v>
      </c>
    </row>
    <row r="133" spans="1:6" x14ac:dyDescent="0.45">
      <c r="A133" s="58">
        <v>2022</v>
      </c>
      <c r="B133" s="5" t="s">
        <v>52</v>
      </c>
      <c r="C133" s="5" t="s">
        <v>37</v>
      </c>
      <c r="D133" s="6">
        <v>14363</v>
      </c>
      <c r="E133" s="61">
        <v>72931</v>
      </c>
      <c r="F133" s="63" t="s">
        <v>81</v>
      </c>
    </row>
    <row r="134" spans="1:6" x14ac:dyDescent="0.45">
      <c r="A134" s="57">
        <v>2022</v>
      </c>
      <c r="B134" s="3" t="s">
        <v>52</v>
      </c>
      <c r="C134" s="3" t="s">
        <v>38</v>
      </c>
      <c r="D134" s="4">
        <v>1516</v>
      </c>
      <c r="E134" s="60">
        <v>69645</v>
      </c>
      <c r="F134" s="63" t="s">
        <v>82</v>
      </c>
    </row>
    <row r="135" spans="1:6" x14ac:dyDescent="0.45">
      <c r="A135" s="58">
        <v>2022</v>
      </c>
      <c r="B135" s="5" t="s">
        <v>52</v>
      </c>
      <c r="C135" s="5" t="s">
        <v>39</v>
      </c>
      <c r="D135" s="6">
        <v>6655</v>
      </c>
      <c r="E135" s="61">
        <v>67779</v>
      </c>
      <c r="F135" s="63" t="s">
        <v>82</v>
      </c>
    </row>
    <row r="136" spans="1:6" x14ac:dyDescent="0.45">
      <c r="A136" s="57">
        <v>2022</v>
      </c>
      <c r="B136" s="3" t="s">
        <v>52</v>
      </c>
      <c r="C136" s="3" t="s">
        <v>40</v>
      </c>
      <c r="D136" s="4">
        <v>1072</v>
      </c>
      <c r="E136" s="60">
        <v>59285</v>
      </c>
      <c r="F136" s="63" t="s">
        <v>82</v>
      </c>
    </row>
    <row r="137" spans="1:6" x14ac:dyDescent="0.45">
      <c r="A137" s="58">
        <v>2022</v>
      </c>
      <c r="B137" s="5" t="s">
        <v>52</v>
      </c>
      <c r="C137" s="5" t="s">
        <v>41</v>
      </c>
      <c r="D137" s="6">
        <v>7620</v>
      </c>
      <c r="E137" s="61">
        <v>69122</v>
      </c>
      <c r="F137" s="63" t="s">
        <v>82</v>
      </c>
    </row>
    <row r="138" spans="1:6" x14ac:dyDescent="0.45">
      <c r="A138" s="57">
        <v>2022</v>
      </c>
      <c r="B138" s="3" t="s">
        <v>52</v>
      </c>
      <c r="C138" s="3" t="s">
        <v>42</v>
      </c>
      <c r="D138" s="4">
        <v>26257</v>
      </c>
      <c r="E138" s="60">
        <v>87206</v>
      </c>
      <c r="F138" s="63" t="s">
        <v>82</v>
      </c>
    </row>
    <row r="139" spans="1:6" x14ac:dyDescent="0.45">
      <c r="A139" s="58">
        <v>2022</v>
      </c>
      <c r="B139" s="5" t="s">
        <v>52</v>
      </c>
      <c r="C139" s="5" t="s">
        <v>43</v>
      </c>
      <c r="D139" s="6">
        <v>4616</v>
      </c>
      <c r="E139" s="61">
        <v>67796</v>
      </c>
      <c r="F139" s="63" t="s">
        <v>81</v>
      </c>
    </row>
    <row r="140" spans="1:6" x14ac:dyDescent="0.45">
      <c r="A140" s="57">
        <v>2022</v>
      </c>
      <c r="B140" s="3" t="s">
        <v>52</v>
      </c>
      <c r="C140" s="3" t="s">
        <v>44</v>
      </c>
      <c r="D140" s="4">
        <v>1107</v>
      </c>
      <c r="E140" s="60">
        <v>68352</v>
      </c>
      <c r="F140" s="63" t="s">
        <v>81</v>
      </c>
    </row>
    <row r="141" spans="1:6" x14ac:dyDescent="0.45">
      <c r="A141" s="58">
        <v>2022</v>
      </c>
      <c r="B141" s="5" t="s">
        <v>52</v>
      </c>
      <c r="C141" s="5" t="s">
        <v>45</v>
      </c>
      <c r="D141" s="6">
        <v>7023</v>
      </c>
      <c r="E141" s="61">
        <v>69958</v>
      </c>
      <c r="F141" s="63" t="s">
        <v>82</v>
      </c>
    </row>
    <row r="142" spans="1:6" x14ac:dyDescent="0.45">
      <c r="A142" s="57">
        <v>2022</v>
      </c>
      <c r="B142" s="3" t="s">
        <v>52</v>
      </c>
      <c r="C142" s="3" t="s">
        <v>46</v>
      </c>
      <c r="D142" s="4">
        <v>7882</v>
      </c>
      <c r="E142" s="60">
        <v>88000</v>
      </c>
      <c r="F142" s="63" t="s">
        <v>81</v>
      </c>
    </row>
    <row r="143" spans="1:6" x14ac:dyDescent="0.45">
      <c r="A143" s="58">
        <v>2022</v>
      </c>
      <c r="B143" s="5" t="s">
        <v>52</v>
      </c>
      <c r="C143" s="5" t="s">
        <v>47</v>
      </c>
      <c r="D143" s="6">
        <v>1261</v>
      </c>
      <c r="E143" s="61">
        <v>68359</v>
      </c>
      <c r="F143" s="63" t="s">
        <v>81</v>
      </c>
    </row>
    <row r="144" spans="1:6" x14ac:dyDescent="0.45">
      <c r="A144" s="57">
        <v>2022</v>
      </c>
      <c r="B144" s="3" t="s">
        <v>52</v>
      </c>
      <c r="C144" s="3" t="s">
        <v>48</v>
      </c>
      <c r="D144" s="4">
        <v>9214</v>
      </c>
      <c r="E144" s="60">
        <v>67039</v>
      </c>
      <c r="F144" s="63" t="s">
        <v>82</v>
      </c>
    </row>
    <row r="145" spans="1:6" x14ac:dyDescent="0.45">
      <c r="A145" s="58">
        <v>2022</v>
      </c>
      <c r="B145" s="5" t="s">
        <v>52</v>
      </c>
      <c r="C145" s="5" t="s">
        <v>49</v>
      </c>
      <c r="D145" s="5">
        <v>620</v>
      </c>
      <c r="E145" s="61">
        <v>76308</v>
      </c>
      <c r="F145" s="63" t="s">
        <v>82</v>
      </c>
    </row>
    <row r="146" spans="1:6" x14ac:dyDescent="0.45">
      <c r="A146" s="57">
        <v>2022</v>
      </c>
      <c r="B146" s="3" t="s">
        <v>53</v>
      </c>
      <c r="C146" s="3" t="s">
        <v>2</v>
      </c>
      <c r="D146" s="4">
        <v>32424</v>
      </c>
      <c r="E146" s="60">
        <v>51853</v>
      </c>
      <c r="F146" s="63" t="s">
        <v>81</v>
      </c>
    </row>
    <row r="147" spans="1:6" x14ac:dyDescent="0.45">
      <c r="A147" s="58">
        <v>2022</v>
      </c>
      <c r="B147" s="5" t="s">
        <v>53</v>
      </c>
      <c r="C147" s="5" t="s">
        <v>3</v>
      </c>
      <c r="D147" s="6">
        <v>33859</v>
      </c>
      <c r="E147" s="61">
        <v>57498</v>
      </c>
      <c r="F147" s="63" t="s">
        <v>81</v>
      </c>
    </row>
    <row r="148" spans="1:6" x14ac:dyDescent="0.45">
      <c r="A148" s="57">
        <v>2022</v>
      </c>
      <c r="B148" s="3" t="s">
        <v>53</v>
      </c>
      <c r="C148" s="3" t="s">
        <v>4</v>
      </c>
      <c r="D148" s="4">
        <v>21836</v>
      </c>
      <c r="E148" s="60">
        <v>51673</v>
      </c>
      <c r="F148" s="63" t="s">
        <v>82</v>
      </c>
    </row>
    <row r="149" spans="1:6" x14ac:dyDescent="0.45">
      <c r="A149" s="58">
        <v>2022</v>
      </c>
      <c r="B149" s="5" t="s">
        <v>53</v>
      </c>
      <c r="C149" s="5" t="s">
        <v>5</v>
      </c>
      <c r="D149" s="6">
        <v>200632</v>
      </c>
      <c r="E149" s="61">
        <v>64800</v>
      </c>
      <c r="F149" s="63" t="s">
        <v>81</v>
      </c>
    </row>
    <row r="150" spans="1:6" x14ac:dyDescent="0.45">
      <c r="A150" s="57">
        <v>2022</v>
      </c>
      <c r="B150" s="3" t="s">
        <v>53</v>
      </c>
      <c r="C150" s="3" t="s">
        <v>6</v>
      </c>
      <c r="D150" s="4">
        <v>36421</v>
      </c>
      <c r="E150" s="60">
        <v>61719</v>
      </c>
      <c r="F150" s="63" t="s">
        <v>82</v>
      </c>
    </row>
    <row r="151" spans="1:6" x14ac:dyDescent="0.45">
      <c r="A151" s="58">
        <v>2022</v>
      </c>
      <c r="B151" s="5" t="s">
        <v>53</v>
      </c>
      <c r="C151" s="5" t="s">
        <v>7</v>
      </c>
      <c r="D151" s="6">
        <v>24725</v>
      </c>
      <c r="E151" s="61">
        <v>61859</v>
      </c>
      <c r="F151" s="63" t="s">
        <v>81</v>
      </c>
    </row>
    <row r="152" spans="1:6" x14ac:dyDescent="0.45">
      <c r="A152" s="57">
        <v>2022</v>
      </c>
      <c r="B152" s="3" t="s">
        <v>53</v>
      </c>
      <c r="C152" s="3" t="s">
        <v>8</v>
      </c>
      <c r="D152" s="4">
        <v>7050</v>
      </c>
      <c r="E152" s="60">
        <v>51667</v>
      </c>
      <c r="F152" s="63" t="s">
        <v>81</v>
      </c>
    </row>
    <row r="153" spans="1:6" x14ac:dyDescent="0.45">
      <c r="A153" s="58">
        <v>2022</v>
      </c>
      <c r="B153" s="5" t="s">
        <v>53</v>
      </c>
      <c r="C153" s="5" t="s">
        <v>9</v>
      </c>
      <c r="D153" s="6">
        <v>142700</v>
      </c>
      <c r="E153" s="61">
        <v>55391</v>
      </c>
      <c r="F153" s="63" t="s">
        <v>82</v>
      </c>
    </row>
    <row r="154" spans="1:6" x14ac:dyDescent="0.45">
      <c r="A154" s="57">
        <v>2022</v>
      </c>
      <c r="B154" s="3" t="s">
        <v>53</v>
      </c>
      <c r="C154" s="3" t="s">
        <v>10</v>
      </c>
      <c r="D154" s="4">
        <v>64380</v>
      </c>
      <c r="E154" s="60">
        <v>58104</v>
      </c>
      <c r="F154" s="63" t="s">
        <v>82</v>
      </c>
    </row>
    <row r="155" spans="1:6" x14ac:dyDescent="0.45">
      <c r="A155" s="58">
        <v>2022</v>
      </c>
      <c r="B155" s="5" t="s">
        <v>53</v>
      </c>
      <c r="C155" s="5" t="s">
        <v>11</v>
      </c>
      <c r="D155" s="6">
        <v>12742</v>
      </c>
      <c r="E155" s="61">
        <v>50610</v>
      </c>
      <c r="F155" s="63" t="s">
        <v>81</v>
      </c>
    </row>
    <row r="156" spans="1:6" x14ac:dyDescent="0.45">
      <c r="A156" s="57">
        <v>2022</v>
      </c>
      <c r="B156" s="3" t="s">
        <v>53</v>
      </c>
      <c r="C156" s="3" t="s">
        <v>12</v>
      </c>
      <c r="D156" s="4">
        <v>78196</v>
      </c>
      <c r="E156" s="60">
        <v>61780</v>
      </c>
      <c r="F156" s="63" t="s">
        <v>81</v>
      </c>
    </row>
    <row r="157" spans="1:6" x14ac:dyDescent="0.45">
      <c r="A157" s="58">
        <v>2022</v>
      </c>
      <c r="B157" s="5" t="s">
        <v>53</v>
      </c>
      <c r="C157" s="5" t="s">
        <v>13</v>
      </c>
      <c r="D157" s="6">
        <v>40846</v>
      </c>
      <c r="E157" s="61">
        <v>51931</v>
      </c>
      <c r="F157" s="63" t="s">
        <v>82</v>
      </c>
    </row>
    <row r="158" spans="1:6" x14ac:dyDescent="0.45">
      <c r="A158" s="57">
        <v>2022</v>
      </c>
      <c r="B158" s="3" t="s">
        <v>53</v>
      </c>
      <c r="C158" s="3" t="s">
        <v>14</v>
      </c>
      <c r="D158" s="4">
        <v>23479</v>
      </c>
      <c r="E158" s="60">
        <v>50146</v>
      </c>
      <c r="F158" s="63" t="s">
        <v>82</v>
      </c>
    </row>
    <row r="159" spans="1:6" x14ac:dyDescent="0.45">
      <c r="A159" s="58">
        <v>2022</v>
      </c>
      <c r="B159" s="5" t="s">
        <v>53</v>
      </c>
      <c r="C159" s="5" t="s">
        <v>15</v>
      </c>
      <c r="D159" s="6">
        <v>19497</v>
      </c>
      <c r="E159" s="61">
        <v>52012</v>
      </c>
      <c r="F159" s="63" t="s">
        <v>82</v>
      </c>
    </row>
    <row r="160" spans="1:6" x14ac:dyDescent="0.45">
      <c r="A160" s="57">
        <v>2022</v>
      </c>
      <c r="B160" s="3" t="s">
        <v>53</v>
      </c>
      <c r="C160" s="3" t="s">
        <v>16</v>
      </c>
      <c r="D160" s="4">
        <v>28266</v>
      </c>
      <c r="E160" s="60">
        <v>52839</v>
      </c>
      <c r="F160" s="63" t="s">
        <v>82</v>
      </c>
    </row>
    <row r="161" spans="1:6" x14ac:dyDescent="0.45">
      <c r="A161" s="58">
        <v>2022</v>
      </c>
      <c r="B161" s="5" t="s">
        <v>53</v>
      </c>
      <c r="C161" s="5" t="s">
        <v>17</v>
      </c>
      <c r="D161" s="6">
        <v>31210</v>
      </c>
      <c r="E161" s="61">
        <v>52029</v>
      </c>
      <c r="F161" s="63" t="s">
        <v>82</v>
      </c>
    </row>
    <row r="162" spans="1:6" x14ac:dyDescent="0.45">
      <c r="A162" s="57">
        <v>2022</v>
      </c>
      <c r="B162" s="3" t="s">
        <v>53</v>
      </c>
      <c r="C162" s="3" t="s">
        <v>18</v>
      </c>
      <c r="D162" s="4">
        <v>10546</v>
      </c>
      <c r="E162" s="60">
        <v>49084</v>
      </c>
      <c r="F162" s="63" t="s">
        <v>81</v>
      </c>
    </row>
    <row r="163" spans="1:6" x14ac:dyDescent="0.45">
      <c r="A163" s="58">
        <v>2022</v>
      </c>
      <c r="B163" s="5" t="s">
        <v>53</v>
      </c>
      <c r="C163" s="5" t="s">
        <v>19</v>
      </c>
      <c r="D163" s="6">
        <v>31685</v>
      </c>
      <c r="E163" s="61">
        <v>56800</v>
      </c>
      <c r="F163" s="63" t="s">
        <v>81</v>
      </c>
    </row>
    <row r="164" spans="1:6" x14ac:dyDescent="0.45">
      <c r="A164" s="57">
        <v>2022</v>
      </c>
      <c r="B164" s="3" t="s">
        <v>53</v>
      </c>
      <c r="C164" s="3" t="s">
        <v>20</v>
      </c>
      <c r="D164" s="4">
        <v>40751</v>
      </c>
      <c r="E164" s="60">
        <v>67082</v>
      </c>
      <c r="F164" s="63" t="s">
        <v>82</v>
      </c>
    </row>
    <row r="165" spans="1:6" x14ac:dyDescent="0.45">
      <c r="A165" s="58">
        <v>2022</v>
      </c>
      <c r="B165" s="5" t="s">
        <v>53</v>
      </c>
      <c r="C165" s="5" t="s">
        <v>21</v>
      </c>
      <c r="D165" s="6">
        <v>55149</v>
      </c>
      <c r="E165" s="61">
        <v>57869</v>
      </c>
      <c r="F165" s="63" t="s">
        <v>81</v>
      </c>
    </row>
    <row r="166" spans="1:6" x14ac:dyDescent="0.45">
      <c r="A166" s="57">
        <v>2022</v>
      </c>
      <c r="B166" s="3" t="s">
        <v>53</v>
      </c>
      <c r="C166" s="3" t="s">
        <v>22</v>
      </c>
      <c r="D166" s="4">
        <v>37255</v>
      </c>
      <c r="E166" s="60">
        <v>59843</v>
      </c>
      <c r="F166" s="63" t="s">
        <v>81</v>
      </c>
    </row>
    <row r="167" spans="1:6" x14ac:dyDescent="0.45">
      <c r="A167" s="58">
        <v>2022</v>
      </c>
      <c r="B167" s="5" t="s">
        <v>53</v>
      </c>
      <c r="C167" s="5" t="s">
        <v>23</v>
      </c>
      <c r="D167" s="6">
        <v>19589</v>
      </c>
      <c r="E167" s="61">
        <v>46176</v>
      </c>
      <c r="F167" s="63" t="s">
        <v>82</v>
      </c>
    </row>
    <row r="168" spans="1:6" x14ac:dyDescent="0.45">
      <c r="A168" s="57">
        <v>2022</v>
      </c>
      <c r="B168" s="3" t="s">
        <v>53</v>
      </c>
      <c r="C168" s="3" t="s">
        <v>24</v>
      </c>
      <c r="D168" s="4">
        <v>39646</v>
      </c>
      <c r="E168" s="60">
        <v>52520</v>
      </c>
      <c r="F168" s="63" t="s">
        <v>82</v>
      </c>
    </row>
    <row r="169" spans="1:6" x14ac:dyDescent="0.45">
      <c r="A169" s="58">
        <v>2022</v>
      </c>
      <c r="B169" s="5" t="s">
        <v>53</v>
      </c>
      <c r="C169" s="5" t="s">
        <v>25</v>
      </c>
      <c r="D169" s="6">
        <v>9323</v>
      </c>
      <c r="E169" s="61">
        <v>49996</v>
      </c>
      <c r="F169" s="63" t="s">
        <v>81</v>
      </c>
    </row>
    <row r="170" spans="1:6" x14ac:dyDescent="0.45">
      <c r="A170" s="57">
        <v>2022</v>
      </c>
      <c r="B170" s="3" t="s">
        <v>53</v>
      </c>
      <c r="C170" s="3" t="s">
        <v>26</v>
      </c>
      <c r="D170" s="4">
        <v>14748</v>
      </c>
      <c r="E170" s="60">
        <v>50095</v>
      </c>
      <c r="F170" s="63" t="s">
        <v>81</v>
      </c>
    </row>
    <row r="171" spans="1:6" x14ac:dyDescent="0.45">
      <c r="A171" s="58">
        <v>2022</v>
      </c>
      <c r="B171" s="5" t="s">
        <v>53</v>
      </c>
      <c r="C171" s="5" t="s">
        <v>27</v>
      </c>
      <c r="D171" s="6">
        <v>15481</v>
      </c>
      <c r="E171" s="61">
        <v>54334</v>
      </c>
      <c r="F171" s="63" t="s">
        <v>82</v>
      </c>
    </row>
    <row r="172" spans="1:6" x14ac:dyDescent="0.45">
      <c r="A172" s="57">
        <v>2022</v>
      </c>
      <c r="B172" s="3" t="s">
        <v>53</v>
      </c>
      <c r="C172" s="3" t="s">
        <v>28</v>
      </c>
      <c r="D172" s="4">
        <v>12460</v>
      </c>
      <c r="E172" s="60">
        <v>60425</v>
      </c>
      <c r="F172" s="63" t="s">
        <v>81</v>
      </c>
    </row>
    <row r="173" spans="1:6" x14ac:dyDescent="0.45">
      <c r="A173" s="58">
        <v>2022</v>
      </c>
      <c r="B173" s="5" t="s">
        <v>53</v>
      </c>
      <c r="C173" s="5" t="s">
        <v>29</v>
      </c>
      <c r="D173" s="6">
        <v>54606</v>
      </c>
      <c r="E173" s="61">
        <v>64675</v>
      </c>
      <c r="F173" s="63" t="s">
        <v>82</v>
      </c>
    </row>
    <row r="174" spans="1:6" x14ac:dyDescent="0.45">
      <c r="A174" s="57">
        <v>2022</v>
      </c>
      <c r="B174" s="3" t="s">
        <v>53</v>
      </c>
      <c r="C174" s="3" t="s">
        <v>30</v>
      </c>
      <c r="D174" s="4">
        <v>10949</v>
      </c>
      <c r="E174" s="60">
        <v>47086</v>
      </c>
      <c r="F174" s="63" t="s">
        <v>81</v>
      </c>
    </row>
    <row r="175" spans="1:6" x14ac:dyDescent="0.45">
      <c r="A175" s="58">
        <v>2022</v>
      </c>
      <c r="B175" s="5" t="s">
        <v>53</v>
      </c>
      <c r="C175" s="5" t="s">
        <v>31</v>
      </c>
      <c r="D175" s="6">
        <v>118946</v>
      </c>
      <c r="E175" s="61">
        <v>63939</v>
      </c>
      <c r="F175" s="63" t="s">
        <v>81</v>
      </c>
    </row>
    <row r="176" spans="1:6" x14ac:dyDescent="0.45">
      <c r="A176" s="57">
        <v>2022</v>
      </c>
      <c r="B176" s="3" t="s">
        <v>53</v>
      </c>
      <c r="C176" s="3" t="s">
        <v>32</v>
      </c>
      <c r="D176" s="4">
        <v>63455</v>
      </c>
      <c r="E176" s="60">
        <v>53171</v>
      </c>
      <c r="F176" s="63" t="s">
        <v>82</v>
      </c>
    </row>
    <row r="177" spans="1:6" x14ac:dyDescent="0.45">
      <c r="A177" s="58">
        <v>2022</v>
      </c>
      <c r="B177" s="5" t="s">
        <v>53</v>
      </c>
      <c r="C177" s="5" t="s">
        <v>33</v>
      </c>
      <c r="D177" s="6">
        <v>7745</v>
      </c>
      <c r="E177" s="61">
        <v>58657</v>
      </c>
      <c r="F177" s="63" t="s">
        <v>82</v>
      </c>
    </row>
    <row r="178" spans="1:6" x14ac:dyDescent="0.45">
      <c r="A178" s="57">
        <v>2022</v>
      </c>
      <c r="B178" s="3" t="s">
        <v>53</v>
      </c>
      <c r="C178" s="3" t="s">
        <v>34</v>
      </c>
      <c r="D178" s="4">
        <v>68987</v>
      </c>
      <c r="E178" s="60">
        <v>54088</v>
      </c>
      <c r="F178" s="63" t="s">
        <v>81</v>
      </c>
    </row>
    <row r="179" spans="1:6" x14ac:dyDescent="0.45">
      <c r="A179" s="58">
        <v>2022</v>
      </c>
      <c r="B179" s="5" t="s">
        <v>53</v>
      </c>
      <c r="C179" s="5" t="s">
        <v>35</v>
      </c>
      <c r="D179" s="6">
        <v>23912</v>
      </c>
      <c r="E179" s="61">
        <v>49388</v>
      </c>
      <c r="F179" s="63" t="s">
        <v>81</v>
      </c>
    </row>
    <row r="180" spans="1:6" x14ac:dyDescent="0.45">
      <c r="A180" s="57">
        <v>2022</v>
      </c>
      <c r="B180" s="3" t="s">
        <v>53</v>
      </c>
      <c r="C180" s="3" t="s">
        <v>36</v>
      </c>
      <c r="D180" s="4">
        <v>26241</v>
      </c>
      <c r="E180" s="60">
        <v>55251</v>
      </c>
      <c r="F180" s="63" t="s">
        <v>82</v>
      </c>
    </row>
    <row r="181" spans="1:6" x14ac:dyDescent="0.45">
      <c r="A181" s="58">
        <v>2022</v>
      </c>
      <c r="B181" s="5" t="s">
        <v>53</v>
      </c>
      <c r="C181" s="5" t="s">
        <v>37</v>
      </c>
      <c r="D181" s="6">
        <v>73985</v>
      </c>
      <c r="E181" s="61">
        <v>55535</v>
      </c>
      <c r="F181" s="63" t="s">
        <v>82</v>
      </c>
    </row>
    <row r="182" spans="1:6" x14ac:dyDescent="0.45">
      <c r="A182" s="57">
        <v>2022</v>
      </c>
      <c r="B182" s="3" t="s">
        <v>53</v>
      </c>
      <c r="C182" s="3" t="s">
        <v>38</v>
      </c>
      <c r="D182" s="4">
        <v>7816</v>
      </c>
      <c r="E182" s="60">
        <v>55493</v>
      </c>
      <c r="F182" s="63" t="s">
        <v>82</v>
      </c>
    </row>
    <row r="183" spans="1:6" x14ac:dyDescent="0.45">
      <c r="A183" s="58">
        <v>2022</v>
      </c>
      <c r="B183" s="5" t="s">
        <v>53</v>
      </c>
      <c r="C183" s="5" t="s">
        <v>39</v>
      </c>
      <c r="D183" s="6">
        <v>31674</v>
      </c>
      <c r="E183" s="61">
        <v>49717</v>
      </c>
      <c r="F183" s="63" t="s">
        <v>82</v>
      </c>
    </row>
    <row r="184" spans="1:6" x14ac:dyDescent="0.45">
      <c r="A184" s="57">
        <v>2022</v>
      </c>
      <c r="B184" s="3" t="s">
        <v>53</v>
      </c>
      <c r="C184" s="3" t="s">
        <v>40</v>
      </c>
      <c r="D184" s="4">
        <v>8068</v>
      </c>
      <c r="E184" s="60">
        <v>50162</v>
      </c>
      <c r="F184" s="63" t="s">
        <v>82</v>
      </c>
    </row>
    <row r="185" spans="1:6" x14ac:dyDescent="0.45">
      <c r="A185" s="58">
        <v>2022</v>
      </c>
      <c r="B185" s="5" t="s">
        <v>53</v>
      </c>
      <c r="C185" s="5" t="s">
        <v>41</v>
      </c>
      <c r="D185" s="6">
        <v>40806</v>
      </c>
      <c r="E185" s="61">
        <v>56111</v>
      </c>
      <c r="F185" s="63" t="s">
        <v>81</v>
      </c>
    </row>
    <row r="186" spans="1:6" x14ac:dyDescent="0.45">
      <c r="A186" s="57">
        <v>2022</v>
      </c>
      <c r="B186" s="3" t="s">
        <v>53</v>
      </c>
      <c r="C186" s="3" t="s">
        <v>42</v>
      </c>
      <c r="D186" s="4">
        <v>152438</v>
      </c>
      <c r="E186" s="60">
        <v>62485</v>
      </c>
      <c r="F186" s="63" t="s">
        <v>81</v>
      </c>
    </row>
    <row r="187" spans="1:6" x14ac:dyDescent="0.45">
      <c r="A187" s="58">
        <v>2022</v>
      </c>
      <c r="B187" s="5" t="s">
        <v>53</v>
      </c>
      <c r="C187" s="5" t="s">
        <v>43</v>
      </c>
      <c r="D187" s="6">
        <v>20535</v>
      </c>
      <c r="E187" s="61">
        <v>55353</v>
      </c>
      <c r="F187" s="63" t="s">
        <v>82</v>
      </c>
    </row>
    <row r="188" spans="1:6" x14ac:dyDescent="0.45">
      <c r="A188" s="57">
        <v>2022</v>
      </c>
      <c r="B188" s="3" t="s">
        <v>53</v>
      </c>
      <c r="C188" s="3" t="s">
        <v>44</v>
      </c>
      <c r="D188" s="4">
        <v>5003</v>
      </c>
      <c r="E188" s="60">
        <v>51701</v>
      </c>
      <c r="F188" s="63" t="s">
        <v>81</v>
      </c>
    </row>
    <row r="189" spans="1:6" x14ac:dyDescent="0.45">
      <c r="A189" s="58">
        <v>2022</v>
      </c>
      <c r="B189" s="5" t="s">
        <v>53</v>
      </c>
      <c r="C189" s="5" t="s">
        <v>45</v>
      </c>
      <c r="D189" s="6">
        <v>42564</v>
      </c>
      <c r="E189" s="61">
        <v>54371</v>
      </c>
      <c r="F189" s="63" t="s">
        <v>81</v>
      </c>
    </row>
    <row r="190" spans="1:6" x14ac:dyDescent="0.45">
      <c r="A190" s="57">
        <v>2022</v>
      </c>
      <c r="B190" s="3" t="s">
        <v>53</v>
      </c>
      <c r="C190" s="3" t="s">
        <v>46</v>
      </c>
      <c r="D190" s="4">
        <v>38688</v>
      </c>
      <c r="E190" s="60">
        <v>80160</v>
      </c>
      <c r="F190" s="63" t="s">
        <v>82</v>
      </c>
    </row>
    <row r="191" spans="1:6" x14ac:dyDescent="0.45">
      <c r="A191" s="58">
        <v>2022</v>
      </c>
      <c r="B191" s="5" t="s">
        <v>53</v>
      </c>
      <c r="C191" s="5" t="s">
        <v>47</v>
      </c>
      <c r="D191" s="6">
        <v>10611</v>
      </c>
      <c r="E191" s="61">
        <v>48085</v>
      </c>
      <c r="F191" s="63" t="s">
        <v>82</v>
      </c>
    </row>
    <row r="192" spans="1:6" x14ac:dyDescent="0.45">
      <c r="A192" s="57">
        <v>2022</v>
      </c>
      <c r="B192" s="3" t="s">
        <v>53</v>
      </c>
      <c r="C192" s="3" t="s">
        <v>48</v>
      </c>
      <c r="D192" s="4">
        <v>35812</v>
      </c>
      <c r="E192" s="60">
        <v>51165</v>
      </c>
      <c r="F192" s="63" t="s">
        <v>81</v>
      </c>
    </row>
    <row r="193" spans="1:6" x14ac:dyDescent="0.45">
      <c r="A193" s="58">
        <v>2022</v>
      </c>
      <c r="B193" s="5" t="s">
        <v>53</v>
      </c>
      <c r="C193" s="5" t="s">
        <v>49</v>
      </c>
      <c r="D193" s="6">
        <v>4840</v>
      </c>
      <c r="E193" s="61">
        <v>50879</v>
      </c>
      <c r="F193" s="63" t="s">
        <v>81</v>
      </c>
    </row>
    <row r="194" spans="1:6" x14ac:dyDescent="0.45">
      <c r="A194" s="57">
        <v>2022</v>
      </c>
      <c r="B194" s="3" t="s">
        <v>54</v>
      </c>
      <c r="C194" s="3" t="s">
        <v>2</v>
      </c>
      <c r="D194" s="4">
        <v>2566</v>
      </c>
      <c r="E194" s="60">
        <v>75393</v>
      </c>
      <c r="F194" s="63" t="s">
        <v>82</v>
      </c>
    </row>
    <row r="195" spans="1:6" x14ac:dyDescent="0.45">
      <c r="A195" s="58">
        <v>2022</v>
      </c>
      <c r="B195" s="5" t="s">
        <v>54</v>
      </c>
      <c r="C195" s="5" t="s">
        <v>3</v>
      </c>
      <c r="D195" s="6">
        <v>4017</v>
      </c>
      <c r="E195" s="61">
        <v>96871</v>
      </c>
      <c r="F195" s="63" t="s">
        <v>81</v>
      </c>
    </row>
    <row r="196" spans="1:6" x14ac:dyDescent="0.45">
      <c r="A196" s="57">
        <v>2022</v>
      </c>
      <c r="B196" s="3" t="s">
        <v>54</v>
      </c>
      <c r="C196" s="3" t="s">
        <v>4</v>
      </c>
      <c r="D196" s="4">
        <v>1536</v>
      </c>
      <c r="E196" s="60">
        <v>75820</v>
      </c>
      <c r="F196" s="63" t="s">
        <v>82</v>
      </c>
    </row>
    <row r="197" spans="1:6" x14ac:dyDescent="0.45">
      <c r="A197" s="58">
        <v>2022</v>
      </c>
      <c r="B197" s="5" t="s">
        <v>54</v>
      </c>
      <c r="C197" s="5" t="s">
        <v>5</v>
      </c>
      <c r="D197" s="6">
        <v>29491</v>
      </c>
      <c r="E197" s="61">
        <v>223892</v>
      </c>
      <c r="F197" s="63" t="s">
        <v>81</v>
      </c>
    </row>
    <row r="198" spans="1:6" x14ac:dyDescent="0.45">
      <c r="A198" s="57">
        <v>2022</v>
      </c>
      <c r="B198" s="3" t="s">
        <v>54</v>
      </c>
      <c r="C198" s="3" t="s">
        <v>6</v>
      </c>
      <c r="D198" s="4">
        <v>4548</v>
      </c>
      <c r="E198" s="60">
        <v>129495</v>
      </c>
      <c r="F198" s="63" t="s">
        <v>81</v>
      </c>
    </row>
    <row r="199" spans="1:6" x14ac:dyDescent="0.45">
      <c r="A199" s="58">
        <v>2022</v>
      </c>
      <c r="B199" s="5" t="s">
        <v>54</v>
      </c>
      <c r="C199" s="5" t="s">
        <v>7</v>
      </c>
      <c r="D199" s="6">
        <v>2880</v>
      </c>
      <c r="E199" s="61">
        <v>144917</v>
      </c>
      <c r="F199" s="63" t="s">
        <v>82</v>
      </c>
    </row>
    <row r="200" spans="1:6" x14ac:dyDescent="0.45">
      <c r="A200" s="57">
        <v>2022</v>
      </c>
      <c r="B200" s="3" t="s">
        <v>54</v>
      </c>
      <c r="C200" s="3" t="s">
        <v>8</v>
      </c>
      <c r="D200" s="3">
        <v>549</v>
      </c>
      <c r="E200" s="60">
        <v>84966</v>
      </c>
      <c r="F200" s="63" t="s">
        <v>82</v>
      </c>
    </row>
    <row r="201" spans="1:6" x14ac:dyDescent="0.45">
      <c r="A201" s="58">
        <v>2022</v>
      </c>
      <c r="B201" s="5" t="s">
        <v>54</v>
      </c>
      <c r="C201" s="5" t="s">
        <v>9</v>
      </c>
      <c r="D201" s="6">
        <v>12659</v>
      </c>
      <c r="E201" s="61">
        <v>99350</v>
      </c>
      <c r="F201" s="63" t="s">
        <v>81</v>
      </c>
    </row>
    <row r="202" spans="1:6" x14ac:dyDescent="0.45">
      <c r="A202" s="57">
        <v>2022</v>
      </c>
      <c r="B202" s="3" t="s">
        <v>54</v>
      </c>
      <c r="C202" s="3" t="s">
        <v>10</v>
      </c>
      <c r="D202" s="4">
        <v>6010</v>
      </c>
      <c r="E202" s="60">
        <v>114735</v>
      </c>
      <c r="F202" s="63" t="s">
        <v>81</v>
      </c>
    </row>
    <row r="203" spans="1:6" x14ac:dyDescent="0.45">
      <c r="A203" s="58">
        <v>2022</v>
      </c>
      <c r="B203" s="5" t="s">
        <v>54</v>
      </c>
      <c r="C203" s="5" t="s">
        <v>11</v>
      </c>
      <c r="D203" s="6">
        <v>1385</v>
      </c>
      <c r="E203" s="61">
        <v>70408</v>
      </c>
      <c r="F203" s="63" t="s">
        <v>82</v>
      </c>
    </row>
    <row r="204" spans="1:6" x14ac:dyDescent="0.45">
      <c r="A204" s="57">
        <v>2022</v>
      </c>
      <c r="B204" s="3" t="s">
        <v>54</v>
      </c>
      <c r="C204" s="3" t="s">
        <v>12</v>
      </c>
      <c r="D204" s="4">
        <v>7162</v>
      </c>
      <c r="E204" s="60">
        <v>116059</v>
      </c>
      <c r="F204" s="63" t="s">
        <v>82</v>
      </c>
    </row>
    <row r="205" spans="1:6" x14ac:dyDescent="0.45">
      <c r="A205" s="58">
        <v>2022</v>
      </c>
      <c r="B205" s="5" t="s">
        <v>54</v>
      </c>
      <c r="C205" s="5" t="s">
        <v>13</v>
      </c>
      <c r="D205" s="6">
        <v>2521</v>
      </c>
      <c r="E205" s="61">
        <v>73191</v>
      </c>
      <c r="F205" s="63" t="s">
        <v>82</v>
      </c>
    </row>
    <row r="206" spans="1:6" x14ac:dyDescent="0.45">
      <c r="A206" s="57">
        <v>2022</v>
      </c>
      <c r="B206" s="3" t="s">
        <v>54</v>
      </c>
      <c r="C206" s="3" t="s">
        <v>14</v>
      </c>
      <c r="D206" s="4">
        <v>1811</v>
      </c>
      <c r="E206" s="60">
        <v>72858</v>
      </c>
      <c r="F206" s="63" t="s">
        <v>82</v>
      </c>
    </row>
    <row r="207" spans="1:6" x14ac:dyDescent="0.45">
      <c r="A207" s="58">
        <v>2022</v>
      </c>
      <c r="B207" s="5" t="s">
        <v>54</v>
      </c>
      <c r="C207" s="5" t="s">
        <v>15</v>
      </c>
      <c r="D207" s="6">
        <v>1561</v>
      </c>
      <c r="E207" s="61">
        <v>79749</v>
      </c>
      <c r="F207" s="63" t="s">
        <v>82</v>
      </c>
    </row>
    <row r="208" spans="1:6" x14ac:dyDescent="0.45">
      <c r="A208" s="57">
        <v>2022</v>
      </c>
      <c r="B208" s="3" t="s">
        <v>54</v>
      </c>
      <c r="C208" s="3" t="s">
        <v>16</v>
      </c>
      <c r="D208" s="4">
        <v>2111</v>
      </c>
      <c r="E208" s="60">
        <v>69462</v>
      </c>
      <c r="F208" s="63" t="s">
        <v>81</v>
      </c>
    </row>
    <row r="209" spans="1:6" x14ac:dyDescent="0.45">
      <c r="A209" s="58">
        <v>2022</v>
      </c>
      <c r="B209" s="5" t="s">
        <v>54</v>
      </c>
      <c r="C209" s="5" t="s">
        <v>17</v>
      </c>
      <c r="D209" s="6">
        <v>1935</v>
      </c>
      <c r="E209" s="61">
        <v>71700</v>
      </c>
      <c r="F209" s="63" t="s">
        <v>81</v>
      </c>
    </row>
    <row r="210" spans="1:6" x14ac:dyDescent="0.45">
      <c r="A210" s="57">
        <v>2022</v>
      </c>
      <c r="B210" s="3" t="s">
        <v>54</v>
      </c>
      <c r="C210" s="3" t="s">
        <v>18</v>
      </c>
      <c r="D210" s="3">
        <v>916</v>
      </c>
      <c r="E210" s="60">
        <v>70265</v>
      </c>
      <c r="F210" s="63" t="s">
        <v>82</v>
      </c>
    </row>
    <row r="211" spans="1:6" x14ac:dyDescent="0.45">
      <c r="A211" s="58">
        <v>2022</v>
      </c>
      <c r="B211" s="5" t="s">
        <v>54</v>
      </c>
      <c r="C211" s="5" t="s">
        <v>19</v>
      </c>
      <c r="D211" s="6">
        <v>2855</v>
      </c>
      <c r="E211" s="61">
        <v>116569</v>
      </c>
      <c r="F211" s="63" t="s">
        <v>81</v>
      </c>
    </row>
    <row r="212" spans="1:6" x14ac:dyDescent="0.45">
      <c r="A212" s="57">
        <v>2022</v>
      </c>
      <c r="B212" s="3" t="s">
        <v>54</v>
      </c>
      <c r="C212" s="3" t="s">
        <v>20</v>
      </c>
      <c r="D212" s="4">
        <v>6073</v>
      </c>
      <c r="E212" s="60">
        <v>152746</v>
      </c>
      <c r="F212" s="63" t="s">
        <v>81</v>
      </c>
    </row>
    <row r="213" spans="1:6" x14ac:dyDescent="0.45">
      <c r="A213" s="58">
        <v>2022</v>
      </c>
      <c r="B213" s="5" t="s">
        <v>54</v>
      </c>
      <c r="C213" s="5" t="s">
        <v>21</v>
      </c>
      <c r="D213" s="6">
        <v>7671</v>
      </c>
      <c r="E213" s="61">
        <v>94745</v>
      </c>
      <c r="F213" s="63" t="s">
        <v>82</v>
      </c>
    </row>
    <row r="214" spans="1:6" x14ac:dyDescent="0.45">
      <c r="A214" s="57">
        <v>2022</v>
      </c>
      <c r="B214" s="3" t="s">
        <v>54</v>
      </c>
      <c r="C214" s="3" t="s">
        <v>22</v>
      </c>
      <c r="D214" s="4">
        <v>4304</v>
      </c>
      <c r="E214" s="60">
        <v>98292</v>
      </c>
      <c r="F214" s="63" t="s">
        <v>82</v>
      </c>
    </row>
    <row r="215" spans="1:6" x14ac:dyDescent="0.45">
      <c r="A215" s="58">
        <v>2022</v>
      </c>
      <c r="B215" s="5" t="s">
        <v>54</v>
      </c>
      <c r="C215" s="5" t="s">
        <v>23</v>
      </c>
      <c r="D215" s="5">
        <v>964</v>
      </c>
      <c r="E215" s="61">
        <v>60301</v>
      </c>
      <c r="F215" s="63" t="s">
        <v>81</v>
      </c>
    </row>
    <row r="216" spans="1:6" x14ac:dyDescent="0.45">
      <c r="A216" s="57">
        <v>2022</v>
      </c>
      <c r="B216" s="3" t="s">
        <v>54</v>
      </c>
      <c r="C216" s="3" t="s">
        <v>24</v>
      </c>
      <c r="D216" s="4">
        <v>3562</v>
      </c>
      <c r="E216" s="60">
        <v>95327</v>
      </c>
      <c r="F216" s="63" t="s">
        <v>81</v>
      </c>
    </row>
    <row r="217" spans="1:6" x14ac:dyDescent="0.45">
      <c r="A217" s="58">
        <v>2022</v>
      </c>
      <c r="B217" s="5" t="s">
        <v>54</v>
      </c>
      <c r="C217" s="5" t="s">
        <v>25</v>
      </c>
      <c r="D217" s="5">
        <v>856</v>
      </c>
      <c r="E217" s="61">
        <v>71673</v>
      </c>
      <c r="F217" s="63" t="s">
        <v>82</v>
      </c>
    </row>
    <row r="218" spans="1:6" x14ac:dyDescent="0.45">
      <c r="A218" s="57">
        <v>2022</v>
      </c>
      <c r="B218" s="3" t="s">
        <v>54</v>
      </c>
      <c r="C218" s="3" t="s">
        <v>26</v>
      </c>
      <c r="D218" s="4">
        <v>1071</v>
      </c>
      <c r="E218" s="60">
        <v>82361</v>
      </c>
      <c r="F218" s="63" t="s">
        <v>81</v>
      </c>
    </row>
    <row r="219" spans="1:6" x14ac:dyDescent="0.45">
      <c r="A219" s="58">
        <v>2022</v>
      </c>
      <c r="B219" s="5" t="s">
        <v>54</v>
      </c>
      <c r="C219" s="5" t="s">
        <v>27</v>
      </c>
      <c r="D219" s="6">
        <v>1609</v>
      </c>
      <c r="E219" s="61">
        <v>94353</v>
      </c>
      <c r="F219" s="63" t="s">
        <v>82</v>
      </c>
    </row>
    <row r="220" spans="1:6" x14ac:dyDescent="0.45">
      <c r="A220" s="57">
        <v>2022</v>
      </c>
      <c r="B220" s="3" t="s">
        <v>54</v>
      </c>
      <c r="C220" s="3" t="s">
        <v>28</v>
      </c>
      <c r="D220" s="4">
        <v>1168</v>
      </c>
      <c r="E220" s="60">
        <v>113194</v>
      </c>
      <c r="F220" s="63" t="s">
        <v>81</v>
      </c>
    </row>
    <row r="221" spans="1:6" x14ac:dyDescent="0.45">
      <c r="A221" s="58">
        <v>2022</v>
      </c>
      <c r="B221" s="5" t="s">
        <v>54</v>
      </c>
      <c r="C221" s="5" t="s">
        <v>29</v>
      </c>
      <c r="D221" s="6">
        <v>3965</v>
      </c>
      <c r="E221" s="61">
        <v>136541</v>
      </c>
      <c r="F221" s="63" t="s">
        <v>81</v>
      </c>
    </row>
    <row r="222" spans="1:6" x14ac:dyDescent="0.45">
      <c r="A222" s="57">
        <v>2022</v>
      </c>
      <c r="B222" s="3" t="s">
        <v>54</v>
      </c>
      <c r="C222" s="3" t="s">
        <v>30</v>
      </c>
      <c r="D222" s="4">
        <v>1108</v>
      </c>
      <c r="E222" s="60">
        <v>68393</v>
      </c>
      <c r="F222" s="63" t="s">
        <v>82</v>
      </c>
    </row>
    <row r="223" spans="1:6" x14ac:dyDescent="0.45">
      <c r="A223" s="58">
        <v>2022</v>
      </c>
      <c r="B223" s="5" t="s">
        <v>54</v>
      </c>
      <c r="C223" s="5" t="s">
        <v>31</v>
      </c>
      <c r="D223" s="6">
        <v>14380</v>
      </c>
      <c r="E223" s="61">
        <v>160357</v>
      </c>
      <c r="F223" s="63" t="s">
        <v>82</v>
      </c>
    </row>
    <row r="224" spans="1:6" x14ac:dyDescent="0.45">
      <c r="A224" s="57">
        <v>2022</v>
      </c>
      <c r="B224" s="3" t="s">
        <v>54</v>
      </c>
      <c r="C224" s="3" t="s">
        <v>32</v>
      </c>
      <c r="D224" s="4">
        <v>6302</v>
      </c>
      <c r="E224" s="60">
        <v>102207</v>
      </c>
      <c r="F224" s="63" t="s">
        <v>81</v>
      </c>
    </row>
    <row r="225" spans="1:6" x14ac:dyDescent="0.45">
      <c r="A225" s="58">
        <v>2022</v>
      </c>
      <c r="B225" s="5" t="s">
        <v>54</v>
      </c>
      <c r="C225" s="5" t="s">
        <v>33</v>
      </c>
      <c r="D225" s="5">
        <v>417</v>
      </c>
      <c r="E225" s="61">
        <v>85624</v>
      </c>
      <c r="F225" s="63" t="s">
        <v>81</v>
      </c>
    </row>
    <row r="226" spans="1:6" x14ac:dyDescent="0.45">
      <c r="A226" s="57">
        <v>2022</v>
      </c>
      <c r="B226" s="3" t="s">
        <v>54</v>
      </c>
      <c r="C226" s="3" t="s">
        <v>34</v>
      </c>
      <c r="D226" s="4">
        <v>5303</v>
      </c>
      <c r="E226" s="60">
        <v>86052</v>
      </c>
      <c r="F226" s="63" t="s">
        <v>82</v>
      </c>
    </row>
    <row r="227" spans="1:6" x14ac:dyDescent="0.45">
      <c r="A227" s="58">
        <v>2022</v>
      </c>
      <c r="B227" s="5" t="s">
        <v>54</v>
      </c>
      <c r="C227" s="5" t="s">
        <v>35</v>
      </c>
      <c r="D227" s="6">
        <v>1572</v>
      </c>
      <c r="E227" s="61">
        <v>69710</v>
      </c>
      <c r="F227" s="63" t="s">
        <v>82</v>
      </c>
    </row>
    <row r="228" spans="1:6" x14ac:dyDescent="0.45">
      <c r="A228" s="57">
        <v>2022</v>
      </c>
      <c r="B228" s="3" t="s">
        <v>54</v>
      </c>
      <c r="C228" s="3" t="s">
        <v>36</v>
      </c>
      <c r="D228" s="4">
        <v>4605</v>
      </c>
      <c r="E228" s="60">
        <v>107737</v>
      </c>
      <c r="F228" s="63" t="s">
        <v>82</v>
      </c>
    </row>
    <row r="229" spans="1:6" x14ac:dyDescent="0.45">
      <c r="A229" s="58">
        <v>2022</v>
      </c>
      <c r="B229" s="5" t="s">
        <v>54</v>
      </c>
      <c r="C229" s="5" t="s">
        <v>37</v>
      </c>
      <c r="D229" s="6">
        <v>5891</v>
      </c>
      <c r="E229" s="61">
        <v>113388</v>
      </c>
      <c r="F229" s="63" t="s">
        <v>82</v>
      </c>
    </row>
    <row r="230" spans="1:6" x14ac:dyDescent="0.45">
      <c r="A230" s="57">
        <v>2022</v>
      </c>
      <c r="B230" s="3" t="s">
        <v>54</v>
      </c>
      <c r="C230" s="3" t="s">
        <v>38</v>
      </c>
      <c r="D230" s="3">
        <v>762</v>
      </c>
      <c r="E230" s="60">
        <v>93286</v>
      </c>
      <c r="F230" s="63" t="s">
        <v>82</v>
      </c>
    </row>
    <row r="231" spans="1:6" x14ac:dyDescent="0.45">
      <c r="A231" s="58">
        <v>2022</v>
      </c>
      <c r="B231" s="5" t="s">
        <v>54</v>
      </c>
      <c r="C231" s="5" t="s">
        <v>39</v>
      </c>
      <c r="D231" s="6">
        <v>3216</v>
      </c>
      <c r="E231" s="61">
        <v>79562</v>
      </c>
      <c r="F231" s="63" t="s">
        <v>81</v>
      </c>
    </row>
    <row r="232" spans="1:6" x14ac:dyDescent="0.45">
      <c r="A232" s="57">
        <v>2022</v>
      </c>
      <c r="B232" s="3" t="s">
        <v>54</v>
      </c>
      <c r="C232" s="3" t="s">
        <v>40</v>
      </c>
      <c r="D232" s="3">
        <v>606</v>
      </c>
      <c r="E232" s="60">
        <v>64069</v>
      </c>
      <c r="F232" s="63" t="s">
        <v>81</v>
      </c>
    </row>
    <row r="233" spans="1:6" x14ac:dyDescent="0.45">
      <c r="A233" s="58">
        <v>2022</v>
      </c>
      <c r="B233" s="5" t="s">
        <v>54</v>
      </c>
      <c r="C233" s="5" t="s">
        <v>41</v>
      </c>
      <c r="D233" s="6">
        <v>4525</v>
      </c>
      <c r="E233" s="61">
        <v>87293</v>
      </c>
      <c r="F233" s="63" t="s">
        <v>82</v>
      </c>
    </row>
    <row r="234" spans="1:6" x14ac:dyDescent="0.45">
      <c r="A234" s="57">
        <v>2022</v>
      </c>
      <c r="B234" s="3" t="s">
        <v>54</v>
      </c>
      <c r="C234" s="3" t="s">
        <v>42</v>
      </c>
      <c r="D234" s="4">
        <v>11822</v>
      </c>
      <c r="E234" s="60">
        <v>108835</v>
      </c>
      <c r="F234" s="63" t="s">
        <v>81</v>
      </c>
    </row>
    <row r="235" spans="1:6" x14ac:dyDescent="0.45">
      <c r="A235" s="58">
        <v>2022</v>
      </c>
      <c r="B235" s="5" t="s">
        <v>54</v>
      </c>
      <c r="C235" s="5" t="s">
        <v>43</v>
      </c>
      <c r="D235" s="6">
        <v>3177</v>
      </c>
      <c r="E235" s="61">
        <v>102974</v>
      </c>
      <c r="F235" s="63" t="s">
        <v>81</v>
      </c>
    </row>
    <row r="236" spans="1:6" x14ac:dyDescent="0.45">
      <c r="A236" s="57">
        <v>2022</v>
      </c>
      <c r="B236" s="3" t="s">
        <v>54</v>
      </c>
      <c r="C236" s="3" t="s">
        <v>44</v>
      </c>
      <c r="D236" s="3">
        <v>584</v>
      </c>
      <c r="E236" s="60">
        <v>74605</v>
      </c>
      <c r="F236" s="63" t="s">
        <v>82</v>
      </c>
    </row>
    <row r="237" spans="1:6" x14ac:dyDescent="0.45">
      <c r="A237" s="58">
        <v>2022</v>
      </c>
      <c r="B237" s="5" t="s">
        <v>54</v>
      </c>
      <c r="C237" s="5" t="s">
        <v>45</v>
      </c>
      <c r="D237" s="6">
        <v>4875</v>
      </c>
      <c r="E237" s="61">
        <v>123848</v>
      </c>
      <c r="F237" s="63" t="s">
        <v>82</v>
      </c>
    </row>
    <row r="238" spans="1:6" x14ac:dyDescent="0.45">
      <c r="A238" s="57">
        <v>2022</v>
      </c>
      <c r="B238" s="3" t="s">
        <v>54</v>
      </c>
      <c r="C238" s="3" t="s">
        <v>46</v>
      </c>
      <c r="D238" s="4">
        <v>5419</v>
      </c>
      <c r="E238" s="60">
        <v>248273</v>
      </c>
      <c r="F238" s="63" t="s">
        <v>81</v>
      </c>
    </row>
    <row r="239" spans="1:6" x14ac:dyDescent="0.45">
      <c r="A239" s="58">
        <v>2022</v>
      </c>
      <c r="B239" s="5" t="s">
        <v>54</v>
      </c>
      <c r="C239" s="5" t="s">
        <v>47</v>
      </c>
      <c r="D239" s="5">
        <v>825</v>
      </c>
      <c r="E239" s="61">
        <v>64063</v>
      </c>
      <c r="F239" s="63" t="s">
        <v>81</v>
      </c>
    </row>
    <row r="240" spans="1:6" x14ac:dyDescent="0.45">
      <c r="A240" s="57">
        <v>2022</v>
      </c>
      <c r="B240" s="3" t="s">
        <v>54</v>
      </c>
      <c r="C240" s="3" t="s">
        <v>48</v>
      </c>
      <c r="D240" s="4">
        <v>2400</v>
      </c>
      <c r="E240" s="60">
        <v>94336</v>
      </c>
      <c r="F240" s="63" t="s">
        <v>82</v>
      </c>
    </row>
    <row r="241" spans="1:6" x14ac:dyDescent="0.45">
      <c r="A241" s="58">
        <v>2022</v>
      </c>
      <c r="B241" s="5" t="s">
        <v>54</v>
      </c>
      <c r="C241" s="5" t="s">
        <v>49</v>
      </c>
      <c r="D241" s="5">
        <v>428</v>
      </c>
      <c r="E241" s="61">
        <v>60299</v>
      </c>
      <c r="F241" s="63" t="s">
        <v>81</v>
      </c>
    </row>
    <row r="242" spans="1:6" x14ac:dyDescent="0.45">
      <c r="A242" s="57">
        <v>2022</v>
      </c>
      <c r="B242" s="3" t="s">
        <v>55</v>
      </c>
      <c r="C242" s="3" t="s">
        <v>2</v>
      </c>
      <c r="D242" s="4">
        <v>13880</v>
      </c>
      <c r="E242" s="60">
        <v>81982</v>
      </c>
      <c r="F242" s="63" t="s">
        <v>82</v>
      </c>
    </row>
    <row r="243" spans="1:6" x14ac:dyDescent="0.45">
      <c r="A243" s="58">
        <v>2022</v>
      </c>
      <c r="B243" s="5" t="s">
        <v>55</v>
      </c>
      <c r="C243" s="5" t="s">
        <v>3</v>
      </c>
      <c r="D243" s="6">
        <v>20707</v>
      </c>
      <c r="E243" s="61">
        <v>88956</v>
      </c>
      <c r="F243" s="63" t="s">
        <v>81</v>
      </c>
    </row>
    <row r="244" spans="1:6" x14ac:dyDescent="0.45">
      <c r="A244" s="57">
        <v>2022</v>
      </c>
      <c r="B244" s="3" t="s">
        <v>55</v>
      </c>
      <c r="C244" s="3" t="s">
        <v>4</v>
      </c>
      <c r="D244" s="4">
        <v>8906</v>
      </c>
      <c r="E244" s="60">
        <v>71321</v>
      </c>
      <c r="F244" s="63" t="s">
        <v>81</v>
      </c>
    </row>
    <row r="245" spans="1:6" x14ac:dyDescent="0.45">
      <c r="A245" s="58">
        <v>2022</v>
      </c>
      <c r="B245" s="5" t="s">
        <v>55</v>
      </c>
      <c r="C245" s="5" t="s">
        <v>5</v>
      </c>
      <c r="D245" s="6">
        <v>112775</v>
      </c>
      <c r="E245" s="61">
        <v>130107</v>
      </c>
      <c r="F245" s="63" t="s">
        <v>82</v>
      </c>
    </row>
    <row r="246" spans="1:6" x14ac:dyDescent="0.45">
      <c r="A246" s="57">
        <v>2022</v>
      </c>
      <c r="B246" s="3" t="s">
        <v>55</v>
      </c>
      <c r="C246" s="3" t="s">
        <v>6</v>
      </c>
      <c r="D246" s="4">
        <v>25139</v>
      </c>
      <c r="E246" s="60">
        <v>103276</v>
      </c>
      <c r="F246" s="63" t="s">
        <v>82</v>
      </c>
    </row>
    <row r="247" spans="1:6" x14ac:dyDescent="0.45">
      <c r="A247" s="58">
        <v>2022</v>
      </c>
      <c r="B247" s="5" t="s">
        <v>55</v>
      </c>
      <c r="C247" s="5" t="s">
        <v>7</v>
      </c>
      <c r="D247" s="6">
        <v>11223</v>
      </c>
      <c r="E247" s="61">
        <v>171086</v>
      </c>
      <c r="F247" s="63" t="s">
        <v>81</v>
      </c>
    </row>
    <row r="248" spans="1:6" x14ac:dyDescent="0.45">
      <c r="A248" s="57">
        <v>2022</v>
      </c>
      <c r="B248" s="3" t="s">
        <v>55</v>
      </c>
      <c r="C248" s="3" t="s">
        <v>8</v>
      </c>
      <c r="D248" s="4">
        <v>3005</v>
      </c>
      <c r="E248" s="60">
        <v>109154</v>
      </c>
      <c r="F248" s="63" t="s">
        <v>81</v>
      </c>
    </row>
    <row r="249" spans="1:6" x14ac:dyDescent="0.45">
      <c r="A249" s="58">
        <v>2022</v>
      </c>
      <c r="B249" s="5" t="s">
        <v>55</v>
      </c>
      <c r="C249" s="5" t="s">
        <v>9</v>
      </c>
      <c r="D249" s="6">
        <v>80956</v>
      </c>
      <c r="E249" s="61">
        <v>90307</v>
      </c>
      <c r="F249" s="63" t="s">
        <v>82</v>
      </c>
    </row>
    <row r="250" spans="1:6" x14ac:dyDescent="0.45">
      <c r="A250" s="57">
        <v>2022</v>
      </c>
      <c r="B250" s="3" t="s">
        <v>55</v>
      </c>
      <c r="C250" s="3" t="s">
        <v>10</v>
      </c>
      <c r="D250" s="4">
        <v>28810</v>
      </c>
      <c r="E250" s="60">
        <v>99145</v>
      </c>
      <c r="F250" s="63" t="s">
        <v>82</v>
      </c>
    </row>
    <row r="251" spans="1:6" x14ac:dyDescent="0.45">
      <c r="A251" s="58">
        <v>2022</v>
      </c>
      <c r="B251" s="5" t="s">
        <v>55</v>
      </c>
      <c r="C251" s="5" t="s">
        <v>11</v>
      </c>
      <c r="D251" s="6">
        <v>6508</v>
      </c>
      <c r="E251" s="61">
        <v>74833</v>
      </c>
      <c r="F251" s="63" t="s">
        <v>82</v>
      </c>
    </row>
    <row r="252" spans="1:6" x14ac:dyDescent="0.45">
      <c r="A252" s="57">
        <v>2022</v>
      </c>
      <c r="B252" s="3" t="s">
        <v>55</v>
      </c>
      <c r="C252" s="3" t="s">
        <v>12</v>
      </c>
      <c r="D252" s="4">
        <v>33063</v>
      </c>
      <c r="E252" s="60">
        <v>127634</v>
      </c>
      <c r="F252" s="63" t="s">
        <v>82</v>
      </c>
    </row>
    <row r="253" spans="1:6" x14ac:dyDescent="0.45">
      <c r="A253" s="58">
        <v>2022</v>
      </c>
      <c r="B253" s="5" t="s">
        <v>55</v>
      </c>
      <c r="C253" s="5" t="s">
        <v>13</v>
      </c>
      <c r="D253" s="6">
        <v>17574</v>
      </c>
      <c r="E253" s="61">
        <v>78283</v>
      </c>
      <c r="F253" s="63" t="s">
        <v>82</v>
      </c>
    </row>
    <row r="254" spans="1:6" x14ac:dyDescent="0.45">
      <c r="A254" s="57">
        <v>2022</v>
      </c>
      <c r="B254" s="3" t="s">
        <v>55</v>
      </c>
      <c r="C254" s="3" t="s">
        <v>14</v>
      </c>
      <c r="D254" s="4">
        <v>10731</v>
      </c>
      <c r="E254" s="60">
        <v>87131</v>
      </c>
      <c r="F254" s="63" t="s">
        <v>81</v>
      </c>
    </row>
    <row r="255" spans="1:6" x14ac:dyDescent="0.45">
      <c r="A255" s="58">
        <v>2022</v>
      </c>
      <c r="B255" s="5" t="s">
        <v>55</v>
      </c>
      <c r="C255" s="5" t="s">
        <v>15</v>
      </c>
      <c r="D255" s="6">
        <v>8752</v>
      </c>
      <c r="E255" s="61">
        <v>81889</v>
      </c>
      <c r="F255" s="63" t="s">
        <v>81</v>
      </c>
    </row>
    <row r="256" spans="1:6" x14ac:dyDescent="0.45">
      <c r="A256" s="57">
        <v>2022</v>
      </c>
      <c r="B256" s="3" t="s">
        <v>55</v>
      </c>
      <c r="C256" s="3" t="s">
        <v>16</v>
      </c>
      <c r="D256" s="4">
        <v>11729</v>
      </c>
      <c r="E256" s="60">
        <v>81177</v>
      </c>
      <c r="F256" s="63" t="s">
        <v>82</v>
      </c>
    </row>
    <row r="257" spans="1:6" x14ac:dyDescent="0.45">
      <c r="A257" s="58">
        <v>2022</v>
      </c>
      <c r="B257" s="5" t="s">
        <v>55</v>
      </c>
      <c r="C257" s="5" t="s">
        <v>17</v>
      </c>
      <c r="D257" s="6">
        <v>14229</v>
      </c>
      <c r="E257" s="61">
        <v>75409</v>
      </c>
      <c r="F257" s="63" t="s">
        <v>81</v>
      </c>
    </row>
    <row r="258" spans="1:6" x14ac:dyDescent="0.45">
      <c r="A258" s="57">
        <v>2022</v>
      </c>
      <c r="B258" s="3" t="s">
        <v>55</v>
      </c>
      <c r="C258" s="3" t="s">
        <v>18</v>
      </c>
      <c r="D258" s="4">
        <v>3926</v>
      </c>
      <c r="E258" s="60">
        <v>81870</v>
      </c>
      <c r="F258" s="63" t="s">
        <v>81</v>
      </c>
    </row>
    <row r="259" spans="1:6" x14ac:dyDescent="0.45">
      <c r="A259" s="58">
        <v>2022</v>
      </c>
      <c r="B259" s="5" t="s">
        <v>55</v>
      </c>
      <c r="C259" s="5" t="s">
        <v>19</v>
      </c>
      <c r="D259" s="6">
        <v>15692</v>
      </c>
      <c r="E259" s="61">
        <v>116159</v>
      </c>
      <c r="F259" s="63" t="s">
        <v>82</v>
      </c>
    </row>
    <row r="260" spans="1:6" x14ac:dyDescent="0.45">
      <c r="A260" s="57">
        <v>2022</v>
      </c>
      <c r="B260" s="3" t="s">
        <v>55</v>
      </c>
      <c r="C260" s="3" t="s">
        <v>20</v>
      </c>
      <c r="D260" s="4">
        <v>18137</v>
      </c>
      <c r="E260" s="60">
        <v>165120</v>
      </c>
      <c r="F260" s="63" t="s">
        <v>82</v>
      </c>
    </row>
    <row r="261" spans="1:6" x14ac:dyDescent="0.45">
      <c r="A261" s="58">
        <v>2022</v>
      </c>
      <c r="B261" s="5" t="s">
        <v>55</v>
      </c>
      <c r="C261" s="5" t="s">
        <v>21</v>
      </c>
      <c r="D261" s="6">
        <v>20626</v>
      </c>
      <c r="E261" s="61">
        <v>87720</v>
      </c>
      <c r="F261" s="63" t="s">
        <v>81</v>
      </c>
    </row>
    <row r="262" spans="1:6" x14ac:dyDescent="0.45">
      <c r="A262" s="57">
        <v>2022</v>
      </c>
      <c r="B262" s="3" t="s">
        <v>55</v>
      </c>
      <c r="C262" s="3" t="s">
        <v>22</v>
      </c>
      <c r="D262" s="4">
        <v>16134</v>
      </c>
      <c r="E262" s="60">
        <v>110989</v>
      </c>
      <c r="F262" s="63" t="s">
        <v>81</v>
      </c>
    </row>
    <row r="263" spans="1:6" x14ac:dyDescent="0.45">
      <c r="A263" s="58">
        <v>2022</v>
      </c>
      <c r="B263" s="5" t="s">
        <v>55</v>
      </c>
      <c r="C263" s="5" t="s">
        <v>23</v>
      </c>
      <c r="D263" s="6">
        <v>7984</v>
      </c>
      <c r="E263" s="61">
        <v>65263</v>
      </c>
      <c r="F263" s="63" t="s">
        <v>82</v>
      </c>
    </row>
    <row r="264" spans="1:6" x14ac:dyDescent="0.45">
      <c r="A264" s="57">
        <v>2022</v>
      </c>
      <c r="B264" s="3" t="s">
        <v>55</v>
      </c>
      <c r="C264" s="3" t="s">
        <v>24</v>
      </c>
      <c r="D264" s="4">
        <v>18815</v>
      </c>
      <c r="E264" s="60">
        <v>88664</v>
      </c>
      <c r="F264" s="63" t="s">
        <v>81</v>
      </c>
    </row>
    <row r="265" spans="1:6" x14ac:dyDescent="0.45">
      <c r="A265" s="58">
        <v>2022</v>
      </c>
      <c r="B265" s="5" t="s">
        <v>55</v>
      </c>
      <c r="C265" s="5" t="s">
        <v>25</v>
      </c>
      <c r="D265" s="6">
        <v>4557</v>
      </c>
      <c r="E265" s="61">
        <v>73330</v>
      </c>
      <c r="F265" s="63" t="s">
        <v>82</v>
      </c>
    </row>
    <row r="266" spans="1:6" x14ac:dyDescent="0.45">
      <c r="A266" s="57">
        <v>2022</v>
      </c>
      <c r="B266" s="3" t="s">
        <v>55</v>
      </c>
      <c r="C266" s="3" t="s">
        <v>26</v>
      </c>
      <c r="D266" s="4">
        <v>7000</v>
      </c>
      <c r="E266" s="60">
        <v>80942</v>
      </c>
      <c r="F266" s="63" t="s">
        <v>81</v>
      </c>
    </row>
    <row r="267" spans="1:6" x14ac:dyDescent="0.45">
      <c r="A267" s="58">
        <v>2022</v>
      </c>
      <c r="B267" s="5" t="s">
        <v>55</v>
      </c>
      <c r="C267" s="5" t="s">
        <v>27</v>
      </c>
      <c r="D267" s="6">
        <v>9293</v>
      </c>
      <c r="E267" s="61">
        <v>85236</v>
      </c>
      <c r="F267" s="63" t="s">
        <v>81</v>
      </c>
    </row>
    <row r="268" spans="1:6" x14ac:dyDescent="0.45">
      <c r="A268" s="57">
        <v>2022</v>
      </c>
      <c r="B268" s="3" t="s">
        <v>55</v>
      </c>
      <c r="C268" s="3" t="s">
        <v>28</v>
      </c>
      <c r="D268" s="4">
        <v>3946</v>
      </c>
      <c r="E268" s="60">
        <v>115751</v>
      </c>
      <c r="F268" s="63" t="s">
        <v>82</v>
      </c>
    </row>
    <row r="269" spans="1:6" x14ac:dyDescent="0.45">
      <c r="A269" s="58">
        <v>2022</v>
      </c>
      <c r="B269" s="5" t="s">
        <v>55</v>
      </c>
      <c r="C269" s="5" t="s">
        <v>29</v>
      </c>
      <c r="D269" s="6">
        <v>20469</v>
      </c>
      <c r="E269" s="61">
        <v>133870</v>
      </c>
      <c r="F269" s="63" t="s">
        <v>82</v>
      </c>
    </row>
    <row r="270" spans="1:6" x14ac:dyDescent="0.45">
      <c r="A270" s="57">
        <v>2022</v>
      </c>
      <c r="B270" s="3" t="s">
        <v>55</v>
      </c>
      <c r="C270" s="3" t="s">
        <v>30</v>
      </c>
      <c r="D270" s="4">
        <v>5600</v>
      </c>
      <c r="E270" s="60">
        <v>68343</v>
      </c>
      <c r="F270" s="63" t="s">
        <v>81</v>
      </c>
    </row>
    <row r="271" spans="1:6" x14ac:dyDescent="0.45">
      <c r="A271" s="58">
        <v>2022</v>
      </c>
      <c r="B271" s="5" t="s">
        <v>55</v>
      </c>
      <c r="C271" s="5" t="s">
        <v>31</v>
      </c>
      <c r="D271" s="6">
        <v>63948</v>
      </c>
      <c r="E271" s="61">
        <v>213014</v>
      </c>
      <c r="F271" s="63" t="s">
        <v>81</v>
      </c>
    </row>
    <row r="272" spans="1:6" x14ac:dyDescent="0.45">
      <c r="A272" s="57">
        <v>2022</v>
      </c>
      <c r="B272" s="3" t="s">
        <v>55</v>
      </c>
      <c r="C272" s="3" t="s">
        <v>32</v>
      </c>
      <c r="D272" s="4">
        <v>30275</v>
      </c>
      <c r="E272" s="60">
        <v>103234</v>
      </c>
      <c r="F272" s="63" t="s">
        <v>82</v>
      </c>
    </row>
    <row r="273" spans="1:6" x14ac:dyDescent="0.45">
      <c r="A273" s="58">
        <v>2022</v>
      </c>
      <c r="B273" s="5" t="s">
        <v>55</v>
      </c>
      <c r="C273" s="5" t="s">
        <v>33</v>
      </c>
      <c r="D273" s="6">
        <v>3042</v>
      </c>
      <c r="E273" s="61">
        <v>75243</v>
      </c>
      <c r="F273" s="63" t="s">
        <v>82</v>
      </c>
    </row>
    <row r="274" spans="1:6" x14ac:dyDescent="0.45">
      <c r="A274" s="57">
        <v>2022</v>
      </c>
      <c r="B274" s="3" t="s">
        <v>55</v>
      </c>
      <c r="C274" s="3" t="s">
        <v>34</v>
      </c>
      <c r="D274" s="4">
        <v>29307</v>
      </c>
      <c r="E274" s="60">
        <v>88336</v>
      </c>
      <c r="F274" s="63" t="s">
        <v>82</v>
      </c>
    </row>
    <row r="275" spans="1:6" x14ac:dyDescent="0.45">
      <c r="A275" s="58">
        <v>2022</v>
      </c>
      <c r="B275" s="5" t="s">
        <v>55</v>
      </c>
      <c r="C275" s="5" t="s">
        <v>35</v>
      </c>
      <c r="D275" s="6">
        <v>11701</v>
      </c>
      <c r="E275" s="61">
        <v>70030</v>
      </c>
      <c r="F275" s="63" t="s">
        <v>82</v>
      </c>
    </row>
    <row r="276" spans="1:6" x14ac:dyDescent="0.45">
      <c r="A276" s="57">
        <v>2022</v>
      </c>
      <c r="B276" s="3" t="s">
        <v>55</v>
      </c>
      <c r="C276" s="3" t="s">
        <v>36</v>
      </c>
      <c r="D276" s="4">
        <v>13352</v>
      </c>
      <c r="E276" s="60">
        <v>86727</v>
      </c>
      <c r="F276" s="63" t="s">
        <v>82</v>
      </c>
    </row>
    <row r="277" spans="1:6" x14ac:dyDescent="0.45">
      <c r="A277" s="58">
        <v>2022</v>
      </c>
      <c r="B277" s="5" t="s">
        <v>55</v>
      </c>
      <c r="C277" s="5" t="s">
        <v>37</v>
      </c>
      <c r="D277" s="6">
        <v>29714</v>
      </c>
      <c r="E277" s="61">
        <v>103231</v>
      </c>
      <c r="F277" s="63" t="s">
        <v>81</v>
      </c>
    </row>
    <row r="278" spans="1:6" x14ac:dyDescent="0.45">
      <c r="A278" s="57">
        <v>2022</v>
      </c>
      <c r="B278" s="3" t="s">
        <v>55</v>
      </c>
      <c r="C278" s="3" t="s">
        <v>38</v>
      </c>
      <c r="D278" s="4">
        <v>3038</v>
      </c>
      <c r="E278" s="60">
        <v>106316</v>
      </c>
      <c r="F278" s="63" t="s">
        <v>81</v>
      </c>
    </row>
    <row r="279" spans="1:6" x14ac:dyDescent="0.45">
      <c r="A279" s="58">
        <v>2022</v>
      </c>
      <c r="B279" s="5" t="s">
        <v>55</v>
      </c>
      <c r="C279" s="5" t="s">
        <v>39</v>
      </c>
      <c r="D279" s="6">
        <v>15078</v>
      </c>
      <c r="E279" s="61">
        <v>77361</v>
      </c>
      <c r="F279" s="63" t="s">
        <v>82</v>
      </c>
    </row>
    <row r="280" spans="1:6" x14ac:dyDescent="0.45">
      <c r="A280" s="57">
        <v>2022</v>
      </c>
      <c r="B280" s="3" t="s">
        <v>55</v>
      </c>
      <c r="C280" s="3" t="s">
        <v>40</v>
      </c>
      <c r="D280" s="4">
        <v>3397</v>
      </c>
      <c r="E280" s="60">
        <v>75345</v>
      </c>
      <c r="F280" s="63" t="s">
        <v>81</v>
      </c>
    </row>
    <row r="281" spans="1:6" x14ac:dyDescent="0.45">
      <c r="A281" s="58">
        <v>2022</v>
      </c>
      <c r="B281" s="5" t="s">
        <v>55</v>
      </c>
      <c r="C281" s="5" t="s">
        <v>41</v>
      </c>
      <c r="D281" s="6">
        <v>16893</v>
      </c>
      <c r="E281" s="61">
        <v>91116</v>
      </c>
      <c r="F281" s="63" t="s">
        <v>81</v>
      </c>
    </row>
    <row r="282" spans="1:6" x14ac:dyDescent="0.45">
      <c r="A282" s="57">
        <v>2022</v>
      </c>
      <c r="B282" s="3" t="s">
        <v>55</v>
      </c>
      <c r="C282" s="3" t="s">
        <v>42</v>
      </c>
      <c r="D282" s="4">
        <v>78940</v>
      </c>
      <c r="E282" s="60">
        <v>98477</v>
      </c>
      <c r="F282" s="63" t="s">
        <v>82</v>
      </c>
    </row>
    <row r="283" spans="1:6" x14ac:dyDescent="0.45">
      <c r="A283" s="58">
        <v>2022</v>
      </c>
      <c r="B283" s="5" t="s">
        <v>55</v>
      </c>
      <c r="C283" s="5" t="s">
        <v>43</v>
      </c>
      <c r="D283" s="6">
        <v>12580</v>
      </c>
      <c r="E283" s="61">
        <v>85806</v>
      </c>
      <c r="F283" s="63" t="s">
        <v>82</v>
      </c>
    </row>
    <row r="284" spans="1:6" x14ac:dyDescent="0.45">
      <c r="A284" s="57">
        <v>2022</v>
      </c>
      <c r="B284" s="3" t="s">
        <v>55</v>
      </c>
      <c r="C284" s="3" t="s">
        <v>44</v>
      </c>
      <c r="D284" s="4">
        <v>1719</v>
      </c>
      <c r="E284" s="60">
        <v>86135</v>
      </c>
      <c r="F284" s="63" t="s">
        <v>81</v>
      </c>
    </row>
    <row r="285" spans="1:6" x14ac:dyDescent="0.45">
      <c r="A285" s="58">
        <v>2022</v>
      </c>
      <c r="B285" s="5" t="s">
        <v>55</v>
      </c>
      <c r="C285" s="5" t="s">
        <v>45</v>
      </c>
      <c r="D285" s="6">
        <v>22750</v>
      </c>
      <c r="E285" s="61">
        <v>103246</v>
      </c>
      <c r="F285" s="63" t="s">
        <v>81</v>
      </c>
    </row>
    <row r="286" spans="1:6" x14ac:dyDescent="0.45">
      <c r="A286" s="57">
        <v>2022</v>
      </c>
      <c r="B286" s="3" t="s">
        <v>55</v>
      </c>
      <c r="C286" s="3" t="s">
        <v>46</v>
      </c>
      <c r="D286" s="4">
        <v>18828</v>
      </c>
      <c r="E286" s="60">
        <v>101674</v>
      </c>
      <c r="F286" s="63" t="s">
        <v>82</v>
      </c>
    </row>
    <row r="287" spans="1:6" x14ac:dyDescent="0.45">
      <c r="A287" s="58">
        <v>2022</v>
      </c>
      <c r="B287" s="5" t="s">
        <v>55</v>
      </c>
      <c r="C287" s="5" t="s">
        <v>47</v>
      </c>
      <c r="D287" s="6">
        <v>4042</v>
      </c>
      <c r="E287" s="61">
        <v>62764</v>
      </c>
      <c r="F287" s="63" t="s">
        <v>81</v>
      </c>
    </row>
    <row r="288" spans="1:6" x14ac:dyDescent="0.45">
      <c r="A288" s="57">
        <v>2022</v>
      </c>
      <c r="B288" s="3" t="s">
        <v>55</v>
      </c>
      <c r="C288" s="3" t="s">
        <v>48</v>
      </c>
      <c r="D288" s="4">
        <v>14688</v>
      </c>
      <c r="E288" s="60">
        <v>86470</v>
      </c>
      <c r="F288" s="63" t="s">
        <v>82</v>
      </c>
    </row>
    <row r="289" spans="1:6" x14ac:dyDescent="0.45">
      <c r="A289" s="58">
        <v>2022</v>
      </c>
      <c r="B289" s="5" t="s">
        <v>55</v>
      </c>
      <c r="C289" s="5" t="s">
        <v>49</v>
      </c>
      <c r="D289" s="6">
        <v>2353</v>
      </c>
      <c r="E289" s="61">
        <v>70480</v>
      </c>
      <c r="F289" s="63" t="s">
        <v>81</v>
      </c>
    </row>
    <row r="290" spans="1:6" x14ac:dyDescent="0.45">
      <c r="A290" s="57">
        <v>2022</v>
      </c>
      <c r="B290" s="3" t="s">
        <v>56</v>
      </c>
      <c r="C290" s="3" t="s">
        <v>2</v>
      </c>
      <c r="D290" s="4">
        <v>22875</v>
      </c>
      <c r="E290" s="60">
        <v>68111</v>
      </c>
      <c r="F290" s="63" t="s">
        <v>81</v>
      </c>
    </row>
    <row r="291" spans="1:6" x14ac:dyDescent="0.45">
      <c r="A291" s="58">
        <v>2022</v>
      </c>
      <c r="B291" s="5" t="s">
        <v>56</v>
      </c>
      <c r="C291" s="5" t="s">
        <v>3</v>
      </c>
      <c r="D291" s="6">
        <v>40867</v>
      </c>
      <c r="E291" s="61">
        <v>69180</v>
      </c>
      <c r="F291" s="63" t="s">
        <v>82</v>
      </c>
    </row>
    <row r="292" spans="1:6" x14ac:dyDescent="0.45">
      <c r="A292" s="57">
        <v>2022</v>
      </c>
      <c r="B292" s="3" t="s">
        <v>56</v>
      </c>
      <c r="C292" s="3" t="s">
        <v>4</v>
      </c>
      <c r="D292" s="4">
        <v>15490</v>
      </c>
      <c r="E292" s="60">
        <v>74067</v>
      </c>
      <c r="F292" s="63" t="s">
        <v>82</v>
      </c>
    </row>
    <row r="293" spans="1:6" x14ac:dyDescent="0.45">
      <c r="A293" s="58">
        <v>2022</v>
      </c>
      <c r="B293" s="5" t="s">
        <v>56</v>
      </c>
      <c r="C293" s="5" t="s">
        <v>5</v>
      </c>
      <c r="D293" s="6">
        <v>221985</v>
      </c>
      <c r="E293" s="61">
        <v>112486</v>
      </c>
      <c r="F293" s="63" t="s">
        <v>82</v>
      </c>
    </row>
    <row r="294" spans="1:6" x14ac:dyDescent="0.45">
      <c r="A294" s="57">
        <v>2022</v>
      </c>
      <c r="B294" s="3" t="s">
        <v>56</v>
      </c>
      <c r="C294" s="3" t="s">
        <v>6</v>
      </c>
      <c r="D294" s="4">
        <v>58286</v>
      </c>
      <c r="E294" s="60">
        <v>96744</v>
      </c>
      <c r="F294" s="63" t="s">
        <v>82</v>
      </c>
    </row>
    <row r="295" spans="1:6" x14ac:dyDescent="0.45">
      <c r="A295" s="58">
        <v>2022</v>
      </c>
      <c r="B295" s="5" t="s">
        <v>56</v>
      </c>
      <c r="C295" s="5" t="s">
        <v>7</v>
      </c>
      <c r="D295" s="6">
        <v>24131</v>
      </c>
      <c r="E295" s="61">
        <v>101714</v>
      </c>
      <c r="F295" s="63" t="s">
        <v>82</v>
      </c>
    </row>
    <row r="296" spans="1:6" x14ac:dyDescent="0.45">
      <c r="A296" s="57">
        <v>2022</v>
      </c>
      <c r="B296" s="3" t="s">
        <v>56</v>
      </c>
      <c r="C296" s="3" t="s">
        <v>8</v>
      </c>
      <c r="D296" s="4">
        <v>9766</v>
      </c>
      <c r="E296" s="60">
        <v>91651</v>
      </c>
      <c r="F296" s="63" t="s">
        <v>82</v>
      </c>
    </row>
    <row r="297" spans="1:6" x14ac:dyDescent="0.45">
      <c r="A297" s="58">
        <v>2022</v>
      </c>
      <c r="B297" s="5" t="s">
        <v>56</v>
      </c>
      <c r="C297" s="5" t="s">
        <v>9</v>
      </c>
      <c r="D297" s="6">
        <v>179893</v>
      </c>
      <c r="E297" s="61">
        <v>74223</v>
      </c>
      <c r="F297" s="63" t="s">
        <v>82</v>
      </c>
    </row>
    <row r="298" spans="1:6" x14ac:dyDescent="0.45">
      <c r="A298" s="57">
        <v>2022</v>
      </c>
      <c r="B298" s="3" t="s">
        <v>56</v>
      </c>
      <c r="C298" s="3" t="s">
        <v>10</v>
      </c>
      <c r="D298" s="4">
        <v>60683</v>
      </c>
      <c r="E298" s="60">
        <v>82331</v>
      </c>
      <c r="F298" s="63" t="s">
        <v>82</v>
      </c>
    </row>
    <row r="299" spans="1:6" x14ac:dyDescent="0.45">
      <c r="A299" s="58">
        <v>2022</v>
      </c>
      <c r="B299" s="5" t="s">
        <v>56</v>
      </c>
      <c r="C299" s="5" t="s">
        <v>11</v>
      </c>
      <c r="D299" s="6">
        <v>12911</v>
      </c>
      <c r="E299" s="61">
        <v>65743</v>
      </c>
      <c r="F299" s="63" t="s">
        <v>82</v>
      </c>
    </row>
    <row r="300" spans="1:6" x14ac:dyDescent="0.45">
      <c r="A300" s="57">
        <v>2022</v>
      </c>
      <c r="B300" s="3" t="s">
        <v>56</v>
      </c>
      <c r="C300" s="3" t="s">
        <v>12</v>
      </c>
      <c r="D300" s="4">
        <v>75904</v>
      </c>
      <c r="E300" s="60">
        <v>89889</v>
      </c>
      <c r="F300" s="63" t="s">
        <v>82</v>
      </c>
    </row>
    <row r="301" spans="1:6" x14ac:dyDescent="0.45">
      <c r="A301" s="58">
        <v>2022</v>
      </c>
      <c r="B301" s="5" t="s">
        <v>56</v>
      </c>
      <c r="C301" s="5" t="s">
        <v>13</v>
      </c>
      <c r="D301" s="6">
        <v>32143</v>
      </c>
      <c r="E301" s="61">
        <v>64578</v>
      </c>
      <c r="F301" s="63" t="s">
        <v>82</v>
      </c>
    </row>
    <row r="302" spans="1:6" x14ac:dyDescent="0.45">
      <c r="A302" s="57">
        <v>2022</v>
      </c>
      <c r="B302" s="3" t="s">
        <v>56</v>
      </c>
      <c r="C302" s="3" t="s">
        <v>14</v>
      </c>
      <c r="D302" s="4">
        <v>16706</v>
      </c>
      <c r="E302" s="60">
        <v>67793</v>
      </c>
      <c r="F302" s="63" t="s">
        <v>82</v>
      </c>
    </row>
    <row r="303" spans="1:6" x14ac:dyDescent="0.45">
      <c r="A303" s="58">
        <v>2022</v>
      </c>
      <c r="B303" s="5" t="s">
        <v>56</v>
      </c>
      <c r="C303" s="5" t="s">
        <v>15</v>
      </c>
      <c r="D303" s="6">
        <v>16823</v>
      </c>
      <c r="E303" s="61">
        <v>75538</v>
      </c>
      <c r="F303" s="63" t="s">
        <v>82</v>
      </c>
    </row>
    <row r="304" spans="1:6" x14ac:dyDescent="0.45">
      <c r="A304" s="57">
        <v>2022</v>
      </c>
      <c r="B304" s="3" t="s">
        <v>56</v>
      </c>
      <c r="C304" s="3" t="s">
        <v>16</v>
      </c>
      <c r="D304" s="4">
        <v>22329</v>
      </c>
      <c r="E304" s="60">
        <v>61987</v>
      </c>
      <c r="F304" s="63" t="s">
        <v>82</v>
      </c>
    </row>
    <row r="305" spans="1:6" x14ac:dyDescent="0.45">
      <c r="A305" s="58">
        <v>2022</v>
      </c>
      <c r="B305" s="5" t="s">
        <v>56</v>
      </c>
      <c r="C305" s="5" t="s">
        <v>17</v>
      </c>
      <c r="D305" s="6">
        <v>26262</v>
      </c>
      <c r="E305" s="61">
        <v>66136</v>
      </c>
      <c r="F305" s="63" t="s">
        <v>82</v>
      </c>
    </row>
    <row r="306" spans="1:6" x14ac:dyDescent="0.45">
      <c r="A306" s="57">
        <v>2022</v>
      </c>
      <c r="B306" s="3" t="s">
        <v>56</v>
      </c>
      <c r="C306" s="3" t="s">
        <v>18</v>
      </c>
      <c r="D306" s="4">
        <v>11267</v>
      </c>
      <c r="E306" s="60">
        <v>72178</v>
      </c>
      <c r="F306" s="63" t="s">
        <v>82</v>
      </c>
    </row>
    <row r="307" spans="1:6" x14ac:dyDescent="0.45">
      <c r="A307" s="58">
        <v>2022</v>
      </c>
      <c r="B307" s="5" t="s">
        <v>56</v>
      </c>
      <c r="C307" s="5" t="s">
        <v>19</v>
      </c>
      <c r="D307" s="6">
        <v>44172</v>
      </c>
      <c r="E307" s="61">
        <v>94391</v>
      </c>
      <c r="F307" s="63" t="s">
        <v>82</v>
      </c>
    </row>
    <row r="308" spans="1:6" x14ac:dyDescent="0.45">
      <c r="A308" s="57">
        <v>2022</v>
      </c>
      <c r="B308" s="3" t="s">
        <v>56</v>
      </c>
      <c r="C308" s="3" t="s">
        <v>20</v>
      </c>
      <c r="D308" s="4">
        <v>48428</v>
      </c>
      <c r="E308" s="60">
        <v>130638</v>
      </c>
      <c r="F308" s="63" t="s">
        <v>82</v>
      </c>
    </row>
    <row r="309" spans="1:6" x14ac:dyDescent="0.45">
      <c r="A309" s="58">
        <v>2022</v>
      </c>
      <c r="B309" s="5" t="s">
        <v>56</v>
      </c>
      <c r="C309" s="5" t="s">
        <v>21</v>
      </c>
      <c r="D309" s="6">
        <v>46269</v>
      </c>
      <c r="E309" s="61">
        <v>82432</v>
      </c>
      <c r="F309" s="63" t="s">
        <v>82</v>
      </c>
    </row>
    <row r="310" spans="1:6" x14ac:dyDescent="0.45">
      <c r="A310" s="57">
        <v>2022</v>
      </c>
      <c r="B310" s="3" t="s">
        <v>56</v>
      </c>
      <c r="C310" s="3" t="s">
        <v>22</v>
      </c>
      <c r="D310" s="4">
        <v>33603</v>
      </c>
      <c r="E310" s="60">
        <v>97033</v>
      </c>
      <c r="F310" s="63" t="s">
        <v>82</v>
      </c>
    </row>
    <row r="311" spans="1:6" x14ac:dyDescent="0.45">
      <c r="A311" s="58">
        <v>2022</v>
      </c>
      <c r="B311" s="5" t="s">
        <v>56</v>
      </c>
      <c r="C311" s="5" t="s">
        <v>23</v>
      </c>
      <c r="D311" s="6">
        <v>12692</v>
      </c>
      <c r="E311" s="61">
        <v>51573</v>
      </c>
      <c r="F311" s="63" t="s">
        <v>82</v>
      </c>
    </row>
    <row r="312" spans="1:6" x14ac:dyDescent="0.45">
      <c r="A312" s="57">
        <v>2022</v>
      </c>
      <c r="B312" s="3" t="s">
        <v>56</v>
      </c>
      <c r="C312" s="3" t="s">
        <v>24</v>
      </c>
      <c r="D312" s="4">
        <v>36089</v>
      </c>
      <c r="E312" s="60">
        <v>78666</v>
      </c>
      <c r="F312" s="63" t="s">
        <v>82</v>
      </c>
    </row>
    <row r="313" spans="1:6" x14ac:dyDescent="0.45">
      <c r="A313" s="58">
        <v>2022</v>
      </c>
      <c r="B313" s="5" t="s">
        <v>56</v>
      </c>
      <c r="C313" s="5" t="s">
        <v>25</v>
      </c>
      <c r="D313" s="6">
        <v>10331</v>
      </c>
      <c r="E313" s="61">
        <v>65785</v>
      </c>
      <c r="F313" s="63" t="s">
        <v>82</v>
      </c>
    </row>
    <row r="314" spans="1:6" x14ac:dyDescent="0.45">
      <c r="A314" s="57">
        <v>2022</v>
      </c>
      <c r="B314" s="3" t="s">
        <v>56</v>
      </c>
      <c r="C314" s="3" t="s">
        <v>26</v>
      </c>
      <c r="D314" s="4">
        <v>11809</v>
      </c>
      <c r="E314" s="60">
        <v>71292</v>
      </c>
      <c r="F314" s="63" t="s">
        <v>82</v>
      </c>
    </row>
    <row r="315" spans="1:6" x14ac:dyDescent="0.45">
      <c r="A315" s="58">
        <v>2022</v>
      </c>
      <c r="B315" s="5" t="s">
        <v>56</v>
      </c>
      <c r="C315" s="5" t="s">
        <v>27</v>
      </c>
      <c r="D315" s="6">
        <v>20046</v>
      </c>
      <c r="E315" s="61">
        <v>73081</v>
      </c>
      <c r="F315" s="63" t="s">
        <v>82</v>
      </c>
    </row>
    <row r="316" spans="1:6" x14ac:dyDescent="0.45">
      <c r="A316" s="57">
        <v>2022</v>
      </c>
      <c r="B316" s="3" t="s">
        <v>56</v>
      </c>
      <c r="C316" s="3" t="s">
        <v>28</v>
      </c>
      <c r="D316" s="4">
        <v>13616</v>
      </c>
      <c r="E316" s="60">
        <v>94167</v>
      </c>
      <c r="F316" s="63" t="s">
        <v>81</v>
      </c>
    </row>
    <row r="317" spans="1:6" x14ac:dyDescent="0.45">
      <c r="A317" s="58">
        <v>2022</v>
      </c>
      <c r="B317" s="5" t="s">
        <v>56</v>
      </c>
      <c r="C317" s="5" t="s">
        <v>29</v>
      </c>
      <c r="D317" s="6">
        <v>53304</v>
      </c>
      <c r="E317" s="61">
        <v>108666</v>
      </c>
      <c r="F317" s="63" t="s">
        <v>81</v>
      </c>
    </row>
    <row r="318" spans="1:6" x14ac:dyDescent="0.45">
      <c r="A318" s="57">
        <v>2022</v>
      </c>
      <c r="B318" s="3" t="s">
        <v>56</v>
      </c>
      <c r="C318" s="3" t="s">
        <v>30</v>
      </c>
      <c r="D318" s="4">
        <v>11550</v>
      </c>
      <c r="E318" s="60">
        <v>75938</v>
      </c>
      <c r="F318" s="63" t="s">
        <v>82</v>
      </c>
    </row>
    <row r="319" spans="1:6" x14ac:dyDescent="0.45">
      <c r="A319" s="58">
        <v>2022</v>
      </c>
      <c r="B319" s="5" t="s">
        <v>56</v>
      </c>
      <c r="C319" s="5" t="s">
        <v>31</v>
      </c>
      <c r="D319" s="6">
        <v>117347</v>
      </c>
      <c r="E319" s="61">
        <v>115413</v>
      </c>
      <c r="F319" s="63" t="s">
        <v>82</v>
      </c>
    </row>
    <row r="320" spans="1:6" x14ac:dyDescent="0.45">
      <c r="A320" s="57">
        <v>2022</v>
      </c>
      <c r="B320" s="3" t="s">
        <v>56</v>
      </c>
      <c r="C320" s="3" t="s">
        <v>32</v>
      </c>
      <c r="D320" s="4">
        <v>64843</v>
      </c>
      <c r="E320" s="60">
        <v>78078</v>
      </c>
      <c r="F320" s="63" t="s">
        <v>82</v>
      </c>
    </row>
    <row r="321" spans="1:6" x14ac:dyDescent="0.45">
      <c r="A321" s="58">
        <v>2022</v>
      </c>
      <c r="B321" s="5" t="s">
        <v>56</v>
      </c>
      <c r="C321" s="5" t="s">
        <v>33</v>
      </c>
      <c r="D321" s="6">
        <v>5337</v>
      </c>
      <c r="E321" s="61">
        <v>71877</v>
      </c>
      <c r="F321" s="63" t="s">
        <v>82</v>
      </c>
    </row>
    <row r="322" spans="1:6" x14ac:dyDescent="0.45">
      <c r="A322" s="57">
        <v>2022</v>
      </c>
      <c r="B322" s="3" t="s">
        <v>56</v>
      </c>
      <c r="C322" s="3" t="s">
        <v>34</v>
      </c>
      <c r="D322" s="4">
        <v>55987</v>
      </c>
      <c r="E322" s="60">
        <v>77920</v>
      </c>
      <c r="F322" s="63" t="s">
        <v>82</v>
      </c>
    </row>
    <row r="323" spans="1:6" x14ac:dyDescent="0.45">
      <c r="A323" s="58">
        <v>2022</v>
      </c>
      <c r="B323" s="5" t="s">
        <v>56</v>
      </c>
      <c r="C323" s="5" t="s">
        <v>35</v>
      </c>
      <c r="D323" s="6">
        <v>21652</v>
      </c>
      <c r="E323" s="61">
        <v>64539</v>
      </c>
      <c r="F323" s="63" t="s">
        <v>81</v>
      </c>
    </row>
    <row r="324" spans="1:6" x14ac:dyDescent="0.45">
      <c r="A324" s="57">
        <v>2022</v>
      </c>
      <c r="B324" s="3" t="s">
        <v>56</v>
      </c>
      <c r="C324" s="3" t="s">
        <v>36</v>
      </c>
      <c r="D324" s="4">
        <v>27033</v>
      </c>
      <c r="E324" s="60">
        <v>87224</v>
      </c>
      <c r="F324" s="63" t="s">
        <v>81</v>
      </c>
    </row>
    <row r="325" spans="1:6" x14ac:dyDescent="0.45">
      <c r="A325" s="58">
        <v>2022</v>
      </c>
      <c r="B325" s="5" t="s">
        <v>56</v>
      </c>
      <c r="C325" s="5" t="s">
        <v>37</v>
      </c>
      <c r="D325" s="6">
        <v>66210</v>
      </c>
      <c r="E325" s="61">
        <v>92971</v>
      </c>
      <c r="F325" s="63" t="s">
        <v>82</v>
      </c>
    </row>
    <row r="326" spans="1:6" x14ac:dyDescent="0.45">
      <c r="A326" s="57">
        <v>2022</v>
      </c>
      <c r="B326" s="3" t="s">
        <v>56</v>
      </c>
      <c r="C326" s="3" t="s">
        <v>38</v>
      </c>
      <c r="D326" s="4">
        <v>9567</v>
      </c>
      <c r="E326" s="60">
        <v>81829</v>
      </c>
      <c r="F326" s="63" t="s">
        <v>81</v>
      </c>
    </row>
    <row r="327" spans="1:6" x14ac:dyDescent="0.45">
      <c r="A327" s="58">
        <v>2022</v>
      </c>
      <c r="B327" s="5" t="s">
        <v>56</v>
      </c>
      <c r="C327" s="5" t="s">
        <v>39</v>
      </c>
      <c r="D327" s="6">
        <v>30793</v>
      </c>
      <c r="E327" s="61">
        <v>62907</v>
      </c>
      <c r="F327" s="63" t="s">
        <v>81</v>
      </c>
    </row>
    <row r="328" spans="1:6" x14ac:dyDescent="0.45">
      <c r="A328" s="57">
        <v>2022</v>
      </c>
      <c r="B328" s="3" t="s">
        <v>56</v>
      </c>
      <c r="C328" s="3" t="s">
        <v>40</v>
      </c>
      <c r="D328" s="4">
        <v>5876</v>
      </c>
      <c r="E328" s="60">
        <v>69709</v>
      </c>
      <c r="F328" s="63" t="s">
        <v>82</v>
      </c>
    </row>
    <row r="329" spans="1:6" x14ac:dyDescent="0.45">
      <c r="A329" s="58">
        <v>2022</v>
      </c>
      <c r="B329" s="5" t="s">
        <v>56</v>
      </c>
      <c r="C329" s="5" t="s">
        <v>41</v>
      </c>
      <c r="D329" s="6">
        <v>32595</v>
      </c>
      <c r="E329" s="61">
        <v>72460</v>
      </c>
      <c r="F329" s="63" t="s">
        <v>82</v>
      </c>
    </row>
    <row r="330" spans="1:6" x14ac:dyDescent="0.45">
      <c r="A330" s="57">
        <v>2022</v>
      </c>
      <c r="B330" s="3" t="s">
        <v>56</v>
      </c>
      <c r="C330" s="3" t="s">
        <v>42</v>
      </c>
      <c r="D330" s="4">
        <v>146639</v>
      </c>
      <c r="E330" s="60">
        <v>87123</v>
      </c>
      <c r="F330" s="63" t="s">
        <v>81</v>
      </c>
    </row>
    <row r="331" spans="1:6" x14ac:dyDescent="0.45">
      <c r="A331" s="58">
        <v>2022</v>
      </c>
      <c r="B331" s="5" t="s">
        <v>56</v>
      </c>
      <c r="C331" s="5" t="s">
        <v>43</v>
      </c>
      <c r="D331" s="6">
        <v>25941</v>
      </c>
      <c r="E331" s="61">
        <v>74355</v>
      </c>
      <c r="F331" s="63" t="s">
        <v>81</v>
      </c>
    </row>
    <row r="332" spans="1:6" x14ac:dyDescent="0.45">
      <c r="A332" s="57">
        <v>2022</v>
      </c>
      <c r="B332" s="3" t="s">
        <v>56</v>
      </c>
      <c r="C332" s="3" t="s">
        <v>44</v>
      </c>
      <c r="D332" s="4">
        <v>6346</v>
      </c>
      <c r="E332" s="60">
        <v>80442</v>
      </c>
      <c r="F332" s="63" t="s">
        <v>82</v>
      </c>
    </row>
    <row r="333" spans="1:6" x14ac:dyDescent="0.45">
      <c r="A333" s="58">
        <v>2022</v>
      </c>
      <c r="B333" s="5" t="s">
        <v>56</v>
      </c>
      <c r="C333" s="5" t="s">
        <v>45</v>
      </c>
      <c r="D333" s="6">
        <v>60099</v>
      </c>
      <c r="E333" s="61">
        <v>102046</v>
      </c>
      <c r="F333" s="63" t="s">
        <v>81</v>
      </c>
    </row>
    <row r="334" spans="1:6" x14ac:dyDescent="0.45">
      <c r="A334" s="57">
        <v>2022</v>
      </c>
      <c r="B334" s="3" t="s">
        <v>56</v>
      </c>
      <c r="C334" s="3" t="s">
        <v>46</v>
      </c>
      <c r="D334" s="4">
        <v>43094</v>
      </c>
      <c r="E334" s="60">
        <v>98279</v>
      </c>
      <c r="F334" s="63" t="s">
        <v>82</v>
      </c>
    </row>
    <row r="335" spans="1:6" x14ac:dyDescent="0.45">
      <c r="A335" s="58">
        <v>2022</v>
      </c>
      <c r="B335" s="5" t="s">
        <v>56</v>
      </c>
      <c r="C335" s="5" t="s">
        <v>47</v>
      </c>
      <c r="D335" s="6">
        <v>8599</v>
      </c>
      <c r="E335" s="61">
        <v>59557</v>
      </c>
      <c r="F335" s="63" t="s">
        <v>81</v>
      </c>
    </row>
    <row r="336" spans="1:6" x14ac:dyDescent="0.45">
      <c r="A336" s="57">
        <v>2022</v>
      </c>
      <c r="B336" s="3" t="s">
        <v>56</v>
      </c>
      <c r="C336" s="3" t="s">
        <v>48</v>
      </c>
      <c r="D336" s="4">
        <v>27048</v>
      </c>
      <c r="E336" s="60">
        <v>73254</v>
      </c>
      <c r="F336" s="63" t="s">
        <v>81</v>
      </c>
    </row>
    <row r="337" spans="1:6" x14ac:dyDescent="0.45">
      <c r="A337" s="58">
        <v>2022</v>
      </c>
      <c r="B337" s="5" t="s">
        <v>56</v>
      </c>
      <c r="C337" s="5" t="s">
        <v>49</v>
      </c>
      <c r="D337" s="6">
        <v>4986</v>
      </c>
      <c r="E337" s="61">
        <v>66233</v>
      </c>
      <c r="F337" s="63" t="s">
        <v>82</v>
      </c>
    </row>
    <row r="338" spans="1:6" x14ac:dyDescent="0.45">
      <c r="A338" s="57">
        <v>2022</v>
      </c>
      <c r="B338" s="3" t="s">
        <v>57</v>
      </c>
      <c r="C338" s="3" t="s">
        <v>2</v>
      </c>
      <c r="D338" s="4">
        <v>15859</v>
      </c>
      <c r="E338" s="60">
        <v>57193</v>
      </c>
      <c r="F338" s="63" t="s">
        <v>82</v>
      </c>
    </row>
    <row r="339" spans="1:6" x14ac:dyDescent="0.45">
      <c r="A339" s="58">
        <v>2022</v>
      </c>
      <c r="B339" s="5" t="s">
        <v>57</v>
      </c>
      <c r="C339" s="5" t="s">
        <v>3</v>
      </c>
      <c r="D339" s="6">
        <v>20727</v>
      </c>
      <c r="E339" s="61">
        <v>62159</v>
      </c>
      <c r="F339" s="63" t="s">
        <v>81</v>
      </c>
    </row>
    <row r="340" spans="1:6" x14ac:dyDescent="0.45">
      <c r="A340" s="57">
        <v>2022</v>
      </c>
      <c r="B340" s="3" t="s">
        <v>57</v>
      </c>
      <c r="C340" s="3" t="s">
        <v>4</v>
      </c>
      <c r="D340" s="4">
        <v>15656</v>
      </c>
      <c r="E340" s="60">
        <v>53435</v>
      </c>
      <c r="F340" s="63" t="s">
        <v>81</v>
      </c>
    </row>
    <row r="341" spans="1:6" x14ac:dyDescent="0.45">
      <c r="A341" s="58">
        <v>2022</v>
      </c>
      <c r="B341" s="5" t="s">
        <v>57</v>
      </c>
      <c r="C341" s="5" t="s">
        <v>5</v>
      </c>
      <c r="D341" s="6">
        <v>656765</v>
      </c>
      <c r="E341" s="61">
        <v>63668</v>
      </c>
      <c r="F341" s="63" t="s">
        <v>82</v>
      </c>
    </row>
    <row r="342" spans="1:6" x14ac:dyDescent="0.45">
      <c r="A342" s="57">
        <v>2022</v>
      </c>
      <c r="B342" s="3" t="s">
        <v>57</v>
      </c>
      <c r="C342" s="3" t="s">
        <v>6</v>
      </c>
      <c r="D342" s="4">
        <v>23475</v>
      </c>
      <c r="E342" s="60">
        <v>61198</v>
      </c>
      <c r="F342" s="63" t="s">
        <v>82</v>
      </c>
    </row>
    <row r="343" spans="1:6" x14ac:dyDescent="0.45">
      <c r="A343" s="58">
        <v>2022</v>
      </c>
      <c r="B343" s="5" t="s">
        <v>57</v>
      </c>
      <c r="C343" s="5" t="s">
        <v>7</v>
      </c>
      <c r="D343" s="6">
        <v>19964</v>
      </c>
      <c r="E343" s="61">
        <v>67215</v>
      </c>
      <c r="F343" s="63" t="s">
        <v>82</v>
      </c>
    </row>
    <row r="344" spans="1:6" x14ac:dyDescent="0.45">
      <c r="A344" s="57">
        <v>2022</v>
      </c>
      <c r="B344" s="3" t="s">
        <v>57</v>
      </c>
      <c r="C344" s="3" t="s">
        <v>8</v>
      </c>
      <c r="D344" s="4">
        <v>5522</v>
      </c>
      <c r="E344" s="60">
        <v>63470</v>
      </c>
      <c r="F344" s="63" t="s">
        <v>82</v>
      </c>
    </row>
    <row r="345" spans="1:6" x14ac:dyDescent="0.45">
      <c r="A345" s="58">
        <v>2022</v>
      </c>
      <c r="B345" s="5" t="s">
        <v>57</v>
      </c>
      <c r="C345" s="5" t="s">
        <v>9</v>
      </c>
      <c r="D345" s="6">
        <v>85058</v>
      </c>
      <c r="E345" s="61">
        <v>61114</v>
      </c>
      <c r="F345" s="63" t="s">
        <v>82</v>
      </c>
    </row>
    <row r="346" spans="1:6" x14ac:dyDescent="0.45">
      <c r="A346" s="57">
        <v>2022</v>
      </c>
      <c r="B346" s="3" t="s">
        <v>57</v>
      </c>
      <c r="C346" s="3" t="s">
        <v>10</v>
      </c>
      <c r="D346" s="4">
        <v>31842</v>
      </c>
      <c r="E346" s="60">
        <v>63141</v>
      </c>
      <c r="F346" s="63" t="s">
        <v>81</v>
      </c>
    </row>
    <row r="347" spans="1:6" x14ac:dyDescent="0.45">
      <c r="A347" s="58">
        <v>2022</v>
      </c>
      <c r="B347" s="5" t="s">
        <v>57</v>
      </c>
      <c r="C347" s="5" t="s">
        <v>11</v>
      </c>
      <c r="D347" s="6">
        <v>9128</v>
      </c>
      <c r="E347" s="61">
        <v>51479</v>
      </c>
      <c r="F347" s="63" t="s">
        <v>81</v>
      </c>
    </row>
    <row r="348" spans="1:6" x14ac:dyDescent="0.45">
      <c r="A348" s="57">
        <v>2022</v>
      </c>
      <c r="B348" s="3" t="s">
        <v>57</v>
      </c>
      <c r="C348" s="3" t="s">
        <v>12</v>
      </c>
      <c r="D348" s="4">
        <v>39684</v>
      </c>
      <c r="E348" s="60">
        <v>61678</v>
      </c>
      <c r="F348" s="63" t="s">
        <v>82</v>
      </c>
    </row>
    <row r="349" spans="1:6" x14ac:dyDescent="0.45">
      <c r="A349" s="58">
        <v>2022</v>
      </c>
      <c r="B349" s="5" t="s">
        <v>57</v>
      </c>
      <c r="C349" s="5" t="s">
        <v>13</v>
      </c>
      <c r="D349" s="6">
        <v>16899</v>
      </c>
      <c r="E349" s="61">
        <v>58802</v>
      </c>
      <c r="F349" s="63" t="s">
        <v>81</v>
      </c>
    </row>
    <row r="350" spans="1:6" x14ac:dyDescent="0.45">
      <c r="A350" s="57">
        <v>2022</v>
      </c>
      <c r="B350" s="3" t="s">
        <v>57</v>
      </c>
      <c r="C350" s="3" t="s">
        <v>14</v>
      </c>
      <c r="D350" s="4">
        <v>13294</v>
      </c>
      <c r="E350" s="60">
        <v>53222</v>
      </c>
      <c r="F350" s="63" t="s">
        <v>81</v>
      </c>
    </row>
    <row r="351" spans="1:6" x14ac:dyDescent="0.45">
      <c r="A351" s="58">
        <v>2022</v>
      </c>
      <c r="B351" s="5" t="s">
        <v>57</v>
      </c>
      <c r="C351" s="5" t="s">
        <v>15</v>
      </c>
      <c r="D351" s="6">
        <v>10330</v>
      </c>
      <c r="E351" s="61">
        <v>54486</v>
      </c>
      <c r="F351" s="63" t="s">
        <v>82</v>
      </c>
    </row>
    <row r="352" spans="1:6" x14ac:dyDescent="0.45">
      <c r="A352" s="57">
        <v>2022</v>
      </c>
      <c r="B352" s="3" t="s">
        <v>57</v>
      </c>
      <c r="C352" s="3" t="s">
        <v>16</v>
      </c>
      <c r="D352" s="4">
        <v>20809</v>
      </c>
      <c r="E352" s="60">
        <v>58098</v>
      </c>
      <c r="F352" s="63" t="s">
        <v>82</v>
      </c>
    </row>
    <row r="353" spans="1:6" x14ac:dyDescent="0.45">
      <c r="A353" s="58">
        <v>2022</v>
      </c>
      <c r="B353" s="5" t="s">
        <v>57</v>
      </c>
      <c r="C353" s="5" t="s">
        <v>17</v>
      </c>
      <c r="D353" s="6">
        <v>16834</v>
      </c>
      <c r="E353" s="61">
        <v>54222</v>
      </c>
      <c r="F353" s="63" t="s">
        <v>81</v>
      </c>
    </row>
    <row r="354" spans="1:6" x14ac:dyDescent="0.45">
      <c r="A354" s="57">
        <v>2022</v>
      </c>
      <c r="B354" s="3" t="s">
        <v>57</v>
      </c>
      <c r="C354" s="3" t="s">
        <v>18</v>
      </c>
      <c r="D354" s="4">
        <v>5591</v>
      </c>
      <c r="E354" s="60">
        <v>59739</v>
      </c>
      <c r="F354" s="63" t="s">
        <v>81</v>
      </c>
    </row>
    <row r="355" spans="1:6" x14ac:dyDescent="0.45">
      <c r="A355" s="58">
        <v>2022</v>
      </c>
      <c r="B355" s="5" t="s">
        <v>57</v>
      </c>
      <c r="C355" s="5" t="s">
        <v>19</v>
      </c>
      <c r="D355" s="6">
        <v>21505</v>
      </c>
      <c r="E355" s="61">
        <v>65854</v>
      </c>
      <c r="F355" s="63" t="s">
        <v>82</v>
      </c>
    </row>
    <row r="356" spans="1:6" x14ac:dyDescent="0.45">
      <c r="A356" s="57">
        <v>2022</v>
      </c>
      <c r="B356" s="3" t="s">
        <v>57</v>
      </c>
      <c r="C356" s="3" t="s">
        <v>20</v>
      </c>
      <c r="D356" s="4">
        <v>71270</v>
      </c>
      <c r="E356" s="60">
        <v>70556</v>
      </c>
      <c r="F356" s="63" t="s">
        <v>81</v>
      </c>
    </row>
    <row r="357" spans="1:6" x14ac:dyDescent="0.45">
      <c r="A357" s="58">
        <v>2022</v>
      </c>
      <c r="B357" s="5" t="s">
        <v>57</v>
      </c>
      <c r="C357" s="5" t="s">
        <v>21</v>
      </c>
      <c r="D357" s="6">
        <v>32965</v>
      </c>
      <c r="E357" s="61">
        <v>60163</v>
      </c>
      <c r="F357" s="63" t="s">
        <v>82</v>
      </c>
    </row>
    <row r="358" spans="1:6" x14ac:dyDescent="0.45">
      <c r="A358" s="57">
        <v>2022</v>
      </c>
      <c r="B358" s="3" t="s">
        <v>57</v>
      </c>
      <c r="C358" s="3" t="s">
        <v>22</v>
      </c>
      <c r="D358" s="4">
        <v>22985</v>
      </c>
      <c r="E358" s="60">
        <v>61127</v>
      </c>
      <c r="F358" s="63" t="s">
        <v>81</v>
      </c>
    </row>
    <row r="359" spans="1:6" x14ac:dyDescent="0.45">
      <c r="A359" s="58">
        <v>2022</v>
      </c>
      <c r="B359" s="5" t="s">
        <v>57</v>
      </c>
      <c r="C359" s="5" t="s">
        <v>23</v>
      </c>
      <c r="D359" s="6">
        <v>7693</v>
      </c>
      <c r="E359" s="61">
        <v>51670</v>
      </c>
      <c r="F359" s="63" t="s">
        <v>81</v>
      </c>
    </row>
    <row r="360" spans="1:6" x14ac:dyDescent="0.45">
      <c r="A360" s="57">
        <v>2022</v>
      </c>
      <c r="B360" s="3" t="s">
        <v>57</v>
      </c>
      <c r="C360" s="3" t="s">
        <v>24</v>
      </c>
      <c r="D360" s="4">
        <v>56134</v>
      </c>
      <c r="E360" s="60">
        <v>56460</v>
      </c>
      <c r="F360" s="63" t="s">
        <v>82</v>
      </c>
    </row>
    <row r="361" spans="1:6" x14ac:dyDescent="0.45">
      <c r="A361" s="58">
        <v>2022</v>
      </c>
      <c r="B361" s="5" t="s">
        <v>57</v>
      </c>
      <c r="C361" s="5" t="s">
        <v>25</v>
      </c>
      <c r="D361" s="6">
        <v>5112</v>
      </c>
      <c r="E361" s="61">
        <v>58612</v>
      </c>
      <c r="F361" s="63" t="s">
        <v>82</v>
      </c>
    </row>
    <row r="362" spans="1:6" x14ac:dyDescent="0.45">
      <c r="A362" s="57">
        <v>2022</v>
      </c>
      <c r="B362" s="3" t="s">
        <v>57</v>
      </c>
      <c r="C362" s="3" t="s">
        <v>26</v>
      </c>
      <c r="D362" s="4">
        <v>10522</v>
      </c>
      <c r="E362" s="60">
        <v>57740</v>
      </c>
      <c r="F362" s="63" t="s">
        <v>81</v>
      </c>
    </row>
    <row r="363" spans="1:6" x14ac:dyDescent="0.45">
      <c r="A363" s="58">
        <v>2022</v>
      </c>
      <c r="B363" s="5" t="s">
        <v>57</v>
      </c>
      <c r="C363" s="5" t="s">
        <v>27</v>
      </c>
      <c r="D363" s="6">
        <v>9126</v>
      </c>
      <c r="E363" s="61">
        <v>64047</v>
      </c>
      <c r="F363" s="63" t="s">
        <v>81</v>
      </c>
    </row>
    <row r="364" spans="1:6" x14ac:dyDescent="0.45">
      <c r="A364" s="57">
        <v>2022</v>
      </c>
      <c r="B364" s="3" t="s">
        <v>57</v>
      </c>
      <c r="C364" s="3" t="s">
        <v>28</v>
      </c>
      <c r="D364" s="4">
        <v>4900</v>
      </c>
      <c r="E364" s="60">
        <v>69675</v>
      </c>
      <c r="F364" s="63" t="s">
        <v>82</v>
      </c>
    </row>
    <row r="365" spans="1:6" x14ac:dyDescent="0.45">
      <c r="A365" s="58">
        <v>2022</v>
      </c>
      <c r="B365" s="5" t="s">
        <v>57</v>
      </c>
      <c r="C365" s="5" t="s">
        <v>29</v>
      </c>
      <c r="D365" s="6">
        <v>43568</v>
      </c>
      <c r="E365" s="61">
        <v>66044</v>
      </c>
      <c r="F365" s="63" t="s">
        <v>82</v>
      </c>
    </row>
    <row r="366" spans="1:6" x14ac:dyDescent="0.45">
      <c r="A366" s="57">
        <v>2022</v>
      </c>
      <c r="B366" s="3" t="s">
        <v>57</v>
      </c>
      <c r="C366" s="3" t="s">
        <v>30</v>
      </c>
      <c r="D366" s="4">
        <v>11448</v>
      </c>
      <c r="E366" s="60">
        <v>51191</v>
      </c>
      <c r="F366" s="63" t="s">
        <v>82</v>
      </c>
    </row>
    <row r="367" spans="1:6" x14ac:dyDescent="0.45">
      <c r="A367" s="58">
        <v>2022</v>
      </c>
      <c r="B367" s="5" t="s">
        <v>57</v>
      </c>
      <c r="C367" s="5" t="s">
        <v>31</v>
      </c>
      <c r="D367" s="6">
        <v>67893</v>
      </c>
      <c r="E367" s="61">
        <v>64936</v>
      </c>
      <c r="F367" s="63" t="s">
        <v>82</v>
      </c>
    </row>
    <row r="368" spans="1:6" x14ac:dyDescent="0.45">
      <c r="A368" s="57">
        <v>2022</v>
      </c>
      <c r="B368" s="3" t="s">
        <v>57</v>
      </c>
      <c r="C368" s="3" t="s">
        <v>32</v>
      </c>
      <c r="D368" s="4">
        <v>29514</v>
      </c>
      <c r="E368" s="60">
        <v>59252</v>
      </c>
      <c r="F368" s="63" t="s">
        <v>82</v>
      </c>
    </row>
    <row r="369" spans="1:6" x14ac:dyDescent="0.45">
      <c r="A369" s="58">
        <v>2022</v>
      </c>
      <c r="B369" s="5" t="s">
        <v>57</v>
      </c>
      <c r="C369" s="5" t="s">
        <v>33</v>
      </c>
      <c r="D369" s="6">
        <v>2737</v>
      </c>
      <c r="E369" s="61">
        <v>61234</v>
      </c>
      <c r="F369" s="63" t="s">
        <v>81</v>
      </c>
    </row>
    <row r="370" spans="1:6" x14ac:dyDescent="0.45">
      <c r="A370" s="57">
        <v>2022</v>
      </c>
      <c r="B370" s="3" t="s">
        <v>57</v>
      </c>
      <c r="C370" s="3" t="s">
        <v>34</v>
      </c>
      <c r="D370" s="4">
        <v>35930</v>
      </c>
      <c r="E370" s="60">
        <v>57366</v>
      </c>
      <c r="F370" s="63" t="s">
        <v>81</v>
      </c>
    </row>
    <row r="371" spans="1:6" x14ac:dyDescent="0.45">
      <c r="A371" s="58">
        <v>2022</v>
      </c>
      <c r="B371" s="5" t="s">
        <v>57</v>
      </c>
      <c r="C371" s="5" t="s">
        <v>35</v>
      </c>
      <c r="D371" s="6">
        <v>13656</v>
      </c>
      <c r="E371" s="61">
        <v>55095</v>
      </c>
      <c r="F371" s="63" t="s">
        <v>82</v>
      </c>
    </row>
    <row r="372" spans="1:6" x14ac:dyDescent="0.45">
      <c r="A372" s="57">
        <v>2022</v>
      </c>
      <c r="B372" s="3" t="s">
        <v>57</v>
      </c>
      <c r="C372" s="3" t="s">
        <v>36</v>
      </c>
      <c r="D372" s="4">
        <v>28106</v>
      </c>
      <c r="E372" s="60">
        <v>60216</v>
      </c>
      <c r="F372" s="63" t="s">
        <v>81</v>
      </c>
    </row>
    <row r="373" spans="1:6" x14ac:dyDescent="0.45">
      <c r="A373" s="58">
        <v>2022</v>
      </c>
      <c r="B373" s="5" t="s">
        <v>57</v>
      </c>
      <c r="C373" s="5" t="s">
        <v>37</v>
      </c>
      <c r="D373" s="6">
        <v>57935</v>
      </c>
      <c r="E373" s="61">
        <v>63087</v>
      </c>
      <c r="F373" s="63" t="s">
        <v>81</v>
      </c>
    </row>
    <row r="374" spans="1:6" x14ac:dyDescent="0.45">
      <c r="A374" s="57">
        <v>2022</v>
      </c>
      <c r="B374" s="3" t="s">
        <v>57</v>
      </c>
      <c r="C374" s="3" t="s">
        <v>38</v>
      </c>
      <c r="D374" s="4">
        <v>4907</v>
      </c>
      <c r="E374" s="60">
        <v>60510</v>
      </c>
      <c r="F374" s="63" t="s">
        <v>82</v>
      </c>
    </row>
    <row r="375" spans="1:6" x14ac:dyDescent="0.45">
      <c r="A375" s="58">
        <v>2022</v>
      </c>
      <c r="B375" s="5" t="s">
        <v>57</v>
      </c>
      <c r="C375" s="5" t="s">
        <v>39</v>
      </c>
      <c r="D375" s="6">
        <v>15612</v>
      </c>
      <c r="E375" s="61">
        <v>56055</v>
      </c>
      <c r="F375" s="63" t="s">
        <v>82</v>
      </c>
    </row>
    <row r="376" spans="1:6" x14ac:dyDescent="0.45">
      <c r="A376" s="57">
        <v>2022</v>
      </c>
      <c r="B376" s="3" t="s">
        <v>57</v>
      </c>
      <c r="C376" s="3" t="s">
        <v>40</v>
      </c>
      <c r="D376" s="4">
        <v>2934</v>
      </c>
      <c r="E376" s="60">
        <v>63054</v>
      </c>
      <c r="F376" s="63" t="s">
        <v>81</v>
      </c>
    </row>
    <row r="377" spans="1:6" x14ac:dyDescent="0.45">
      <c r="A377" s="58">
        <v>2022</v>
      </c>
      <c r="B377" s="5" t="s">
        <v>57</v>
      </c>
      <c r="C377" s="5" t="s">
        <v>41</v>
      </c>
      <c r="D377" s="6">
        <v>21213</v>
      </c>
      <c r="E377" s="61">
        <v>62401</v>
      </c>
      <c r="F377" s="63" t="s">
        <v>81</v>
      </c>
    </row>
    <row r="378" spans="1:6" x14ac:dyDescent="0.45">
      <c r="A378" s="57">
        <v>2022</v>
      </c>
      <c r="B378" s="3" t="s">
        <v>57</v>
      </c>
      <c r="C378" s="3" t="s">
        <v>42</v>
      </c>
      <c r="D378" s="4">
        <v>98681</v>
      </c>
      <c r="E378" s="60">
        <v>57856</v>
      </c>
      <c r="F378" s="63" t="s">
        <v>82</v>
      </c>
    </row>
    <row r="379" spans="1:6" x14ac:dyDescent="0.45">
      <c r="A379" s="58">
        <v>2022</v>
      </c>
      <c r="B379" s="5" t="s">
        <v>57</v>
      </c>
      <c r="C379" s="5" t="s">
        <v>43</v>
      </c>
      <c r="D379" s="6">
        <v>13463</v>
      </c>
      <c r="E379" s="61">
        <v>54260</v>
      </c>
      <c r="F379" s="63" t="s">
        <v>81</v>
      </c>
    </row>
    <row r="380" spans="1:6" x14ac:dyDescent="0.45">
      <c r="A380" s="57">
        <v>2022</v>
      </c>
      <c r="B380" s="3" t="s">
        <v>57</v>
      </c>
      <c r="C380" s="3" t="s">
        <v>44</v>
      </c>
      <c r="D380" s="4">
        <v>2516</v>
      </c>
      <c r="E380" s="60">
        <v>58779</v>
      </c>
      <c r="F380" s="63" t="s">
        <v>82</v>
      </c>
    </row>
    <row r="381" spans="1:6" x14ac:dyDescent="0.45">
      <c r="A381" s="58">
        <v>2022</v>
      </c>
      <c r="B381" s="5" t="s">
        <v>57</v>
      </c>
      <c r="C381" s="5" t="s">
        <v>45</v>
      </c>
      <c r="D381" s="6">
        <v>49705</v>
      </c>
      <c r="E381" s="61">
        <v>60119</v>
      </c>
      <c r="F381" s="63" t="s">
        <v>81</v>
      </c>
    </row>
    <row r="382" spans="1:6" x14ac:dyDescent="0.45">
      <c r="A382" s="57">
        <v>2022</v>
      </c>
      <c r="B382" s="3" t="s">
        <v>57</v>
      </c>
      <c r="C382" s="3" t="s">
        <v>46</v>
      </c>
      <c r="D382" s="4">
        <v>74944</v>
      </c>
      <c r="E382" s="60">
        <v>61544</v>
      </c>
      <c r="F382" s="63" t="s">
        <v>81</v>
      </c>
    </row>
    <row r="383" spans="1:6" x14ac:dyDescent="0.45">
      <c r="A383" s="58">
        <v>2022</v>
      </c>
      <c r="B383" s="5" t="s">
        <v>57</v>
      </c>
      <c r="C383" s="5" t="s">
        <v>47</v>
      </c>
      <c r="D383" s="6">
        <v>8500</v>
      </c>
      <c r="E383" s="61">
        <v>56597</v>
      </c>
      <c r="F383" s="63" t="s">
        <v>82</v>
      </c>
    </row>
    <row r="384" spans="1:6" x14ac:dyDescent="0.45">
      <c r="A384" s="57">
        <v>2022</v>
      </c>
      <c r="B384" s="3" t="s">
        <v>57</v>
      </c>
      <c r="C384" s="3" t="s">
        <v>48</v>
      </c>
      <c r="D384" s="4">
        <v>31125</v>
      </c>
      <c r="E384" s="60">
        <v>58993</v>
      </c>
      <c r="F384" s="63" t="s">
        <v>82</v>
      </c>
    </row>
    <row r="385" spans="1:6" x14ac:dyDescent="0.45">
      <c r="A385" s="58">
        <v>2022</v>
      </c>
      <c r="B385" s="5" t="s">
        <v>57</v>
      </c>
      <c r="C385" s="5" t="s">
        <v>49</v>
      </c>
      <c r="D385" s="6">
        <v>3485</v>
      </c>
      <c r="E385" s="61">
        <v>52334</v>
      </c>
      <c r="F385" s="63" t="s">
        <v>81</v>
      </c>
    </row>
    <row r="386" spans="1:6" x14ac:dyDescent="0.45">
      <c r="A386" s="57">
        <v>2022</v>
      </c>
      <c r="B386" s="3" t="s">
        <v>58</v>
      </c>
      <c r="C386" s="3" t="s">
        <v>2</v>
      </c>
      <c r="D386" s="4">
        <v>11221</v>
      </c>
      <c r="E386" s="60">
        <v>24554</v>
      </c>
      <c r="F386" s="63" t="s">
        <v>81</v>
      </c>
    </row>
    <row r="387" spans="1:6" x14ac:dyDescent="0.45">
      <c r="A387" s="58">
        <v>2022</v>
      </c>
      <c r="B387" s="5" t="s">
        <v>58</v>
      </c>
      <c r="C387" s="5" t="s">
        <v>3</v>
      </c>
      <c r="D387" s="6">
        <v>14444</v>
      </c>
      <c r="E387" s="61">
        <v>32810</v>
      </c>
      <c r="F387" s="63" t="s">
        <v>82</v>
      </c>
    </row>
    <row r="388" spans="1:6" x14ac:dyDescent="0.45">
      <c r="A388" s="57">
        <v>2022</v>
      </c>
      <c r="B388" s="3" t="s">
        <v>58</v>
      </c>
      <c r="C388" s="3" t="s">
        <v>4</v>
      </c>
      <c r="D388" s="4">
        <v>7458</v>
      </c>
      <c r="E388" s="60">
        <v>24414</v>
      </c>
      <c r="F388" s="63" t="s">
        <v>82</v>
      </c>
    </row>
    <row r="389" spans="1:6" x14ac:dyDescent="0.45">
      <c r="A389" s="58">
        <v>2022</v>
      </c>
      <c r="B389" s="5" t="s">
        <v>58</v>
      </c>
      <c r="C389" s="5" t="s">
        <v>5</v>
      </c>
      <c r="D389" s="6">
        <v>117833</v>
      </c>
      <c r="E389" s="61">
        <v>42090</v>
      </c>
      <c r="F389" s="63" t="s">
        <v>82</v>
      </c>
    </row>
    <row r="390" spans="1:6" x14ac:dyDescent="0.45">
      <c r="A390" s="57">
        <v>2022</v>
      </c>
      <c r="B390" s="3" t="s">
        <v>58</v>
      </c>
      <c r="C390" s="3" t="s">
        <v>6</v>
      </c>
      <c r="D390" s="4">
        <v>17650</v>
      </c>
      <c r="E390" s="60">
        <v>34424</v>
      </c>
      <c r="F390" s="63" t="s">
        <v>82</v>
      </c>
    </row>
    <row r="391" spans="1:6" x14ac:dyDescent="0.45">
      <c r="A391" s="58">
        <v>2022</v>
      </c>
      <c r="B391" s="5" t="s">
        <v>58</v>
      </c>
      <c r="C391" s="5" t="s">
        <v>7</v>
      </c>
      <c r="D391" s="6">
        <v>10916</v>
      </c>
      <c r="E391" s="61">
        <v>32295</v>
      </c>
      <c r="F391" s="63" t="s">
        <v>82</v>
      </c>
    </row>
    <row r="392" spans="1:6" x14ac:dyDescent="0.45">
      <c r="A392" s="57">
        <v>2022</v>
      </c>
      <c r="B392" s="3" t="s">
        <v>58</v>
      </c>
      <c r="C392" s="3" t="s">
        <v>8</v>
      </c>
      <c r="D392" s="4">
        <v>2698</v>
      </c>
      <c r="E392" s="60">
        <v>28228</v>
      </c>
      <c r="F392" s="63" t="s">
        <v>81</v>
      </c>
    </row>
    <row r="393" spans="1:6" x14ac:dyDescent="0.45">
      <c r="A393" s="58">
        <v>2022</v>
      </c>
      <c r="B393" s="5" t="s">
        <v>58</v>
      </c>
      <c r="C393" s="5" t="s">
        <v>9</v>
      </c>
      <c r="D393" s="6">
        <v>59645</v>
      </c>
      <c r="E393" s="61">
        <v>33709</v>
      </c>
      <c r="F393" s="63" t="s">
        <v>81</v>
      </c>
    </row>
    <row r="394" spans="1:6" x14ac:dyDescent="0.45">
      <c r="A394" s="57">
        <v>2022</v>
      </c>
      <c r="B394" s="3" t="s">
        <v>58</v>
      </c>
      <c r="C394" s="3" t="s">
        <v>10</v>
      </c>
      <c r="D394" s="4">
        <v>26741</v>
      </c>
      <c r="E394" s="60">
        <v>28009</v>
      </c>
      <c r="F394" s="63" t="s">
        <v>82</v>
      </c>
    </row>
    <row r="395" spans="1:6" x14ac:dyDescent="0.45">
      <c r="A395" s="58">
        <v>2022</v>
      </c>
      <c r="B395" s="5" t="s">
        <v>58</v>
      </c>
      <c r="C395" s="5" t="s">
        <v>11</v>
      </c>
      <c r="D395" s="6">
        <v>5242</v>
      </c>
      <c r="E395" s="61">
        <v>24637</v>
      </c>
      <c r="F395" s="63" t="s">
        <v>81</v>
      </c>
    </row>
    <row r="396" spans="1:6" x14ac:dyDescent="0.45">
      <c r="A396" s="57">
        <v>2022</v>
      </c>
      <c r="B396" s="3" t="s">
        <v>58</v>
      </c>
      <c r="C396" s="3" t="s">
        <v>12</v>
      </c>
      <c r="D396" s="4">
        <v>32842</v>
      </c>
      <c r="E396" s="60">
        <v>31054</v>
      </c>
      <c r="F396" s="63" t="s">
        <v>81</v>
      </c>
    </row>
    <row r="397" spans="1:6" x14ac:dyDescent="0.45">
      <c r="A397" s="58">
        <v>2022</v>
      </c>
      <c r="B397" s="5" t="s">
        <v>58</v>
      </c>
      <c r="C397" s="5" t="s">
        <v>13</v>
      </c>
      <c r="D397" s="6">
        <v>16068</v>
      </c>
      <c r="E397" s="61">
        <v>26493</v>
      </c>
      <c r="F397" s="63" t="s">
        <v>82</v>
      </c>
    </row>
    <row r="398" spans="1:6" x14ac:dyDescent="0.45">
      <c r="A398" s="57">
        <v>2022</v>
      </c>
      <c r="B398" s="3" t="s">
        <v>58</v>
      </c>
      <c r="C398" s="3" t="s">
        <v>14</v>
      </c>
      <c r="D398" s="4">
        <v>8734</v>
      </c>
      <c r="E398" s="60">
        <v>24002</v>
      </c>
      <c r="F398" s="63" t="s">
        <v>82</v>
      </c>
    </row>
    <row r="399" spans="1:6" x14ac:dyDescent="0.45">
      <c r="A399" s="58">
        <v>2022</v>
      </c>
      <c r="B399" s="5" t="s">
        <v>58</v>
      </c>
      <c r="C399" s="5" t="s">
        <v>15</v>
      </c>
      <c r="D399" s="6">
        <v>6792</v>
      </c>
      <c r="E399" s="61">
        <v>24088</v>
      </c>
      <c r="F399" s="63" t="s">
        <v>81</v>
      </c>
    </row>
    <row r="400" spans="1:6" x14ac:dyDescent="0.45">
      <c r="A400" s="57">
        <v>2022</v>
      </c>
      <c r="B400" s="3" t="s">
        <v>58</v>
      </c>
      <c r="C400" s="3" t="s">
        <v>16</v>
      </c>
      <c r="D400" s="4">
        <v>10331</v>
      </c>
      <c r="E400" s="60">
        <v>25522</v>
      </c>
      <c r="F400" s="63" t="s">
        <v>81</v>
      </c>
    </row>
    <row r="401" spans="1:6" x14ac:dyDescent="0.45">
      <c r="A401" s="58">
        <v>2022</v>
      </c>
      <c r="B401" s="5" t="s">
        <v>58</v>
      </c>
      <c r="C401" s="5" t="s">
        <v>17</v>
      </c>
      <c r="D401" s="6">
        <v>13351</v>
      </c>
      <c r="E401" s="61">
        <v>28216</v>
      </c>
      <c r="F401" s="63" t="s">
        <v>82</v>
      </c>
    </row>
    <row r="402" spans="1:6" x14ac:dyDescent="0.45">
      <c r="A402" s="57">
        <v>2022</v>
      </c>
      <c r="B402" s="3" t="s">
        <v>58</v>
      </c>
      <c r="C402" s="3" t="s">
        <v>18</v>
      </c>
      <c r="D402" s="4">
        <v>5172</v>
      </c>
      <c r="E402" s="60">
        <v>31112</v>
      </c>
      <c r="F402" s="63" t="s">
        <v>81</v>
      </c>
    </row>
    <row r="403" spans="1:6" x14ac:dyDescent="0.45">
      <c r="A403" s="58">
        <v>2022</v>
      </c>
      <c r="B403" s="5" t="s">
        <v>58</v>
      </c>
      <c r="C403" s="5" t="s">
        <v>19</v>
      </c>
      <c r="D403" s="6">
        <v>14823</v>
      </c>
      <c r="E403" s="61">
        <v>32383</v>
      </c>
      <c r="F403" s="63" t="s">
        <v>82</v>
      </c>
    </row>
    <row r="404" spans="1:6" x14ac:dyDescent="0.45">
      <c r="A404" s="57">
        <v>2022</v>
      </c>
      <c r="B404" s="3" t="s">
        <v>58</v>
      </c>
      <c r="C404" s="3" t="s">
        <v>20</v>
      </c>
      <c r="D404" s="4">
        <v>20158</v>
      </c>
      <c r="E404" s="60">
        <v>36457</v>
      </c>
      <c r="F404" s="63" t="s">
        <v>81</v>
      </c>
    </row>
    <row r="405" spans="1:6" x14ac:dyDescent="0.45">
      <c r="A405" s="58">
        <v>2022</v>
      </c>
      <c r="B405" s="5" t="s">
        <v>58</v>
      </c>
      <c r="C405" s="5" t="s">
        <v>21</v>
      </c>
      <c r="D405" s="6">
        <v>23032</v>
      </c>
      <c r="E405" s="61">
        <v>28254</v>
      </c>
      <c r="F405" s="63" t="s">
        <v>81</v>
      </c>
    </row>
    <row r="406" spans="1:6" x14ac:dyDescent="0.45">
      <c r="A406" s="57">
        <v>2022</v>
      </c>
      <c r="B406" s="3" t="s">
        <v>58</v>
      </c>
      <c r="C406" s="3" t="s">
        <v>22</v>
      </c>
      <c r="D406" s="4">
        <v>15355</v>
      </c>
      <c r="E406" s="60">
        <v>30167</v>
      </c>
      <c r="F406" s="63" t="s">
        <v>82</v>
      </c>
    </row>
    <row r="407" spans="1:6" x14ac:dyDescent="0.45">
      <c r="A407" s="58">
        <v>2022</v>
      </c>
      <c r="B407" s="5" t="s">
        <v>58</v>
      </c>
      <c r="C407" s="5" t="s">
        <v>23</v>
      </c>
      <c r="D407" s="6">
        <v>6644</v>
      </c>
      <c r="E407" s="61">
        <v>24380</v>
      </c>
      <c r="F407" s="63" t="s">
        <v>82</v>
      </c>
    </row>
    <row r="408" spans="1:6" x14ac:dyDescent="0.45">
      <c r="A408" s="57">
        <v>2022</v>
      </c>
      <c r="B408" s="3" t="s">
        <v>58</v>
      </c>
      <c r="C408" s="3" t="s">
        <v>24</v>
      </c>
      <c r="D408" s="4">
        <v>15398</v>
      </c>
      <c r="E408" s="60">
        <v>28154</v>
      </c>
      <c r="F408" s="63" t="s">
        <v>81</v>
      </c>
    </row>
    <row r="409" spans="1:6" x14ac:dyDescent="0.45">
      <c r="A409" s="58">
        <v>2022</v>
      </c>
      <c r="B409" s="5" t="s">
        <v>58</v>
      </c>
      <c r="C409" s="5" t="s">
        <v>25</v>
      </c>
      <c r="D409" s="6">
        <v>5182</v>
      </c>
      <c r="E409" s="61">
        <v>27078</v>
      </c>
      <c r="F409" s="63" t="s">
        <v>81</v>
      </c>
    </row>
    <row r="410" spans="1:6" x14ac:dyDescent="0.45">
      <c r="A410" s="57">
        <v>2022</v>
      </c>
      <c r="B410" s="3" t="s">
        <v>58</v>
      </c>
      <c r="C410" s="3" t="s">
        <v>26</v>
      </c>
      <c r="D410" s="4">
        <v>5552</v>
      </c>
      <c r="E410" s="60">
        <v>24131</v>
      </c>
      <c r="F410" s="63" t="s">
        <v>82</v>
      </c>
    </row>
    <row r="411" spans="1:6" x14ac:dyDescent="0.45">
      <c r="A411" s="58">
        <v>2022</v>
      </c>
      <c r="B411" s="5" t="s">
        <v>58</v>
      </c>
      <c r="C411" s="5" t="s">
        <v>27</v>
      </c>
      <c r="D411" s="6">
        <v>8698</v>
      </c>
      <c r="E411" s="61">
        <v>40061</v>
      </c>
      <c r="F411" s="63" t="s">
        <v>82</v>
      </c>
    </row>
    <row r="412" spans="1:6" x14ac:dyDescent="0.45">
      <c r="A412" s="57">
        <v>2022</v>
      </c>
      <c r="B412" s="3" t="s">
        <v>58</v>
      </c>
      <c r="C412" s="3" t="s">
        <v>28</v>
      </c>
      <c r="D412" s="4">
        <v>4677</v>
      </c>
      <c r="E412" s="60">
        <v>30729</v>
      </c>
      <c r="F412" s="63" t="s">
        <v>82</v>
      </c>
    </row>
    <row r="413" spans="1:6" x14ac:dyDescent="0.45">
      <c r="A413" s="58">
        <v>2022</v>
      </c>
      <c r="B413" s="5" t="s">
        <v>58</v>
      </c>
      <c r="C413" s="5" t="s">
        <v>29</v>
      </c>
      <c r="D413" s="6">
        <v>24584</v>
      </c>
      <c r="E413" s="61">
        <v>34639</v>
      </c>
      <c r="F413" s="63" t="s">
        <v>82</v>
      </c>
    </row>
    <row r="414" spans="1:6" x14ac:dyDescent="0.45">
      <c r="A414" s="57">
        <v>2022</v>
      </c>
      <c r="B414" s="3" t="s">
        <v>58</v>
      </c>
      <c r="C414" s="3" t="s">
        <v>30</v>
      </c>
      <c r="D414" s="4">
        <v>5276</v>
      </c>
      <c r="E414" s="60">
        <v>25988</v>
      </c>
      <c r="F414" s="63" t="s">
        <v>82</v>
      </c>
    </row>
    <row r="415" spans="1:6" x14ac:dyDescent="0.45">
      <c r="A415" s="58">
        <v>2022</v>
      </c>
      <c r="B415" s="5" t="s">
        <v>58</v>
      </c>
      <c r="C415" s="5" t="s">
        <v>31</v>
      </c>
      <c r="D415" s="6">
        <v>64959</v>
      </c>
      <c r="E415" s="61">
        <v>42986</v>
      </c>
      <c r="F415" s="63" t="s">
        <v>81</v>
      </c>
    </row>
    <row r="416" spans="1:6" x14ac:dyDescent="0.45">
      <c r="A416" s="57">
        <v>2022</v>
      </c>
      <c r="B416" s="3" t="s">
        <v>58</v>
      </c>
      <c r="C416" s="3" t="s">
        <v>32</v>
      </c>
      <c r="D416" s="4">
        <v>27015</v>
      </c>
      <c r="E416" s="60">
        <v>27462</v>
      </c>
      <c r="F416" s="63" t="s">
        <v>81</v>
      </c>
    </row>
    <row r="417" spans="1:6" x14ac:dyDescent="0.45">
      <c r="A417" s="58">
        <v>2022</v>
      </c>
      <c r="B417" s="5" t="s">
        <v>58</v>
      </c>
      <c r="C417" s="5" t="s">
        <v>33</v>
      </c>
      <c r="D417" s="6">
        <v>2621</v>
      </c>
      <c r="E417" s="61">
        <v>25193</v>
      </c>
      <c r="F417" s="63" t="s">
        <v>82</v>
      </c>
    </row>
    <row r="418" spans="1:6" x14ac:dyDescent="0.45">
      <c r="A418" s="57">
        <v>2022</v>
      </c>
      <c r="B418" s="3" t="s">
        <v>58</v>
      </c>
      <c r="C418" s="3" t="s">
        <v>34</v>
      </c>
      <c r="D418" s="4">
        <v>29197</v>
      </c>
      <c r="E418" s="60">
        <v>27027</v>
      </c>
      <c r="F418" s="63" t="s">
        <v>81</v>
      </c>
    </row>
    <row r="419" spans="1:6" x14ac:dyDescent="0.45">
      <c r="A419" s="58">
        <v>2022</v>
      </c>
      <c r="B419" s="5" t="s">
        <v>58</v>
      </c>
      <c r="C419" s="5" t="s">
        <v>35</v>
      </c>
      <c r="D419" s="6">
        <v>9364</v>
      </c>
      <c r="E419" s="61">
        <v>25310</v>
      </c>
      <c r="F419" s="63" t="s">
        <v>81</v>
      </c>
    </row>
    <row r="420" spans="1:6" x14ac:dyDescent="0.45">
      <c r="A420" s="57">
        <v>2022</v>
      </c>
      <c r="B420" s="3" t="s">
        <v>58</v>
      </c>
      <c r="C420" s="3" t="s">
        <v>36</v>
      </c>
      <c r="D420" s="4">
        <v>13993</v>
      </c>
      <c r="E420" s="60">
        <v>30338</v>
      </c>
      <c r="F420" s="63" t="s">
        <v>82</v>
      </c>
    </row>
    <row r="421" spans="1:6" x14ac:dyDescent="0.45">
      <c r="A421" s="58">
        <v>2022</v>
      </c>
      <c r="B421" s="5" t="s">
        <v>58</v>
      </c>
      <c r="C421" s="5" t="s">
        <v>37</v>
      </c>
      <c r="D421" s="6">
        <v>33532</v>
      </c>
      <c r="E421" s="61">
        <v>28945</v>
      </c>
      <c r="F421" s="63" t="s">
        <v>82</v>
      </c>
    </row>
    <row r="422" spans="1:6" x14ac:dyDescent="0.45">
      <c r="A422" s="57">
        <v>2022</v>
      </c>
      <c r="B422" s="3" t="s">
        <v>58</v>
      </c>
      <c r="C422" s="3" t="s">
        <v>38</v>
      </c>
      <c r="D422" s="4">
        <v>3890</v>
      </c>
      <c r="E422" s="60">
        <v>30733</v>
      </c>
      <c r="F422" s="63" t="s">
        <v>81</v>
      </c>
    </row>
    <row r="423" spans="1:6" x14ac:dyDescent="0.45">
      <c r="A423" s="58">
        <v>2022</v>
      </c>
      <c r="B423" s="5" t="s">
        <v>58</v>
      </c>
      <c r="C423" s="5" t="s">
        <v>39</v>
      </c>
      <c r="D423" s="6">
        <v>13676</v>
      </c>
      <c r="E423" s="61">
        <v>25677</v>
      </c>
      <c r="F423" s="63" t="s">
        <v>81</v>
      </c>
    </row>
    <row r="424" spans="1:6" x14ac:dyDescent="0.45">
      <c r="A424" s="57">
        <v>2022</v>
      </c>
      <c r="B424" s="3" t="s">
        <v>58</v>
      </c>
      <c r="C424" s="3" t="s">
        <v>40</v>
      </c>
      <c r="D424" s="4">
        <v>3184</v>
      </c>
      <c r="E424" s="60">
        <v>24829</v>
      </c>
      <c r="F424" s="63" t="s">
        <v>82</v>
      </c>
    </row>
    <row r="425" spans="1:6" x14ac:dyDescent="0.45">
      <c r="A425" s="58">
        <v>2022</v>
      </c>
      <c r="B425" s="5" t="s">
        <v>58</v>
      </c>
      <c r="C425" s="5" t="s">
        <v>41</v>
      </c>
      <c r="D425" s="6">
        <v>17443</v>
      </c>
      <c r="E425" s="61">
        <v>29771</v>
      </c>
      <c r="F425" s="63" t="s">
        <v>81</v>
      </c>
    </row>
    <row r="426" spans="1:6" x14ac:dyDescent="0.45">
      <c r="A426" s="57">
        <v>2022</v>
      </c>
      <c r="B426" s="3" t="s">
        <v>58</v>
      </c>
      <c r="C426" s="3" t="s">
        <v>42</v>
      </c>
      <c r="D426" s="4">
        <v>66777</v>
      </c>
      <c r="E426" s="60">
        <v>29001</v>
      </c>
      <c r="F426" s="63" t="s">
        <v>82</v>
      </c>
    </row>
    <row r="427" spans="1:6" x14ac:dyDescent="0.45">
      <c r="A427" s="58">
        <v>2022</v>
      </c>
      <c r="B427" s="5" t="s">
        <v>58</v>
      </c>
      <c r="C427" s="5" t="s">
        <v>43</v>
      </c>
      <c r="D427" s="6">
        <v>7766</v>
      </c>
      <c r="E427" s="61">
        <v>27580</v>
      </c>
      <c r="F427" s="63" t="s">
        <v>81</v>
      </c>
    </row>
    <row r="428" spans="1:6" x14ac:dyDescent="0.45">
      <c r="A428" s="57">
        <v>2022</v>
      </c>
      <c r="B428" s="3" t="s">
        <v>58</v>
      </c>
      <c r="C428" s="3" t="s">
        <v>44</v>
      </c>
      <c r="D428" s="4">
        <v>2220</v>
      </c>
      <c r="E428" s="60">
        <v>32068</v>
      </c>
      <c r="F428" s="63" t="s">
        <v>81</v>
      </c>
    </row>
    <row r="429" spans="1:6" x14ac:dyDescent="0.45">
      <c r="A429" s="58">
        <v>2022</v>
      </c>
      <c r="B429" s="5" t="s">
        <v>58</v>
      </c>
      <c r="C429" s="5" t="s">
        <v>45</v>
      </c>
      <c r="D429" s="6">
        <v>20954</v>
      </c>
      <c r="E429" s="61">
        <v>28634</v>
      </c>
      <c r="F429" s="63" t="s">
        <v>82</v>
      </c>
    </row>
    <row r="430" spans="1:6" x14ac:dyDescent="0.45">
      <c r="A430" s="57">
        <v>2022</v>
      </c>
      <c r="B430" s="3" t="s">
        <v>58</v>
      </c>
      <c r="C430" s="3" t="s">
        <v>46</v>
      </c>
      <c r="D430" s="4">
        <v>20710</v>
      </c>
      <c r="E430" s="60">
        <v>32657</v>
      </c>
      <c r="F430" s="63" t="s">
        <v>82</v>
      </c>
    </row>
    <row r="431" spans="1:6" x14ac:dyDescent="0.45">
      <c r="A431" s="58">
        <v>2022</v>
      </c>
      <c r="B431" s="5" t="s">
        <v>58</v>
      </c>
      <c r="C431" s="5" t="s">
        <v>47</v>
      </c>
      <c r="D431" s="6">
        <v>4602</v>
      </c>
      <c r="E431" s="61">
        <v>24945</v>
      </c>
      <c r="F431" s="63" t="s">
        <v>81</v>
      </c>
    </row>
    <row r="432" spans="1:6" x14ac:dyDescent="0.45">
      <c r="A432" s="57">
        <v>2022</v>
      </c>
      <c r="B432" s="3" t="s">
        <v>58</v>
      </c>
      <c r="C432" s="3" t="s">
        <v>48</v>
      </c>
      <c r="D432" s="4">
        <v>16783</v>
      </c>
      <c r="E432" s="60">
        <v>25473</v>
      </c>
      <c r="F432" s="63" t="s">
        <v>81</v>
      </c>
    </row>
    <row r="433" spans="1:6" x14ac:dyDescent="0.45">
      <c r="A433" s="58">
        <v>2022</v>
      </c>
      <c r="B433" s="5" t="s">
        <v>58</v>
      </c>
      <c r="C433" s="5" t="s">
        <v>49</v>
      </c>
      <c r="D433" s="6">
        <v>2418</v>
      </c>
      <c r="E433" s="61">
        <v>29041</v>
      </c>
      <c r="F433" s="63" t="s">
        <v>82</v>
      </c>
    </row>
    <row r="434" spans="1:6" x14ac:dyDescent="0.45">
      <c r="A434" s="57">
        <v>2022</v>
      </c>
      <c r="B434" s="3" t="s">
        <v>59</v>
      </c>
      <c r="C434" s="3" t="s">
        <v>2</v>
      </c>
      <c r="D434" s="4">
        <v>9048</v>
      </c>
      <c r="E434" s="60">
        <v>47437</v>
      </c>
      <c r="F434" s="63" t="s">
        <v>82</v>
      </c>
    </row>
    <row r="435" spans="1:6" x14ac:dyDescent="0.45">
      <c r="A435" s="58">
        <v>2022</v>
      </c>
      <c r="B435" s="5" t="s">
        <v>59</v>
      </c>
      <c r="C435" s="5" t="s">
        <v>3</v>
      </c>
      <c r="D435" s="6">
        <v>10878</v>
      </c>
      <c r="E435" s="61">
        <v>48482</v>
      </c>
      <c r="F435" s="63" t="s">
        <v>82</v>
      </c>
    </row>
    <row r="436" spans="1:6" x14ac:dyDescent="0.45">
      <c r="A436" s="57">
        <v>2022</v>
      </c>
      <c r="B436" s="3" t="s">
        <v>59</v>
      </c>
      <c r="C436" s="3" t="s">
        <v>4</v>
      </c>
      <c r="D436" s="4">
        <v>5464</v>
      </c>
      <c r="E436" s="60">
        <v>44111</v>
      </c>
      <c r="F436" s="63" t="s">
        <v>82</v>
      </c>
    </row>
    <row r="437" spans="1:6" x14ac:dyDescent="0.45">
      <c r="A437" s="58">
        <v>2022</v>
      </c>
      <c r="B437" s="5" t="s">
        <v>59</v>
      </c>
      <c r="C437" s="5" t="s">
        <v>5</v>
      </c>
      <c r="D437" s="6">
        <v>97116</v>
      </c>
      <c r="E437" s="61">
        <v>53080</v>
      </c>
      <c r="F437" s="63" t="s">
        <v>82</v>
      </c>
    </row>
    <row r="438" spans="1:6" x14ac:dyDescent="0.45">
      <c r="A438" s="57">
        <v>2022</v>
      </c>
      <c r="B438" s="3" t="s">
        <v>59</v>
      </c>
      <c r="C438" s="3" t="s">
        <v>6</v>
      </c>
      <c r="D438" s="4">
        <v>16860</v>
      </c>
      <c r="E438" s="60">
        <v>51642</v>
      </c>
      <c r="F438" s="63" t="s">
        <v>81</v>
      </c>
    </row>
    <row r="439" spans="1:6" x14ac:dyDescent="0.45">
      <c r="A439" s="58">
        <v>2022</v>
      </c>
      <c r="B439" s="5" t="s">
        <v>59</v>
      </c>
      <c r="C439" s="5" t="s">
        <v>7</v>
      </c>
      <c r="D439" s="6">
        <v>12480</v>
      </c>
      <c r="E439" s="61">
        <v>48136</v>
      </c>
      <c r="F439" s="63" t="s">
        <v>81</v>
      </c>
    </row>
    <row r="440" spans="1:6" x14ac:dyDescent="0.45">
      <c r="A440" s="57">
        <v>2022</v>
      </c>
      <c r="B440" s="3" t="s">
        <v>59</v>
      </c>
      <c r="C440" s="3" t="s">
        <v>8</v>
      </c>
      <c r="D440" s="4">
        <v>2088</v>
      </c>
      <c r="E440" s="60">
        <v>44135</v>
      </c>
      <c r="F440" s="63" t="s">
        <v>82</v>
      </c>
    </row>
    <row r="441" spans="1:6" x14ac:dyDescent="0.45">
      <c r="A441" s="58">
        <v>2022</v>
      </c>
      <c r="B441" s="5" t="s">
        <v>59</v>
      </c>
      <c r="C441" s="5" t="s">
        <v>9</v>
      </c>
      <c r="D441" s="6">
        <v>54871</v>
      </c>
      <c r="E441" s="61">
        <v>47154</v>
      </c>
      <c r="F441" s="63" t="s">
        <v>81</v>
      </c>
    </row>
    <row r="442" spans="1:6" x14ac:dyDescent="0.45">
      <c r="A442" s="57">
        <v>2022</v>
      </c>
      <c r="B442" s="3" t="s">
        <v>59</v>
      </c>
      <c r="C442" s="3" t="s">
        <v>10</v>
      </c>
      <c r="D442" s="4">
        <v>19294</v>
      </c>
      <c r="E442" s="60">
        <v>47319</v>
      </c>
      <c r="F442" s="63" t="s">
        <v>81</v>
      </c>
    </row>
    <row r="443" spans="1:6" x14ac:dyDescent="0.45">
      <c r="A443" s="58">
        <v>2022</v>
      </c>
      <c r="B443" s="5" t="s">
        <v>59</v>
      </c>
      <c r="C443" s="5" t="s">
        <v>11</v>
      </c>
      <c r="D443" s="6">
        <v>4119</v>
      </c>
      <c r="E443" s="61">
        <v>41029</v>
      </c>
      <c r="F443" s="63" t="s">
        <v>82</v>
      </c>
    </row>
    <row r="444" spans="1:6" x14ac:dyDescent="0.45">
      <c r="A444" s="57">
        <v>2022</v>
      </c>
      <c r="B444" s="3" t="s">
        <v>59</v>
      </c>
      <c r="C444" s="3" t="s">
        <v>12</v>
      </c>
      <c r="D444" s="4">
        <v>35477</v>
      </c>
      <c r="E444" s="60">
        <v>54230</v>
      </c>
      <c r="F444" s="63" t="s">
        <v>82</v>
      </c>
    </row>
    <row r="445" spans="1:6" x14ac:dyDescent="0.45">
      <c r="A445" s="58">
        <v>2022</v>
      </c>
      <c r="B445" s="5" t="s">
        <v>59</v>
      </c>
      <c r="C445" s="5" t="s">
        <v>13</v>
      </c>
      <c r="D445" s="6">
        <v>13233</v>
      </c>
      <c r="E445" s="61">
        <v>42636</v>
      </c>
      <c r="F445" s="63" t="s">
        <v>81</v>
      </c>
    </row>
    <row r="446" spans="1:6" x14ac:dyDescent="0.45">
      <c r="A446" s="57">
        <v>2022</v>
      </c>
      <c r="B446" s="3" t="s">
        <v>59</v>
      </c>
      <c r="C446" s="3" t="s">
        <v>14</v>
      </c>
      <c r="D446" s="4">
        <v>7585</v>
      </c>
      <c r="E446" s="60">
        <v>46163</v>
      </c>
      <c r="F446" s="63" t="s">
        <v>81</v>
      </c>
    </row>
    <row r="447" spans="1:6" x14ac:dyDescent="0.45">
      <c r="A447" s="58">
        <v>2022</v>
      </c>
      <c r="B447" s="5" t="s">
        <v>59</v>
      </c>
      <c r="C447" s="5" t="s">
        <v>15</v>
      </c>
      <c r="D447" s="6">
        <v>5873</v>
      </c>
      <c r="E447" s="61">
        <v>44965</v>
      </c>
      <c r="F447" s="63" t="s">
        <v>82</v>
      </c>
    </row>
    <row r="448" spans="1:6" x14ac:dyDescent="0.45">
      <c r="A448" s="57">
        <v>2022</v>
      </c>
      <c r="B448" s="3" t="s">
        <v>59</v>
      </c>
      <c r="C448" s="3" t="s">
        <v>16</v>
      </c>
      <c r="D448" s="4">
        <v>9084</v>
      </c>
      <c r="E448" s="60">
        <v>44895</v>
      </c>
      <c r="F448" s="63" t="s">
        <v>81</v>
      </c>
    </row>
    <row r="449" spans="1:6" x14ac:dyDescent="0.45">
      <c r="A449" s="58">
        <v>2022</v>
      </c>
      <c r="B449" s="5" t="s">
        <v>59</v>
      </c>
      <c r="C449" s="5" t="s">
        <v>17</v>
      </c>
      <c r="D449" s="6">
        <v>9437</v>
      </c>
      <c r="E449" s="61">
        <v>47226</v>
      </c>
      <c r="F449" s="63" t="s">
        <v>82</v>
      </c>
    </row>
    <row r="450" spans="1:6" x14ac:dyDescent="0.45">
      <c r="A450" s="57">
        <v>2022</v>
      </c>
      <c r="B450" s="3" t="s">
        <v>59</v>
      </c>
      <c r="C450" s="3" t="s">
        <v>18</v>
      </c>
      <c r="D450" s="4">
        <v>3830</v>
      </c>
      <c r="E450" s="60">
        <v>45497</v>
      </c>
      <c r="F450" s="63" t="s">
        <v>81</v>
      </c>
    </row>
    <row r="451" spans="1:6" x14ac:dyDescent="0.45">
      <c r="A451" s="58">
        <v>2022</v>
      </c>
      <c r="B451" s="5" t="s">
        <v>59</v>
      </c>
      <c r="C451" s="5" t="s">
        <v>19</v>
      </c>
      <c r="D451" s="6">
        <v>19028</v>
      </c>
      <c r="E451" s="61">
        <v>54238</v>
      </c>
      <c r="F451" s="63" t="s">
        <v>81</v>
      </c>
    </row>
    <row r="452" spans="1:6" x14ac:dyDescent="0.45">
      <c r="A452" s="57">
        <v>2022</v>
      </c>
      <c r="B452" s="3" t="s">
        <v>59</v>
      </c>
      <c r="C452" s="3" t="s">
        <v>20</v>
      </c>
      <c r="D452" s="4">
        <v>21927</v>
      </c>
      <c r="E452" s="60">
        <v>52345</v>
      </c>
      <c r="F452" s="63" t="s">
        <v>82</v>
      </c>
    </row>
    <row r="453" spans="1:6" x14ac:dyDescent="0.45">
      <c r="A453" s="58">
        <v>2022</v>
      </c>
      <c r="B453" s="5" t="s">
        <v>59</v>
      </c>
      <c r="C453" s="5" t="s">
        <v>21</v>
      </c>
      <c r="D453" s="6">
        <v>25486</v>
      </c>
      <c r="E453" s="61">
        <v>45650</v>
      </c>
      <c r="F453" s="63" t="s">
        <v>82</v>
      </c>
    </row>
    <row r="454" spans="1:6" x14ac:dyDescent="0.45">
      <c r="A454" s="57">
        <v>2022</v>
      </c>
      <c r="B454" s="3" t="s">
        <v>59</v>
      </c>
      <c r="C454" s="3" t="s">
        <v>22</v>
      </c>
      <c r="D454" s="4">
        <v>17118</v>
      </c>
      <c r="E454" s="60">
        <v>45485</v>
      </c>
      <c r="F454" s="63" t="s">
        <v>81</v>
      </c>
    </row>
    <row r="455" spans="1:6" x14ac:dyDescent="0.45">
      <c r="A455" s="58">
        <v>2022</v>
      </c>
      <c r="B455" s="5" t="s">
        <v>59</v>
      </c>
      <c r="C455" s="5" t="s">
        <v>23</v>
      </c>
      <c r="D455" s="6">
        <v>4625</v>
      </c>
      <c r="E455" s="61">
        <v>44520</v>
      </c>
      <c r="F455" s="63" t="s">
        <v>81</v>
      </c>
    </row>
    <row r="456" spans="1:6" x14ac:dyDescent="0.45">
      <c r="A456" s="57">
        <v>2022</v>
      </c>
      <c r="B456" s="3" t="s">
        <v>59</v>
      </c>
      <c r="C456" s="3" t="s">
        <v>24</v>
      </c>
      <c r="D456" s="4">
        <v>13399</v>
      </c>
      <c r="E456" s="60">
        <v>44496</v>
      </c>
      <c r="F456" s="63" t="s">
        <v>82</v>
      </c>
    </row>
    <row r="457" spans="1:6" x14ac:dyDescent="0.45">
      <c r="A457" s="58">
        <v>2022</v>
      </c>
      <c r="B457" s="5" t="s">
        <v>59</v>
      </c>
      <c r="C457" s="5" t="s">
        <v>25</v>
      </c>
      <c r="D457" s="6">
        <v>4199</v>
      </c>
      <c r="E457" s="61">
        <v>40349</v>
      </c>
      <c r="F457" s="63" t="s">
        <v>82</v>
      </c>
    </row>
    <row r="458" spans="1:6" x14ac:dyDescent="0.45">
      <c r="A458" s="57">
        <v>2022</v>
      </c>
      <c r="B458" s="3" t="s">
        <v>59</v>
      </c>
      <c r="C458" s="3" t="s">
        <v>26</v>
      </c>
      <c r="D458" s="4">
        <v>4602</v>
      </c>
      <c r="E458" s="60">
        <v>42266</v>
      </c>
      <c r="F458" s="63" t="s">
        <v>82</v>
      </c>
    </row>
    <row r="459" spans="1:6" x14ac:dyDescent="0.45">
      <c r="A459" s="58">
        <v>2022</v>
      </c>
      <c r="B459" s="5" t="s">
        <v>59</v>
      </c>
      <c r="C459" s="5" t="s">
        <v>27</v>
      </c>
      <c r="D459" s="6">
        <v>5067</v>
      </c>
      <c r="E459" s="61">
        <v>47698</v>
      </c>
      <c r="F459" s="63" t="s">
        <v>82</v>
      </c>
    </row>
    <row r="460" spans="1:6" x14ac:dyDescent="0.45">
      <c r="A460" s="57">
        <v>2022</v>
      </c>
      <c r="B460" s="3" t="s">
        <v>59</v>
      </c>
      <c r="C460" s="3" t="s">
        <v>28</v>
      </c>
      <c r="D460" s="4">
        <v>4109</v>
      </c>
      <c r="E460" s="60">
        <v>49107</v>
      </c>
      <c r="F460" s="63" t="s">
        <v>82</v>
      </c>
    </row>
    <row r="461" spans="1:6" x14ac:dyDescent="0.45">
      <c r="A461" s="58">
        <v>2022</v>
      </c>
      <c r="B461" s="5" t="s">
        <v>59</v>
      </c>
      <c r="C461" s="5" t="s">
        <v>29</v>
      </c>
      <c r="D461" s="6">
        <v>24307</v>
      </c>
      <c r="E461" s="61">
        <v>47197</v>
      </c>
      <c r="F461" s="63" t="s">
        <v>81</v>
      </c>
    </row>
    <row r="462" spans="1:6" x14ac:dyDescent="0.45">
      <c r="A462" s="57">
        <v>2022</v>
      </c>
      <c r="B462" s="3" t="s">
        <v>59</v>
      </c>
      <c r="C462" s="3" t="s">
        <v>30</v>
      </c>
      <c r="D462" s="4">
        <v>4261</v>
      </c>
      <c r="E462" s="60">
        <v>44699</v>
      </c>
      <c r="F462" s="63" t="s">
        <v>81</v>
      </c>
    </row>
    <row r="463" spans="1:6" x14ac:dyDescent="0.45">
      <c r="A463" s="58">
        <v>2022</v>
      </c>
      <c r="B463" s="5" t="s">
        <v>59</v>
      </c>
      <c r="C463" s="5" t="s">
        <v>31</v>
      </c>
      <c r="D463" s="6">
        <v>70935</v>
      </c>
      <c r="E463" s="61">
        <v>55001</v>
      </c>
      <c r="F463" s="63" t="s">
        <v>82</v>
      </c>
    </row>
    <row r="464" spans="1:6" x14ac:dyDescent="0.45">
      <c r="A464" s="57">
        <v>2022</v>
      </c>
      <c r="B464" s="3" t="s">
        <v>59</v>
      </c>
      <c r="C464" s="3" t="s">
        <v>32</v>
      </c>
      <c r="D464" s="4">
        <v>26011</v>
      </c>
      <c r="E464" s="60">
        <v>45794</v>
      </c>
      <c r="F464" s="63" t="s">
        <v>81</v>
      </c>
    </row>
    <row r="465" spans="1:6" x14ac:dyDescent="0.45">
      <c r="A465" s="58">
        <v>2022</v>
      </c>
      <c r="B465" s="5" t="s">
        <v>59</v>
      </c>
      <c r="C465" s="5" t="s">
        <v>33</v>
      </c>
      <c r="D465" s="6">
        <v>2141</v>
      </c>
      <c r="E465" s="61">
        <v>46484</v>
      </c>
      <c r="F465" s="63" t="s">
        <v>81</v>
      </c>
    </row>
    <row r="466" spans="1:6" x14ac:dyDescent="0.45">
      <c r="A466" s="57">
        <v>2022</v>
      </c>
      <c r="B466" s="3" t="s">
        <v>59</v>
      </c>
      <c r="C466" s="3" t="s">
        <v>34</v>
      </c>
      <c r="D466" s="4">
        <v>23929</v>
      </c>
      <c r="E466" s="60">
        <v>44332</v>
      </c>
      <c r="F466" s="63" t="s">
        <v>82</v>
      </c>
    </row>
    <row r="467" spans="1:6" x14ac:dyDescent="0.45">
      <c r="A467" s="58">
        <v>2022</v>
      </c>
      <c r="B467" s="5" t="s">
        <v>59</v>
      </c>
      <c r="C467" s="5" t="s">
        <v>35</v>
      </c>
      <c r="D467" s="6">
        <v>6600</v>
      </c>
      <c r="E467" s="61">
        <v>43686</v>
      </c>
      <c r="F467" s="63" t="s">
        <v>82</v>
      </c>
    </row>
    <row r="468" spans="1:6" x14ac:dyDescent="0.45">
      <c r="A468" s="57">
        <v>2022</v>
      </c>
      <c r="B468" s="3" t="s">
        <v>59</v>
      </c>
      <c r="C468" s="3" t="s">
        <v>36</v>
      </c>
      <c r="D468" s="4">
        <v>14853</v>
      </c>
      <c r="E468" s="60">
        <v>47296</v>
      </c>
      <c r="F468" s="63" t="s">
        <v>81</v>
      </c>
    </row>
    <row r="469" spans="1:6" x14ac:dyDescent="0.45">
      <c r="A469" s="58">
        <v>2022</v>
      </c>
      <c r="B469" s="5" t="s">
        <v>59</v>
      </c>
      <c r="C469" s="5" t="s">
        <v>37</v>
      </c>
      <c r="D469" s="6">
        <v>33590</v>
      </c>
      <c r="E469" s="61">
        <v>45396</v>
      </c>
      <c r="F469" s="63" t="s">
        <v>81</v>
      </c>
    </row>
    <row r="470" spans="1:6" x14ac:dyDescent="0.45">
      <c r="A470" s="57">
        <v>2022</v>
      </c>
      <c r="B470" s="3" t="s">
        <v>59</v>
      </c>
      <c r="C470" s="3" t="s">
        <v>38</v>
      </c>
      <c r="D470" s="4">
        <v>3576</v>
      </c>
      <c r="E470" s="60">
        <v>44763</v>
      </c>
      <c r="F470" s="63" t="s">
        <v>82</v>
      </c>
    </row>
    <row r="471" spans="1:6" x14ac:dyDescent="0.45">
      <c r="A471" s="58">
        <v>2022</v>
      </c>
      <c r="B471" s="5" t="s">
        <v>59</v>
      </c>
      <c r="C471" s="5" t="s">
        <v>39</v>
      </c>
      <c r="D471" s="6">
        <v>10267</v>
      </c>
      <c r="E471" s="61">
        <v>44110</v>
      </c>
      <c r="F471" s="63" t="s">
        <v>81</v>
      </c>
    </row>
    <row r="472" spans="1:6" x14ac:dyDescent="0.45">
      <c r="A472" s="57">
        <v>2022</v>
      </c>
      <c r="B472" s="3" t="s">
        <v>59</v>
      </c>
      <c r="C472" s="3" t="s">
        <v>40</v>
      </c>
      <c r="D472" s="4">
        <v>2313</v>
      </c>
      <c r="E472" s="60">
        <v>44165</v>
      </c>
      <c r="F472" s="63" t="s">
        <v>82</v>
      </c>
    </row>
    <row r="473" spans="1:6" x14ac:dyDescent="0.45">
      <c r="A473" s="58">
        <v>2022</v>
      </c>
      <c r="B473" s="5" t="s">
        <v>59</v>
      </c>
      <c r="C473" s="5" t="s">
        <v>41</v>
      </c>
      <c r="D473" s="6">
        <v>12651</v>
      </c>
      <c r="E473" s="61">
        <v>46323</v>
      </c>
      <c r="F473" s="63" t="s">
        <v>81</v>
      </c>
    </row>
    <row r="474" spans="1:6" x14ac:dyDescent="0.45">
      <c r="A474" s="57">
        <v>2022</v>
      </c>
      <c r="B474" s="3" t="s">
        <v>59</v>
      </c>
      <c r="C474" s="3" t="s">
        <v>42</v>
      </c>
      <c r="D474" s="4">
        <v>57936</v>
      </c>
      <c r="E474" s="60">
        <v>50055</v>
      </c>
      <c r="F474" s="63" t="s">
        <v>81</v>
      </c>
    </row>
    <row r="475" spans="1:6" x14ac:dyDescent="0.45">
      <c r="A475" s="58">
        <v>2022</v>
      </c>
      <c r="B475" s="5" t="s">
        <v>59</v>
      </c>
      <c r="C475" s="5" t="s">
        <v>43</v>
      </c>
      <c r="D475" s="6">
        <v>6849</v>
      </c>
      <c r="E475" s="61">
        <v>45528</v>
      </c>
      <c r="F475" s="63" t="s">
        <v>82</v>
      </c>
    </row>
    <row r="476" spans="1:6" x14ac:dyDescent="0.45">
      <c r="A476" s="57">
        <v>2022</v>
      </c>
      <c r="B476" s="3" t="s">
        <v>59</v>
      </c>
      <c r="C476" s="3" t="s">
        <v>44</v>
      </c>
      <c r="D476" s="4">
        <v>1995</v>
      </c>
      <c r="E476" s="60">
        <v>47304</v>
      </c>
      <c r="F476" s="63" t="s">
        <v>82</v>
      </c>
    </row>
    <row r="477" spans="1:6" x14ac:dyDescent="0.45">
      <c r="A477" s="58">
        <v>2022</v>
      </c>
      <c r="B477" s="5" t="s">
        <v>59</v>
      </c>
      <c r="C477" s="5" t="s">
        <v>45</v>
      </c>
      <c r="D477" s="6">
        <v>29516</v>
      </c>
      <c r="E477" s="61">
        <v>56744</v>
      </c>
      <c r="F477" s="63" t="s">
        <v>81</v>
      </c>
    </row>
    <row r="478" spans="1:6" x14ac:dyDescent="0.45">
      <c r="A478" s="57">
        <v>2022</v>
      </c>
      <c r="B478" s="3" t="s">
        <v>59</v>
      </c>
      <c r="C478" s="3" t="s">
        <v>46</v>
      </c>
      <c r="D478" s="4">
        <v>20259</v>
      </c>
      <c r="E478" s="60">
        <v>52691</v>
      </c>
      <c r="F478" s="63" t="s">
        <v>81</v>
      </c>
    </row>
    <row r="479" spans="1:6" x14ac:dyDescent="0.45">
      <c r="A479" s="58">
        <v>2022</v>
      </c>
      <c r="B479" s="5" t="s">
        <v>59</v>
      </c>
      <c r="C479" s="5" t="s">
        <v>47</v>
      </c>
      <c r="D479" s="6">
        <v>3442</v>
      </c>
      <c r="E479" s="61">
        <v>41759</v>
      </c>
      <c r="F479" s="63" t="s">
        <v>82</v>
      </c>
    </row>
    <row r="480" spans="1:6" x14ac:dyDescent="0.45">
      <c r="A480" s="57">
        <v>2022</v>
      </c>
      <c r="B480" s="3" t="s">
        <v>59</v>
      </c>
      <c r="C480" s="3" t="s">
        <v>48</v>
      </c>
      <c r="D480" s="4">
        <v>13143</v>
      </c>
      <c r="E480" s="60">
        <v>42058</v>
      </c>
      <c r="F480" s="63" t="s">
        <v>82</v>
      </c>
    </row>
    <row r="481" spans="1:6" x14ac:dyDescent="0.45">
      <c r="A481" s="58">
        <v>2022</v>
      </c>
      <c r="B481" s="5" t="s">
        <v>59</v>
      </c>
      <c r="C481" s="5" t="s">
        <v>49</v>
      </c>
      <c r="D481" s="6">
        <v>1669</v>
      </c>
      <c r="E481" s="61">
        <v>46253</v>
      </c>
      <c r="F481" s="63" t="s">
        <v>82</v>
      </c>
    </row>
    <row r="482" spans="1:6" x14ac:dyDescent="0.45">
      <c r="A482" s="57">
        <v>2021</v>
      </c>
      <c r="B482" s="3" t="s">
        <v>50</v>
      </c>
      <c r="C482" s="3" t="s">
        <v>2</v>
      </c>
      <c r="D482" s="4">
        <v>1846</v>
      </c>
      <c r="E482" s="60">
        <v>62529</v>
      </c>
      <c r="F482" s="63" t="s">
        <v>82</v>
      </c>
    </row>
    <row r="483" spans="1:6" x14ac:dyDescent="0.45">
      <c r="A483" s="58">
        <v>2021</v>
      </c>
      <c r="B483" s="5" t="s">
        <v>50</v>
      </c>
      <c r="C483" s="5" t="s">
        <v>3</v>
      </c>
      <c r="D483" s="6">
        <v>1358</v>
      </c>
      <c r="E483" s="61">
        <v>58262</v>
      </c>
      <c r="F483" s="63" t="s">
        <v>82</v>
      </c>
    </row>
    <row r="484" spans="1:6" x14ac:dyDescent="0.45">
      <c r="A484" s="57">
        <v>2021</v>
      </c>
      <c r="B484" s="3" t="s">
        <v>50</v>
      </c>
      <c r="C484" s="3" t="s">
        <v>4</v>
      </c>
      <c r="D484" s="4">
        <v>2577</v>
      </c>
      <c r="E484" s="60">
        <v>54299</v>
      </c>
      <c r="F484" s="63" t="s">
        <v>81</v>
      </c>
    </row>
    <row r="485" spans="1:6" x14ac:dyDescent="0.45">
      <c r="A485" s="58">
        <v>2021</v>
      </c>
      <c r="B485" s="5" t="s">
        <v>50</v>
      </c>
      <c r="C485" s="5" t="s">
        <v>5</v>
      </c>
      <c r="D485" s="6">
        <v>17663</v>
      </c>
      <c r="E485" s="61">
        <v>46246</v>
      </c>
      <c r="F485" s="63" t="s">
        <v>81</v>
      </c>
    </row>
    <row r="486" spans="1:6" x14ac:dyDescent="0.45">
      <c r="A486" s="57">
        <v>2021</v>
      </c>
      <c r="B486" s="3" t="s">
        <v>50</v>
      </c>
      <c r="C486" s="3" t="s">
        <v>6</v>
      </c>
      <c r="D486" s="4">
        <v>3279</v>
      </c>
      <c r="E486" s="60">
        <v>96328</v>
      </c>
      <c r="F486" s="63" t="s">
        <v>82</v>
      </c>
    </row>
    <row r="487" spans="1:6" x14ac:dyDescent="0.45">
      <c r="A487" s="58">
        <v>2021</v>
      </c>
      <c r="B487" s="5" t="s">
        <v>50</v>
      </c>
      <c r="C487" s="5" t="s">
        <v>7</v>
      </c>
      <c r="D487" s="5">
        <v>437</v>
      </c>
      <c r="E487" s="61">
        <v>47449</v>
      </c>
      <c r="F487" s="63" t="s">
        <v>81</v>
      </c>
    </row>
    <row r="488" spans="1:6" x14ac:dyDescent="0.45">
      <c r="A488" s="57">
        <v>2021</v>
      </c>
      <c r="B488" s="3" t="s">
        <v>50</v>
      </c>
      <c r="C488" s="3" t="s">
        <v>8</v>
      </c>
      <c r="D488" s="3">
        <v>180</v>
      </c>
      <c r="E488" s="60">
        <v>48123</v>
      </c>
      <c r="F488" s="63" t="s">
        <v>81</v>
      </c>
    </row>
    <row r="489" spans="1:6" x14ac:dyDescent="0.45">
      <c r="A489" s="58">
        <v>2021</v>
      </c>
      <c r="B489" s="5" t="s">
        <v>50</v>
      </c>
      <c r="C489" s="5" t="s">
        <v>9</v>
      </c>
      <c r="D489" s="6">
        <v>5304</v>
      </c>
      <c r="E489" s="61">
        <v>41645</v>
      </c>
      <c r="F489" s="63" t="s">
        <v>82</v>
      </c>
    </row>
    <row r="490" spans="1:6" x14ac:dyDescent="0.45">
      <c r="A490" s="57">
        <v>2021</v>
      </c>
      <c r="B490" s="3" t="s">
        <v>50</v>
      </c>
      <c r="C490" s="3" t="s">
        <v>10</v>
      </c>
      <c r="D490" s="4">
        <v>2662</v>
      </c>
      <c r="E490" s="60">
        <v>49258</v>
      </c>
      <c r="F490" s="63" t="s">
        <v>82</v>
      </c>
    </row>
    <row r="491" spans="1:6" x14ac:dyDescent="0.45">
      <c r="A491" s="58">
        <v>2021</v>
      </c>
      <c r="B491" s="5" t="s">
        <v>50</v>
      </c>
      <c r="C491" s="5" t="s">
        <v>11</v>
      </c>
      <c r="D491" s="6">
        <v>2401</v>
      </c>
      <c r="E491" s="61">
        <v>47105</v>
      </c>
      <c r="F491" s="63" t="s">
        <v>81</v>
      </c>
    </row>
    <row r="492" spans="1:6" x14ac:dyDescent="0.45">
      <c r="A492" s="57">
        <v>2021</v>
      </c>
      <c r="B492" s="3" t="s">
        <v>50</v>
      </c>
      <c r="C492" s="3" t="s">
        <v>12</v>
      </c>
      <c r="D492" s="4">
        <v>2825</v>
      </c>
      <c r="E492" s="60">
        <v>58197</v>
      </c>
      <c r="F492" s="63" t="s">
        <v>81</v>
      </c>
    </row>
    <row r="493" spans="1:6" x14ac:dyDescent="0.45">
      <c r="A493" s="58">
        <v>2021</v>
      </c>
      <c r="B493" s="5" t="s">
        <v>50</v>
      </c>
      <c r="C493" s="5" t="s">
        <v>13</v>
      </c>
      <c r="D493" s="6">
        <v>2255</v>
      </c>
      <c r="E493" s="61">
        <v>56243</v>
      </c>
      <c r="F493" s="63" t="s">
        <v>82</v>
      </c>
    </row>
    <row r="494" spans="1:6" x14ac:dyDescent="0.45">
      <c r="A494" s="57">
        <v>2021</v>
      </c>
      <c r="B494" s="3" t="s">
        <v>50</v>
      </c>
      <c r="C494" s="3" t="s">
        <v>14</v>
      </c>
      <c r="D494" s="4">
        <v>2916</v>
      </c>
      <c r="E494" s="60">
        <v>50087</v>
      </c>
      <c r="F494" s="63" t="s">
        <v>81</v>
      </c>
    </row>
    <row r="495" spans="1:6" x14ac:dyDescent="0.45">
      <c r="A495" s="58">
        <v>2021</v>
      </c>
      <c r="B495" s="5" t="s">
        <v>50</v>
      </c>
      <c r="C495" s="5" t="s">
        <v>15</v>
      </c>
      <c r="D495" s="6">
        <v>2612</v>
      </c>
      <c r="E495" s="61">
        <v>53802</v>
      </c>
      <c r="F495" s="63" t="s">
        <v>82</v>
      </c>
    </row>
    <row r="496" spans="1:6" x14ac:dyDescent="0.45">
      <c r="A496" s="57">
        <v>2021</v>
      </c>
      <c r="B496" s="3" t="s">
        <v>50</v>
      </c>
      <c r="C496" s="3" t="s">
        <v>16</v>
      </c>
      <c r="D496" s="4">
        <v>1561</v>
      </c>
      <c r="E496" s="60">
        <v>62448</v>
      </c>
      <c r="F496" s="63" t="s">
        <v>81</v>
      </c>
    </row>
    <row r="497" spans="1:6" x14ac:dyDescent="0.45">
      <c r="A497" s="58">
        <v>2021</v>
      </c>
      <c r="B497" s="5" t="s">
        <v>50</v>
      </c>
      <c r="C497" s="5" t="s">
        <v>17</v>
      </c>
      <c r="D497" s="6">
        <v>3133</v>
      </c>
      <c r="E497" s="61">
        <v>93820</v>
      </c>
      <c r="F497" s="63" t="s">
        <v>81</v>
      </c>
    </row>
    <row r="498" spans="1:6" x14ac:dyDescent="0.45">
      <c r="A498" s="57">
        <v>2021</v>
      </c>
      <c r="B498" s="3" t="s">
        <v>50</v>
      </c>
      <c r="C498" s="3" t="s">
        <v>18</v>
      </c>
      <c r="D498" s="4">
        <v>1447</v>
      </c>
      <c r="E498" s="60">
        <v>47157</v>
      </c>
      <c r="F498" s="63" t="s">
        <v>82</v>
      </c>
    </row>
    <row r="499" spans="1:6" x14ac:dyDescent="0.45">
      <c r="A499" s="58">
        <v>2021</v>
      </c>
      <c r="B499" s="5" t="s">
        <v>50</v>
      </c>
      <c r="C499" s="5" t="s">
        <v>19</v>
      </c>
      <c r="D499" s="5">
        <v>723</v>
      </c>
      <c r="E499" s="61">
        <v>50642</v>
      </c>
      <c r="F499" s="63" t="s">
        <v>82</v>
      </c>
    </row>
    <row r="500" spans="1:6" x14ac:dyDescent="0.45">
      <c r="A500" s="57">
        <v>2021</v>
      </c>
      <c r="B500" s="3" t="s">
        <v>50</v>
      </c>
      <c r="C500" s="3" t="s">
        <v>20</v>
      </c>
      <c r="D500" s="4">
        <v>1007</v>
      </c>
      <c r="E500" s="60">
        <v>69846</v>
      </c>
      <c r="F500" s="63" t="s">
        <v>81</v>
      </c>
    </row>
    <row r="501" spans="1:6" x14ac:dyDescent="0.45">
      <c r="A501" s="58">
        <v>2021</v>
      </c>
      <c r="B501" s="5" t="s">
        <v>50</v>
      </c>
      <c r="C501" s="5" t="s">
        <v>21</v>
      </c>
      <c r="D501" s="6">
        <v>3480</v>
      </c>
      <c r="E501" s="61">
        <v>47799</v>
      </c>
      <c r="F501" s="63" t="s">
        <v>81</v>
      </c>
    </row>
    <row r="502" spans="1:6" x14ac:dyDescent="0.45">
      <c r="A502" s="57">
        <v>2021</v>
      </c>
      <c r="B502" s="3" t="s">
        <v>50</v>
      </c>
      <c r="C502" s="3" t="s">
        <v>22</v>
      </c>
      <c r="D502" s="4">
        <v>3094</v>
      </c>
      <c r="E502" s="60">
        <v>57107</v>
      </c>
      <c r="F502" s="63" t="s">
        <v>82</v>
      </c>
    </row>
    <row r="503" spans="1:6" x14ac:dyDescent="0.45">
      <c r="A503" s="58">
        <v>2021</v>
      </c>
      <c r="B503" s="5" t="s">
        <v>50</v>
      </c>
      <c r="C503" s="5" t="s">
        <v>23</v>
      </c>
      <c r="D503" s="6">
        <v>2110</v>
      </c>
      <c r="E503" s="61">
        <v>55263</v>
      </c>
      <c r="F503" s="63" t="s">
        <v>82</v>
      </c>
    </row>
    <row r="504" spans="1:6" x14ac:dyDescent="0.45">
      <c r="A504" s="57">
        <v>2021</v>
      </c>
      <c r="B504" s="3" t="s">
        <v>50</v>
      </c>
      <c r="C504" s="3" t="s">
        <v>24</v>
      </c>
      <c r="D504" s="4">
        <v>2031</v>
      </c>
      <c r="E504" s="60">
        <v>50815</v>
      </c>
      <c r="F504" s="63" t="s">
        <v>82</v>
      </c>
    </row>
    <row r="505" spans="1:6" x14ac:dyDescent="0.45">
      <c r="A505" s="58">
        <v>2021</v>
      </c>
      <c r="B505" s="5" t="s">
        <v>50</v>
      </c>
      <c r="C505" s="5" t="s">
        <v>25</v>
      </c>
      <c r="D505" s="6">
        <v>1789</v>
      </c>
      <c r="E505" s="61">
        <v>73162</v>
      </c>
      <c r="F505" s="63" t="s">
        <v>82</v>
      </c>
    </row>
    <row r="506" spans="1:6" x14ac:dyDescent="0.45">
      <c r="A506" s="57">
        <v>2021</v>
      </c>
      <c r="B506" s="3" t="s">
        <v>50</v>
      </c>
      <c r="C506" s="3" t="s">
        <v>26</v>
      </c>
      <c r="D506" s="4">
        <v>2414</v>
      </c>
      <c r="E506" s="60">
        <v>48685</v>
      </c>
      <c r="F506" s="63" t="s">
        <v>82</v>
      </c>
    </row>
    <row r="507" spans="1:6" x14ac:dyDescent="0.45">
      <c r="A507" s="58">
        <v>2021</v>
      </c>
      <c r="B507" s="5" t="s">
        <v>50</v>
      </c>
      <c r="C507" s="5" t="s">
        <v>27</v>
      </c>
      <c r="D507" s="5">
        <v>618</v>
      </c>
      <c r="E507" s="61">
        <v>92362</v>
      </c>
      <c r="F507" s="63" t="s">
        <v>81</v>
      </c>
    </row>
    <row r="508" spans="1:6" x14ac:dyDescent="0.45">
      <c r="A508" s="57">
        <v>2021</v>
      </c>
      <c r="B508" s="3" t="s">
        <v>50</v>
      </c>
      <c r="C508" s="3" t="s">
        <v>28</v>
      </c>
      <c r="D508" s="3">
        <v>350</v>
      </c>
      <c r="E508" s="60">
        <v>50073</v>
      </c>
      <c r="F508" s="63" t="s">
        <v>81</v>
      </c>
    </row>
    <row r="509" spans="1:6" x14ac:dyDescent="0.45">
      <c r="A509" s="58">
        <v>2021</v>
      </c>
      <c r="B509" s="5" t="s">
        <v>50</v>
      </c>
      <c r="C509" s="5" t="s">
        <v>29</v>
      </c>
      <c r="D509" s="5">
        <v>998</v>
      </c>
      <c r="E509" s="61">
        <v>47732</v>
      </c>
      <c r="F509" s="63" t="s">
        <v>82</v>
      </c>
    </row>
    <row r="510" spans="1:6" x14ac:dyDescent="0.45">
      <c r="A510" s="57">
        <v>2021</v>
      </c>
      <c r="B510" s="3" t="s">
        <v>50</v>
      </c>
      <c r="C510" s="3" t="s">
        <v>30</v>
      </c>
      <c r="D510" s="4">
        <v>2100</v>
      </c>
      <c r="E510" s="60">
        <v>74427</v>
      </c>
      <c r="F510" s="63" t="s">
        <v>81</v>
      </c>
    </row>
    <row r="511" spans="1:6" x14ac:dyDescent="0.45">
      <c r="A511" s="58">
        <v>2021</v>
      </c>
      <c r="B511" s="5" t="s">
        <v>50</v>
      </c>
      <c r="C511" s="5" t="s">
        <v>31</v>
      </c>
      <c r="D511" s="6">
        <v>3053</v>
      </c>
      <c r="E511" s="61">
        <v>48992</v>
      </c>
      <c r="F511" s="63" t="s">
        <v>81</v>
      </c>
    </row>
    <row r="512" spans="1:6" x14ac:dyDescent="0.45">
      <c r="A512" s="57">
        <v>2021</v>
      </c>
      <c r="B512" s="3" t="s">
        <v>50</v>
      </c>
      <c r="C512" s="3" t="s">
        <v>32</v>
      </c>
      <c r="D512" s="4">
        <v>3378</v>
      </c>
      <c r="E512" s="60">
        <v>46862</v>
      </c>
      <c r="F512" s="63" t="s">
        <v>82</v>
      </c>
    </row>
    <row r="513" spans="1:6" x14ac:dyDescent="0.45">
      <c r="A513" s="58">
        <v>2021</v>
      </c>
      <c r="B513" s="5" t="s">
        <v>50</v>
      </c>
      <c r="C513" s="5" t="s">
        <v>33</v>
      </c>
      <c r="D513" s="6">
        <v>1784</v>
      </c>
      <c r="E513" s="61">
        <v>103355</v>
      </c>
      <c r="F513" s="63" t="s">
        <v>82</v>
      </c>
    </row>
    <row r="514" spans="1:6" x14ac:dyDescent="0.45">
      <c r="A514" s="57">
        <v>2021</v>
      </c>
      <c r="B514" s="3" t="s">
        <v>50</v>
      </c>
      <c r="C514" s="3" t="s">
        <v>34</v>
      </c>
      <c r="D514" s="4">
        <v>2531</v>
      </c>
      <c r="E514" s="60">
        <v>57860</v>
      </c>
      <c r="F514" s="63" t="s">
        <v>81</v>
      </c>
    </row>
    <row r="515" spans="1:6" x14ac:dyDescent="0.45">
      <c r="A515" s="58">
        <v>2021</v>
      </c>
      <c r="B515" s="5" t="s">
        <v>50</v>
      </c>
      <c r="C515" s="5" t="s">
        <v>35</v>
      </c>
      <c r="D515" s="6">
        <v>4402</v>
      </c>
      <c r="E515" s="61">
        <v>97249</v>
      </c>
      <c r="F515" s="63" t="s">
        <v>81</v>
      </c>
    </row>
    <row r="516" spans="1:6" x14ac:dyDescent="0.45">
      <c r="A516" s="57">
        <v>2021</v>
      </c>
      <c r="B516" s="3" t="s">
        <v>50</v>
      </c>
      <c r="C516" s="3" t="s">
        <v>36</v>
      </c>
      <c r="D516" s="4">
        <v>4633</v>
      </c>
      <c r="E516" s="60">
        <v>43586</v>
      </c>
      <c r="F516" s="63" t="s">
        <v>82</v>
      </c>
    </row>
    <row r="517" spans="1:6" x14ac:dyDescent="0.45">
      <c r="A517" s="58">
        <v>2021</v>
      </c>
      <c r="B517" s="5" t="s">
        <v>50</v>
      </c>
      <c r="C517" s="5" t="s">
        <v>37</v>
      </c>
      <c r="D517" s="6">
        <v>3616</v>
      </c>
      <c r="E517" s="61">
        <v>71014</v>
      </c>
      <c r="F517" s="63" t="s">
        <v>81</v>
      </c>
    </row>
    <row r="518" spans="1:6" x14ac:dyDescent="0.45">
      <c r="A518" s="57">
        <v>2021</v>
      </c>
      <c r="B518" s="3" t="s">
        <v>50</v>
      </c>
      <c r="C518" s="3" t="s">
        <v>38</v>
      </c>
      <c r="D518" s="3">
        <v>198</v>
      </c>
      <c r="E518" s="60">
        <v>45917</v>
      </c>
      <c r="F518" s="63" t="s">
        <v>82</v>
      </c>
    </row>
    <row r="519" spans="1:6" x14ac:dyDescent="0.45">
      <c r="A519" s="58">
        <v>2021</v>
      </c>
      <c r="B519" s="5" t="s">
        <v>50</v>
      </c>
      <c r="C519" s="5" t="s">
        <v>39</v>
      </c>
      <c r="D519" s="6">
        <v>1345</v>
      </c>
      <c r="E519" s="61">
        <v>49952</v>
      </c>
      <c r="F519" s="63" t="s">
        <v>81</v>
      </c>
    </row>
    <row r="520" spans="1:6" x14ac:dyDescent="0.45">
      <c r="A520" s="57">
        <v>2021</v>
      </c>
      <c r="B520" s="3" t="s">
        <v>50</v>
      </c>
      <c r="C520" s="3" t="s">
        <v>40</v>
      </c>
      <c r="D520" s="4">
        <v>1063</v>
      </c>
      <c r="E520" s="60">
        <v>49642</v>
      </c>
      <c r="F520" s="63" t="s">
        <v>81</v>
      </c>
    </row>
    <row r="521" spans="1:6" x14ac:dyDescent="0.45">
      <c r="A521" s="58">
        <v>2021</v>
      </c>
      <c r="B521" s="5" t="s">
        <v>50</v>
      </c>
      <c r="C521" s="5" t="s">
        <v>41</v>
      </c>
      <c r="D521" s="6">
        <v>1107</v>
      </c>
      <c r="E521" s="61">
        <v>52865</v>
      </c>
      <c r="F521" s="63" t="s">
        <v>82</v>
      </c>
    </row>
    <row r="522" spans="1:6" x14ac:dyDescent="0.45">
      <c r="A522" s="57">
        <v>2021</v>
      </c>
      <c r="B522" s="3" t="s">
        <v>50</v>
      </c>
      <c r="C522" s="3" t="s">
        <v>42</v>
      </c>
      <c r="D522" s="4">
        <v>19971</v>
      </c>
      <c r="E522" s="60">
        <v>120918</v>
      </c>
      <c r="F522" s="63" t="s">
        <v>82</v>
      </c>
    </row>
    <row r="523" spans="1:6" x14ac:dyDescent="0.45">
      <c r="A523" s="58">
        <v>2021</v>
      </c>
      <c r="B523" s="5" t="s">
        <v>50</v>
      </c>
      <c r="C523" s="5" t="s">
        <v>43</v>
      </c>
      <c r="D523" s="6">
        <v>1032</v>
      </c>
      <c r="E523" s="61">
        <v>69604</v>
      </c>
      <c r="F523" s="63" t="s">
        <v>81</v>
      </c>
    </row>
    <row r="524" spans="1:6" x14ac:dyDescent="0.45">
      <c r="A524" s="57">
        <v>2021</v>
      </c>
      <c r="B524" s="3" t="s">
        <v>50</v>
      </c>
      <c r="C524" s="3" t="s">
        <v>44</v>
      </c>
      <c r="D524" s="3">
        <v>564</v>
      </c>
      <c r="E524" s="60">
        <v>45607</v>
      </c>
      <c r="F524" s="63" t="s">
        <v>81</v>
      </c>
    </row>
    <row r="525" spans="1:6" x14ac:dyDescent="0.45">
      <c r="A525" s="58">
        <v>2021</v>
      </c>
      <c r="B525" s="5" t="s">
        <v>50</v>
      </c>
      <c r="C525" s="5" t="s">
        <v>45</v>
      </c>
      <c r="D525" s="6">
        <v>2095</v>
      </c>
      <c r="E525" s="61">
        <v>54704</v>
      </c>
      <c r="F525" s="63" t="s">
        <v>82</v>
      </c>
    </row>
    <row r="526" spans="1:6" x14ac:dyDescent="0.45">
      <c r="A526" s="57">
        <v>2021</v>
      </c>
      <c r="B526" s="3" t="s">
        <v>50</v>
      </c>
      <c r="C526" s="3" t="s">
        <v>46</v>
      </c>
      <c r="D526" s="4">
        <v>7117</v>
      </c>
      <c r="E526" s="60">
        <v>40547</v>
      </c>
      <c r="F526" s="63" t="s">
        <v>82</v>
      </c>
    </row>
    <row r="527" spans="1:6" x14ac:dyDescent="0.45">
      <c r="A527" s="58">
        <v>2021</v>
      </c>
      <c r="B527" s="5" t="s">
        <v>50</v>
      </c>
      <c r="C527" s="5" t="s">
        <v>47</v>
      </c>
      <c r="D527" s="6">
        <v>1166</v>
      </c>
      <c r="E527" s="61">
        <v>86470</v>
      </c>
      <c r="F527" s="63" t="s">
        <v>82</v>
      </c>
    </row>
    <row r="528" spans="1:6" x14ac:dyDescent="0.45">
      <c r="A528" s="57">
        <v>2021</v>
      </c>
      <c r="B528" s="3" t="s">
        <v>50</v>
      </c>
      <c r="C528" s="3" t="s">
        <v>48</v>
      </c>
      <c r="D528" s="4">
        <v>2876</v>
      </c>
      <c r="E528" s="60">
        <v>46225</v>
      </c>
      <c r="F528" s="63" t="s">
        <v>82</v>
      </c>
    </row>
    <row r="529" spans="1:6" x14ac:dyDescent="0.45">
      <c r="A529" s="58">
        <v>2021</v>
      </c>
      <c r="B529" s="5" t="s">
        <v>50</v>
      </c>
      <c r="C529" s="5" t="s">
        <v>49</v>
      </c>
      <c r="D529" s="6">
        <v>1463</v>
      </c>
      <c r="E529" s="61">
        <v>92467</v>
      </c>
      <c r="F529" s="63" t="s">
        <v>82</v>
      </c>
    </row>
    <row r="530" spans="1:6" x14ac:dyDescent="0.45">
      <c r="A530" s="57">
        <v>2021</v>
      </c>
      <c r="B530" s="3" t="s">
        <v>51</v>
      </c>
      <c r="C530" s="3" t="s">
        <v>2</v>
      </c>
      <c r="D530" s="4">
        <v>10069</v>
      </c>
      <c r="E530" s="60">
        <v>62141</v>
      </c>
      <c r="F530" s="63" t="s">
        <v>81</v>
      </c>
    </row>
    <row r="531" spans="1:6" x14ac:dyDescent="0.45">
      <c r="A531" s="58">
        <v>2021</v>
      </c>
      <c r="B531" s="5" t="s">
        <v>51</v>
      </c>
      <c r="C531" s="5" t="s">
        <v>3</v>
      </c>
      <c r="D531" s="6">
        <v>13677</v>
      </c>
      <c r="E531" s="61">
        <v>64621</v>
      </c>
      <c r="F531" s="63" t="s">
        <v>81</v>
      </c>
    </row>
    <row r="532" spans="1:6" x14ac:dyDescent="0.45">
      <c r="A532" s="57">
        <v>2021</v>
      </c>
      <c r="B532" s="3" t="s">
        <v>51</v>
      </c>
      <c r="C532" s="3" t="s">
        <v>4</v>
      </c>
      <c r="D532" s="4">
        <v>7093</v>
      </c>
      <c r="E532" s="60">
        <v>55541</v>
      </c>
      <c r="F532" s="63" t="s">
        <v>82</v>
      </c>
    </row>
    <row r="533" spans="1:6" x14ac:dyDescent="0.45">
      <c r="A533" s="58">
        <v>2021</v>
      </c>
      <c r="B533" s="5" t="s">
        <v>51</v>
      </c>
      <c r="C533" s="5" t="s">
        <v>5</v>
      </c>
      <c r="D533" s="6">
        <v>84247</v>
      </c>
      <c r="E533" s="61">
        <v>79343</v>
      </c>
      <c r="F533" s="63" t="s">
        <v>81</v>
      </c>
    </row>
    <row r="534" spans="1:6" x14ac:dyDescent="0.45">
      <c r="A534" s="57">
        <v>2021</v>
      </c>
      <c r="B534" s="3" t="s">
        <v>51</v>
      </c>
      <c r="C534" s="3" t="s">
        <v>6</v>
      </c>
      <c r="D534" s="4">
        <v>20430</v>
      </c>
      <c r="E534" s="60">
        <v>70603</v>
      </c>
      <c r="F534" s="63" t="s">
        <v>81</v>
      </c>
    </row>
    <row r="535" spans="1:6" x14ac:dyDescent="0.45">
      <c r="A535" s="58">
        <v>2021</v>
      </c>
      <c r="B535" s="5" t="s">
        <v>51</v>
      </c>
      <c r="C535" s="5" t="s">
        <v>7</v>
      </c>
      <c r="D535" s="6">
        <v>9496</v>
      </c>
      <c r="E535" s="61">
        <v>78413</v>
      </c>
      <c r="F535" s="63" t="s">
        <v>82</v>
      </c>
    </row>
    <row r="536" spans="1:6" x14ac:dyDescent="0.45">
      <c r="A536" s="57">
        <v>2021</v>
      </c>
      <c r="B536" s="3" t="s">
        <v>51</v>
      </c>
      <c r="C536" s="3" t="s">
        <v>8</v>
      </c>
      <c r="D536" s="4">
        <v>3007</v>
      </c>
      <c r="E536" s="60">
        <v>68481</v>
      </c>
      <c r="F536" s="63" t="s">
        <v>82</v>
      </c>
    </row>
    <row r="537" spans="1:6" x14ac:dyDescent="0.45">
      <c r="A537" s="58">
        <v>2021</v>
      </c>
      <c r="B537" s="5" t="s">
        <v>51</v>
      </c>
      <c r="C537" s="5" t="s">
        <v>9</v>
      </c>
      <c r="D537" s="6">
        <v>74711</v>
      </c>
      <c r="E537" s="61">
        <v>58893</v>
      </c>
      <c r="F537" s="63" t="s">
        <v>81</v>
      </c>
    </row>
    <row r="538" spans="1:6" x14ac:dyDescent="0.45">
      <c r="A538" s="57">
        <v>2021</v>
      </c>
      <c r="B538" s="3" t="s">
        <v>51</v>
      </c>
      <c r="C538" s="3" t="s">
        <v>10</v>
      </c>
      <c r="D538" s="4">
        <v>21408</v>
      </c>
      <c r="E538" s="60">
        <v>69683</v>
      </c>
      <c r="F538" s="63" t="s">
        <v>81</v>
      </c>
    </row>
    <row r="539" spans="1:6" x14ac:dyDescent="0.45">
      <c r="A539" s="58">
        <v>2021</v>
      </c>
      <c r="B539" s="5" t="s">
        <v>51</v>
      </c>
      <c r="C539" s="5" t="s">
        <v>11</v>
      </c>
      <c r="D539" s="6">
        <v>8175</v>
      </c>
      <c r="E539" s="61">
        <v>52258</v>
      </c>
      <c r="F539" s="63" t="s">
        <v>82</v>
      </c>
    </row>
    <row r="540" spans="1:6" x14ac:dyDescent="0.45">
      <c r="A540" s="57">
        <v>2021</v>
      </c>
      <c r="B540" s="3" t="s">
        <v>51</v>
      </c>
      <c r="C540" s="3" t="s">
        <v>12</v>
      </c>
      <c r="D540" s="4">
        <v>32686</v>
      </c>
      <c r="E540" s="60">
        <v>79799</v>
      </c>
      <c r="F540" s="63" t="s">
        <v>81</v>
      </c>
    </row>
    <row r="541" spans="1:6" x14ac:dyDescent="0.45">
      <c r="A541" s="58">
        <v>2021</v>
      </c>
      <c r="B541" s="5" t="s">
        <v>51</v>
      </c>
      <c r="C541" s="5" t="s">
        <v>13</v>
      </c>
      <c r="D541" s="6">
        <v>15232</v>
      </c>
      <c r="E541" s="61">
        <v>66057</v>
      </c>
      <c r="F541" s="63" t="s">
        <v>82</v>
      </c>
    </row>
    <row r="542" spans="1:6" x14ac:dyDescent="0.45">
      <c r="A542" s="57">
        <v>2021</v>
      </c>
      <c r="B542" s="3" t="s">
        <v>51</v>
      </c>
      <c r="C542" s="3" t="s">
        <v>14</v>
      </c>
      <c r="D542" s="4">
        <v>9462</v>
      </c>
      <c r="E542" s="60">
        <v>64962</v>
      </c>
      <c r="F542" s="63" t="s">
        <v>81</v>
      </c>
    </row>
    <row r="543" spans="1:6" x14ac:dyDescent="0.45">
      <c r="A543" s="58">
        <v>2021</v>
      </c>
      <c r="B543" s="5" t="s">
        <v>51</v>
      </c>
      <c r="C543" s="5" t="s">
        <v>15</v>
      </c>
      <c r="D543" s="6">
        <v>7399</v>
      </c>
      <c r="E543" s="61">
        <v>63030</v>
      </c>
      <c r="F543" s="63" t="s">
        <v>81</v>
      </c>
    </row>
    <row r="544" spans="1:6" x14ac:dyDescent="0.45">
      <c r="A544" s="57">
        <v>2021</v>
      </c>
      <c r="B544" s="3" t="s">
        <v>51</v>
      </c>
      <c r="C544" s="3" t="s">
        <v>16</v>
      </c>
      <c r="D544" s="4">
        <v>9517</v>
      </c>
      <c r="E544" s="60">
        <v>61601</v>
      </c>
      <c r="F544" s="63" t="s">
        <v>82</v>
      </c>
    </row>
    <row r="545" spans="1:6" x14ac:dyDescent="0.45">
      <c r="A545" s="58">
        <v>2021</v>
      </c>
      <c r="B545" s="5" t="s">
        <v>51</v>
      </c>
      <c r="C545" s="5" t="s">
        <v>17</v>
      </c>
      <c r="D545" s="6">
        <v>10991</v>
      </c>
      <c r="E545" s="61">
        <v>70940</v>
      </c>
      <c r="F545" s="63" t="s">
        <v>82</v>
      </c>
    </row>
    <row r="546" spans="1:6" x14ac:dyDescent="0.45">
      <c r="A546" s="57">
        <v>2021</v>
      </c>
      <c r="B546" s="3" t="s">
        <v>51</v>
      </c>
      <c r="C546" s="3" t="s">
        <v>18</v>
      </c>
      <c r="D546" s="4">
        <v>5605</v>
      </c>
      <c r="E546" s="60">
        <v>57654</v>
      </c>
      <c r="F546" s="63" t="s">
        <v>81</v>
      </c>
    </row>
    <row r="547" spans="1:6" x14ac:dyDescent="0.45">
      <c r="A547" s="58">
        <v>2021</v>
      </c>
      <c r="B547" s="5" t="s">
        <v>51</v>
      </c>
      <c r="C547" s="5" t="s">
        <v>19</v>
      </c>
      <c r="D547" s="6">
        <v>16694</v>
      </c>
      <c r="E547" s="61">
        <v>73799</v>
      </c>
      <c r="F547" s="63" t="s">
        <v>81</v>
      </c>
    </row>
    <row r="548" spans="1:6" x14ac:dyDescent="0.45">
      <c r="A548" s="57">
        <v>2021</v>
      </c>
      <c r="B548" s="3" t="s">
        <v>51</v>
      </c>
      <c r="C548" s="3" t="s">
        <v>20</v>
      </c>
      <c r="D548" s="4">
        <v>21309</v>
      </c>
      <c r="E548" s="60">
        <v>87436</v>
      </c>
      <c r="F548" s="63" t="s">
        <v>82</v>
      </c>
    </row>
    <row r="549" spans="1:6" x14ac:dyDescent="0.45">
      <c r="A549" s="58">
        <v>2021</v>
      </c>
      <c r="B549" s="5" t="s">
        <v>51</v>
      </c>
      <c r="C549" s="5" t="s">
        <v>21</v>
      </c>
      <c r="D549" s="6">
        <v>21106</v>
      </c>
      <c r="E549" s="61">
        <v>69588</v>
      </c>
      <c r="F549" s="63" t="s">
        <v>82</v>
      </c>
    </row>
    <row r="550" spans="1:6" x14ac:dyDescent="0.45">
      <c r="A550" s="57">
        <v>2021</v>
      </c>
      <c r="B550" s="3" t="s">
        <v>51</v>
      </c>
      <c r="C550" s="3" t="s">
        <v>22</v>
      </c>
      <c r="D550" s="4">
        <v>16700</v>
      </c>
      <c r="E550" s="60">
        <v>75734</v>
      </c>
      <c r="F550" s="63" t="s">
        <v>82</v>
      </c>
    </row>
    <row r="551" spans="1:6" x14ac:dyDescent="0.45">
      <c r="A551" s="58">
        <v>2021</v>
      </c>
      <c r="B551" s="5" t="s">
        <v>51</v>
      </c>
      <c r="C551" s="5" t="s">
        <v>23</v>
      </c>
      <c r="D551" s="6">
        <v>5771</v>
      </c>
      <c r="E551" s="61">
        <v>56925</v>
      </c>
      <c r="F551" s="63" t="s">
        <v>82</v>
      </c>
    </row>
    <row r="552" spans="1:6" x14ac:dyDescent="0.45">
      <c r="A552" s="57">
        <v>2021</v>
      </c>
      <c r="B552" s="3" t="s">
        <v>51</v>
      </c>
      <c r="C552" s="3" t="s">
        <v>24</v>
      </c>
      <c r="D552" s="4">
        <v>15133</v>
      </c>
      <c r="E552" s="60">
        <v>67762</v>
      </c>
      <c r="F552" s="63" t="s">
        <v>82</v>
      </c>
    </row>
    <row r="553" spans="1:6" x14ac:dyDescent="0.45">
      <c r="A553" s="58">
        <v>2021</v>
      </c>
      <c r="B553" s="5" t="s">
        <v>51</v>
      </c>
      <c r="C553" s="5" t="s">
        <v>25</v>
      </c>
      <c r="D553" s="6">
        <v>6432</v>
      </c>
      <c r="E553" s="61">
        <v>59962</v>
      </c>
      <c r="F553" s="63" t="s">
        <v>81</v>
      </c>
    </row>
    <row r="554" spans="1:6" x14ac:dyDescent="0.45">
      <c r="A554" s="57">
        <v>2021</v>
      </c>
      <c r="B554" s="3" t="s">
        <v>51</v>
      </c>
      <c r="C554" s="3" t="s">
        <v>26</v>
      </c>
      <c r="D554" s="4">
        <v>7038</v>
      </c>
      <c r="E554" s="60">
        <v>59794</v>
      </c>
      <c r="F554" s="63" t="s">
        <v>81</v>
      </c>
    </row>
    <row r="555" spans="1:6" x14ac:dyDescent="0.45">
      <c r="A555" s="58">
        <v>2021</v>
      </c>
      <c r="B555" s="5" t="s">
        <v>51</v>
      </c>
      <c r="C555" s="5" t="s">
        <v>27</v>
      </c>
      <c r="D555" s="6">
        <v>5852</v>
      </c>
      <c r="E555" s="61">
        <v>70365</v>
      </c>
      <c r="F555" s="63" t="s">
        <v>82</v>
      </c>
    </row>
    <row r="556" spans="1:6" x14ac:dyDescent="0.45">
      <c r="A556" s="57">
        <v>2021</v>
      </c>
      <c r="B556" s="3" t="s">
        <v>51</v>
      </c>
      <c r="C556" s="3" t="s">
        <v>28</v>
      </c>
      <c r="D556" s="4">
        <v>4692</v>
      </c>
      <c r="E556" s="60">
        <v>70868</v>
      </c>
      <c r="F556" s="63" t="s">
        <v>81</v>
      </c>
    </row>
    <row r="557" spans="1:6" x14ac:dyDescent="0.45">
      <c r="A557" s="58">
        <v>2021</v>
      </c>
      <c r="B557" s="5" t="s">
        <v>51</v>
      </c>
      <c r="C557" s="5" t="s">
        <v>29</v>
      </c>
      <c r="D557" s="6">
        <v>22556</v>
      </c>
      <c r="E557" s="61">
        <v>80644</v>
      </c>
      <c r="F557" s="63" t="s">
        <v>81</v>
      </c>
    </row>
    <row r="558" spans="1:6" x14ac:dyDescent="0.45">
      <c r="A558" s="57">
        <v>2021</v>
      </c>
      <c r="B558" s="3" t="s">
        <v>51</v>
      </c>
      <c r="C558" s="3" t="s">
        <v>30</v>
      </c>
      <c r="D558" s="4">
        <v>5571</v>
      </c>
      <c r="E558" s="60">
        <v>58091</v>
      </c>
      <c r="F558" s="63" t="s">
        <v>82</v>
      </c>
    </row>
    <row r="559" spans="1:6" x14ac:dyDescent="0.45">
      <c r="A559" s="58">
        <v>2021</v>
      </c>
      <c r="B559" s="5" t="s">
        <v>51</v>
      </c>
      <c r="C559" s="5" t="s">
        <v>31</v>
      </c>
      <c r="D559" s="6">
        <v>50432</v>
      </c>
      <c r="E559" s="61">
        <v>81570</v>
      </c>
      <c r="F559" s="63" t="s">
        <v>82</v>
      </c>
    </row>
    <row r="560" spans="1:6" x14ac:dyDescent="0.45">
      <c r="A560" s="57">
        <v>2021</v>
      </c>
      <c r="B560" s="3" t="s">
        <v>51</v>
      </c>
      <c r="C560" s="3" t="s">
        <v>32</v>
      </c>
      <c r="D560" s="4">
        <v>27974</v>
      </c>
      <c r="E560" s="60">
        <v>62974</v>
      </c>
      <c r="F560" s="63" t="s">
        <v>81</v>
      </c>
    </row>
    <row r="561" spans="1:6" x14ac:dyDescent="0.45">
      <c r="A561" s="58">
        <v>2021</v>
      </c>
      <c r="B561" s="5" t="s">
        <v>51</v>
      </c>
      <c r="C561" s="5" t="s">
        <v>33</v>
      </c>
      <c r="D561" s="6">
        <v>3692</v>
      </c>
      <c r="E561" s="61">
        <v>74153</v>
      </c>
      <c r="F561" s="63" t="s">
        <v>81</v>
      </c>
    </row>
    <row r="562" spans="1:6" x14ac:dyDescent="0.45">
      <c r="A562" s="57">
        <v>2021</v>
      </c>
      <c r="B562" s="3" t="s">
        <v>51</v>
      </c>
      <c r="C562" s="3" t="s">
        <v>34</v>
      </c>
      <c r="D562" s="4">
        <v>23405</v>
      </c>
      <c r="E562" s="60">
        <v>68383</v>
      </c>
      <c r="F562" s="63" t="s">
        <v>82</v>
      </c>
    </row>
    <row r="563" spans="1:6" x14ac:dyDescent="0.45">
      <c r="A563" s="58">
        <v>2021</v>
      </c>
      <c r="B563" s="5" t="s">
        <v>51</v>
      </c>
      <c r="C563" s="5" t="s">
        <v>35</v>
      </c>
      <c r="D563" s="6">
        <v>9801</v>
      </c>
      <c r="E563" s="61">
        <v>60435</v>
      </c>
      <c r="F563" s="63" t="s">
        <v>81</v>
      </c>
    </row>
    <row r="564" spans="1:6" x14ac:dyDescent="0.45">
      <c r="A564" s="57">
        <v>2021</v>
      </c>
      <c r="B564" s="3" t="s">
        <v>51</v>
      </c>
      <c r="C564" s="3" t="s">
        <v>36</v>
      </c>
      <c r="D564" s="4">
        <v>14626</v>
      </c>
      <c r="E564" s="60">
        <v>69148</v>
      </c>
      <c r="F564" s="63" t="s">
        <v>82</v>
      </c>
    </row>
    <row r="565" spans="1:6" x14ac:dyDescent="0.45">
      <c r="A565" s="58">
        <v>2021</v>
      </c>
      <c r="B565" s="5" t="s">
        <v>51</v>
      </c>
      <c r="C565" s="5" t="s">
        <v>37</v>
      </c>
      <c r="D565" s="6">
        <v>29139</v>
      </c>
      <c r="E565" s="61">
        <v>74612</v>
      </c>
      <c r="F565" s="63" t="s">
        <v>81</v>
      </c>
    </row>
    <row r="566" spans="1:6" x14ac:dyDescent="0.45">
      <c r="A566" s="57">
        <v>2021</v>
      </c>
      <c r="B566" s="3" t="s">
        <v>51</v>
      </c>
      <c r="C566" s="3" t="s">
        <v>38</v>
      </c>
      <c r="D566" s="4">
        <v>3833</v>
      </c>
      <c r="E566" s="60">
        <v>69414</v>
      </c>
      <c r="F566" s="63" t="s">
        <v>81</v>
      </c>
    </row>
    <row r="567" spans="1:6" x14ac:dyDescent="0.45">
      <c r="A567" s="58">
        <v>2021</v>
      </c>
      <c r="B567" s="5" t="s">
        <v>51</v>
      </c>
      <c r="C567" s="5" t="s">
        <v>39</v>
      </c>
      <c r="D567" s="6">
        <v>12956</v>
      </c>
      <c r="E567" s="61">
        <v>61230</v>
      </c>
      <c r="F567" s="63" t="s">
        <v>82</v>
      </c>
    </row>
    <row r="568" spans="1:6" x14ac:dyDescent="0.45">
      <c r="A568" s="57">
        <v>2021</v>
      </c>
      <c r="B568" s="3" t="s">
        <v>51</v>
      </c>
      <c r="C568" s="3" t="s">
        <v>40</v>
      </c>
      <c r="D568" s="4">
        <v>3897</v>
      </c>
      <c r="E568" s="60">
        <v>56997</v>
      </c>
      <c r="F568" s="63" t="s">
        <v>82</v>
      </c>
    </row>
    <row r="569" spans="1:6" x14ac:dyDescent="0.45">
      <c r="A569" s="58">
        <v>2021</v>
      </c>
      <c r="B569" s="5" t="s">
        <v>51</v>
      </c>
      <c r="C569" s="5" t="s">
        <v>41</v>
      </c>
      <c r="D569" s="6">
        <v>12487</v>
      </c>
      <c r="E569" s="61">
        <v>64777</v>
      </c>
      <c r="F569" s="63" t="s">
        <v>81</v>
      </c>
    </row>
    <row r="570" spans="1:6" x14ac:dyDescent="0.45">
      <c r="A570" s="57">
        <v>2021</v>
      </c>
      <c r="B570" s="3" t="s">
        <v>51</v>
      </c>
      <c r="C570" s="3" t="s">
        <v>42</v>
      </c>
      <c r="D570" s="4">
        <v>53248</v>
      </c>
      <c r="E570" s="60">
        <v>73564</v>
      </c>
      <c r="F570" s="63" t="s">
        <v>81</v>
      </c>
    </row>
    <row r="571" spans="1:6" x14ac:dyDescent="0.45">
      <c r="A571" s="58">
        <v>2021</v>
      </c>
      <c r="B571" s="5" t="s">
        <v>51</v>
      </c>
      <c r="C571" s="5" t="s">
        <v>43</v>
      </c>
      <c r="D571" s="6">
        <v>12212</v>
      </c>
      <c r="E571" s="61">
        <v>59428</v>
      </c>
      <c r="F571" s="63" t="s">
        <v>82</v>
      </c>
    </row>
    <row r="572" spans="1:6" x14ac:dyDescent="0.45">
      <c r="A572" s="57">
        <v>2021</v>
      </c>
      <c r="B572" s="3" t="s">
        <v>51</v>
      </c>
      <c r="C572" s="3" t="s">
        <v>44</v>
      </c>
      <c r="D572" s="4">
        <v>2846</v>
      </c>
      <c r="E572" s="60">
        <v>58585</v>
      </c>
      <c r="F572" s="63" t="s">
        <v>82</v>
      </c>
    </row>
    <row r="573" spans="1:6" x14ac:dyDescent="0.45">
      <c r="A573" s="58">
        <v>2021</v>
      </c>
      <c r="B573" s="5" t="s">
        <v>51</v>
      </c>
      <c r="C573" s="5" t="s">
        <v>45</v>
      </c>
      <c r="D573" s="6">
        <v>21468</v>
      </c>
      <c r="E573" s="61">
        <v>66504</v>
      </c>
      <c r="F573" s="63" t="s">
        <v>82</v>
      </c>
    </row>
    <row r="574" spans="1:6" x14ac:dyDescent="0.45">
      <c r="A574" s="57">
        <v>2021</v>
      </c>
      <c r="B574" s="3" t="s">
        <v>51</v>
      </c>
      <c r="C574" s="3" t="s">
        <v>46</v>
      </c>
      <c r="D574" s="4">
        <v>26472</v>
      </c>
      <c r="E574" s="60">
        <v>73833</v>
      </c>
      <c r="F574" s="63" t="s">
        <v>82</v>
      </c>
    </row>
    <row r="575" spans="1:6" x14ac:dyDescent="0.45">
      <c r="A575" s="58">
        <v>2021</v>
      </c>
      <c r="B575" s="5" t="s">
        <v>51</v>
      </c>
      <c r="C575" s="5" t="s">
        <v>47</v>
      </c>
      <c r="D575" s="6">
        <v>4338</v>
      </c>
      <c r="E575" s="61">
        <v>70460</v>
      </c>
      <c r="F575" s="63" t="s">
        <v>82</v>
      </c>
    </row>
    <row r="576" spans="1:6" x14ac:dyDescent="0.45">
      <c r="A576" s="57">
        <v>2021</v>
      </c>
      <c r="B576" s="3" t="s">
        <v>51</v>
      </c>
      <c r="C576" s="3" t="s">
        <v>48</v>
      </c>
      <c r="D576" s="4">
        <v>14823</v>
      </c>
      <c r="E576" s="60">
        <v>69874</v>
      </c>
      <c r="F576" s="63" t="s">
        <v>81</v>
      </c>
    </row>
    <row r="577" spans="1:6" x14ac:dyDescent="0.45">
      <c r="A577" s="58">
        <v>2021</v>
      </c>
      <c r="B577" s="5" t="s">
        <v>51</v>
      </c>
      <c r="C577" s="5" t="s">
        <v>49</v>
      </c>
      <c r="D577" s="6">
        <v>3427</v>
      </c>
      <c r="E577" s="61">
        <v>63417</v>
      </c>
      <c r="F577" s="63" t="s">
        <v>81</v>
      </c>
    </row>
    <row r="578" spans="1:6" x14ac:dyDescent="0.45">
      <c r="A578" s="57">
        <v>2021</v>
      </c>
      <c r="B578" s="3" t="s">
        <v>52</v>
      </c>
      <c r="C578" s="3" t="s">
        <v>2</v>
      </c>
      <c r="D578" s="4">
        <v>5677</v>
      </c>
      <c r="E578" s="60">
        <v>64532</v>
      </c>
      <c r="F578" s="63" t="s">
        <v>82</v>
      </c>
    </row>
    <row r="579" spans="1:6" x14ac:dyDescent="0.45">
      <c r="A579" s="58">
        <v>2021</v>
      </c>
      <c r="B579" s="5" t="s">
        <v>52</v>
      </c>
      <c r="C579" s="5" t="s">
        <v>3</v>
      </c>
      <c r="D579" s="6">
        <v>5157</v>
      </c>
      <c r="E579" s="61">
        <v>84966</v>
      </c>
      <c r="F579" s="63" t="s">
        <v>81</v>
      </c>
    </row>
    <row r="580" spans="1:6" x14ac:dyDescent="0.45">
      <c r="A580" s="57">
        <v>2021</v>
      </c>
      <c r="B580" s="3" t="s">
        <v>52</v>
      </c>
      <c r="C580" s="3" t="s">
        <v>4</v>
      </c>
      <c r="D580" s="4">
        <v>2930</v>
      </c>
      <c r="E580" s="60">
        <v>55202</v>
      </c>
      <c r="F580" s="63" t="s">
        <v>81</v>
      </c>
    </row>
    <row r="581" spans="1:6" x14ac:dyDescent="0.45">
      <c r="A581" s="58">
        <v>2021</v>
      </c>
      <c r="B581" s="5" t="s">
        <v>52</v>
      </c>
      <c r="C581" s="5" t="s">
        <v>5</v>
      </c>
      <c r="D581" s="6">
        <v>44539</v>
      </c>
      <c r="E581" s="61">
        <v>104222</v>
      </c>
      <c r="F581" s="63" t="s">
        <v>82</v>
      </c>
    </row>
    <row r="582" spans="1:6" x14ac:dyDescent="0.45">
      <c r="A582" s="57">
        <v>2021</v>
      </c>
      <c r="B582" s="3" t="s">
        <v>52</v>
      </c>
      <c r="C582" s="3" t="s">
        <v>6</v>
      </c>
      <c r="D582" s="4">
        <v>5849</v>
      </c>
      <c r="E582" s="60">
        <v>79935</v>
      </c>
      <c r="F582" s="63" t="s">
        <v>82</v>
      </c>
    </row>
    <row r="583" spans="1:6" x14ac:dyDescent="0.45">
      <c r="A583" s="58">
        <v>2021</v>
      </c>
      <c r="B583" s="5" t="s">
        <v>52</v>
      </c>
      <c r="C583" s="5" t="s">
        <v>7</v>
      </c>
      <c r="D583" s="6">
        <v>4405</v>
      </c>
      <c r="E583" s="61">
        <v>91024</v>
      </c>
      <c r="F583" s="63" t="s">
        <v>81</v>
      </c>
    </row>
    <row r="584" spans="1:6" x14ac:dyDescent="0.45">
      <c r="A584" s="57">
        <v>2021</v>
      </c>
      <c r="B584" s="3" t="s">
        <v>52</v>
      </c>
      <c r="C584" s="3" t="s">
        <v>8</v>
      </c>
      <c r="D584" s="3">
        <v>663</v>
      </c>
      <c r="E584" s="60">
        <v>72194</v>
      </c>
      <c r="F584" s="63" t="s">
        <v>81</v>
      </c>
    </row>
    <row r="585" spans="1:6" x14ac:dyDescent="0.45">
      <c r="A585" s="58">
        <v>2021</v>
      </c>
      <c r="B585" s="5" t="s">
        <v>52</v>
      </c>
      <c r="C585" s="5" t="s">
        <v>9</v>
      </c>
      <c r="D585" s="6">
        <v>20799</v>
      </c>
      <c r="E585" s="61">
        <v>69877</v>
      </c>
      <c r="F585" s="63" t="s">
        <v>82</v>
      </c>
    </row>
    <row r="586" spans="1:6" x14ac:dyDescent="0.45">
      <c r="A586" s="57">
        <v>2021</v>
      </c>
      <c r="B586" s="3" t="s">
        <v>52</v>
      </c>
      <c r="C586" s="3" t="s">
        <v>10</v>
      </c>
      <c r="D586" s="4">
        <v>10066</v>
      </c>
      <c r="E586" s="60">
        <v>64246</v>
      </c>
      <c r="F586" s="63" t="s">
        <v>81</v>
      </c>
    </row>
    <row r="587" spans="1:6" x14ac:dyDescent="0.45">
      <c r="A587" s="58">
        <v>2021</v>
      </c>
      <c r="B587" s="5" t="s">
        <v>52</v>
      </c>
      <c r="C587" s="5" t="s">
        <v>11</v>
      </c>
      <c r="D587" s="6">
        <v>2680</v>
      </c>
      <c r="E587" s="61">
        <v>68480</v>
      </c>
      <c r="F587" s="63" t="s">
        <v>82</v>
      </c>
    </row>
    <row r="588" spans="1:6" x14ac:dyDescent="0.45">
      <c r="A588" s="57">
        <v>2021</v>
      </c>
      <c r="B588" s="3" t="s">
        <v>52</v>
      </c>
      <c r="C588" s="3" t="s">
        <v>12</v>
      </c>
      <c r="D588" s="4">
        <v>18066</v>
      </c>
      <c r="E588" s="60">
        <v>78819</v>
      </c>
      <c r="F588" s="63" t="s">
        <v>81</v>
      </c>
    </row>
    <row r="589" spans="1:6" x14ac:dyDescent="0.45">
      <c r="A589" s="58">
        <v>2021</v>
      </c>
      <c r="B589" s="5" t="s">
        <v>52</v>
      </c>
      <c r="C589" s="5" t="s">
        <v>13</v>
      </c>
      <c r="D589" s="6">
        <v>9083</v>
      </c>
      <c r="E589" s="61">
        <v>69320</v>
      </c>
      <c r="F589" s="63" t="s">
        <v>81</v>
      </c>
    </row>
    <row r="590" spans="1:6" x14ac:dyDescent="0.45">
      <c r="A590" s="57">
        <v>2021</v>
      </c>
      <c r="B590" s="3" t="s">
        <v>52</v>
      </c>
      <c r="C590" s="3" t="s">
        <v>14</v>
      </c>
      <c r="D590" s="4">
        <v>4132</v>
      </c>
      <c r="E590" s="60">
        <v>66185</v>
      </c>
      <c r="F590" s="63" t="s">
        <v>82</v>
      </c>
    </row>
    <row r="591" spans="1:6" x14ac:dyDescent="0.45">
      <c r="A591" s="58">
        <v>2021</v>
      </c>
      <c r="B591" s="5" t="s">
        <v>52</v>
      </c>
      <c r="C591" s="5" t="s">
        <v>15</v>
      </c>
      <c r="D591" s="6">
        <v>3105</v>
      </c>
      <c r="E591" s="61">
        <v>65652</v>
      </c>
      <c r="F591" s="63" t="s">
        <v>82</v>
      </c>
    </row>
    <row r="592" spans="1:6" x14ac:dyDescent="0.45">
      <c r="A592" s="57">
        <v>2021</v>
      </c>
      <c r="B592" s="3" t="s">
        <v>52</v>
      </c>
      <c r="C592" s="3" t="s">
        <v>16</v>
      </c>
      <c r="D592" s="4">
        <v>4583</v>
      </c>
      <c r="E592" s="60">
        <v>67167</v>
      </c>
      <c r="F592" s="63" t="s">
        <v>81</v>
      </c>
    </row>
    <row r="593" spans="1:6" x14ac:dyDescent="0.45">
      <c r="A593" s="58">
        <v>2021</v>
      </c>
      <c r="B593" s="5" t="s">
        <v>52</v>
      </c>
      <c r="C593" s="5" t="s">
        <v>17</v>
      </c>
      <c r="D593" s="6">
        <v>4453</v>
      </c>
      <c r="E593" s="61">
        <v>83600</v>
      </c>
      <c r="F593" s="63" t="s">
        <v>81</v>
      </c>
    </row>
    <row r="594" spans="1:6" x14ac:dyDescent="0.45">
      <c r="A594" s="57">
        <v>2021</v>
      </c>
      <c r="B594" s="3" t="s">
        <v>52</v>
      </c>
      <c r="C594" s="3" t="s">
        <v>18</v>
      </c>
      <c r="D594" s="4">
        <v>1870</v>
      </c>
      <c r="E594" s="60">
        <v>63227</v>
      </c>
      <c r="F594" s="63" t="s">
        <v>82</v>
      </c>
    </row>
    <row r="595" spans="1:6" x14ac:dyDescent="0.45">
      <c r="A595" s="58">
        <v>2021</v>
      </c>
      <c r="B595" s="5" t="s">
        <v>52</v>
      </c>
      <c r="C595" s="5" t="s">
        <v>19</v>
      </c>
      <c r="D595" s="6">
        <v>4145</v>
      </c>
      <c r="E595" s="61">
        <v>85016</v>
      </c>
      <c r="F595" s="63" t="s">
        <v>82</v>
      </c>
    </row>
    <row r="596" spans="1:6" x14ac:dyDescent="0.45">
      <c r="A596" s="57">
        <v>2021</v>
      </c>
      <c r="B596" s="3" t="s">
        <v>52</v>
      </c>
      <c r="C596" s="3" t="s">
        <v>20</v>
      </c>
      <c r="D596" s="4">
        <v>6682</v>
      </c>
      <c r="E596" s="60">
        <v>95698</v>
      </c>
      <c r="F596" s="63" t="s">
        <v>82</v>
      </c>
    </row>
    <row r="597" spans="1:6" x14ac:dyDescent="0.45">
      <c r="A597" s="58">
        <v>2021</v>
      </c>
      <c r="B597" s="5" t="s">
        <v>52</v>
      </c>
      <c r="C597" s="5" t="s">
        <v>21</v>
      </c>
      <c r="D597" s="6">
        <v>16948</v>
      </c>
      <c r="E597" s="61">
        <v>74465</v>
      </c>
      <c r="F597" s="63" t="s">
        <v>82</v>
      </c>
    </row>
    <row r="598" spans="1:6" x14ac:dyDescent="0.45">
      <c r="A598" s="57">
        <v>2021</v>
      </c>
      <c r="B598" s="3" t="s">
        <v>52</v>
      </c>
      <c r="C598" s="3" t="s">
        <v>22</v>
      </c>
      <c r="D598" s="4">
        <v>8265</v>
      </c>
      <c r="E598" s="60">
        <v>74082</v>
      </c>
      <c r="F598" s="63" t="s">
        <v>82</v>
      </c>
    </row>
    <row r="599" spans="1:6" x14ac:dyDescent="0.45">
      <c r="A599" s="58">
        <v>2021</v>
      </c>
      <c r="B599" s="5" t="s">
        <v>52</v>
      </c>
      <c r="C599" s="5" t="s">
        <v>23</v>
      </c>
      <c r="D599" s="6">
        <v>2396</v>
      </c>
      <c r="E599" s="61">
        <v>56065</v>
      </c>
      <c r="F599" s="63" t="s">
        <v>81</v>
      </c>
    </row>
    <row r="600" spans="1:6" x14ac:dyDescent="0.45">
      <c r="A600" s="57">
        <v>2021</v>
      </c>
      <c r="B600" s="3" t="s">
        <v>52</v>
      </c>
      <c r="C600" s="3" t="s">
        <v>24</v>
      </c>
      <c r="D600" s="4">
        <v>6681</v>
      </c>
      <c r="E600" s="60">
        <v>65758</v>
      </c>
      <c r="F600" s="63" t="s">
        <v>81</v>
      </c>
    </row>
    <row r="601" spans="1:6" x14ac:dyDescent="0.45">
      <c r="A601" s="58">
        <v>2021</v>
      </c>
      <c r="B601" s="5" t="s">
        <v>52</v>
      </c>
      <c r="C601" s="5" t="s">
        <v>25</v>
      </c>
      <c r="D601" s="6">
        <v>1625</v>
      </c>
      <c r="E601" s="61">
        <v>57666</v>
      </c>
      <c r="F601" s="63" t="s">
        <v>82</v>
      </c>
    </row>
    <row r="602" spans="1:6" x14ac:dyDescent="0.45">
      <c r="A602" s="57">
        <v>2021</v>
      </c>
      <c r="B602" s="3" t="s">
        <v>52</v>
      </c>
      <c r="C602" s="3" t="s">
        <v>26</v>
      </c>
      <c r="D602" s="4">
        <v>1974</v>
      </c>
      <c r="E602" s="60">
        <v>58716</v>
      </c>
      <c r="F602" s="63" t="s">
        <v>81</v>
      </c>
    </row>
    <row r="603" spans="1:6" x14ac:dyDescent="0.45">
      <c r="A603" s="58">
        <v>2021</v>
      </c>
      <c r="B603" s="5" t="s">
        <v>52</v>
      </c>
      <c r="C603" s="5" t="s">
        <v>27</v>
      </c>
      <c r="D603" s="6">
        <v>2069</v>
      </c>
      <c r="E603" s="61">
        <v>65498</v>
      </c>
      <c r="F603" s="63" t="s">
        <v>81</v>
      </c>
    </row>
    <row r="604" spans="1:6" x14ac:dyDescent="0.45">
      <c r="A604" s="57">
        <v>2021</v>
      </c>
      <c r="B604" s="3" t="s">
        <v>52</v>
      </c>
      <c r="C604" s="3" t="s">
        <v>28</v>
      </c>
      <c r="D604" s="4">
        <v>2012</v>
      </c>
      <c r="E604" s="60">
        <v>79007</v>
      </c>
      <c r="F604" s="63" t="s">
        <v>82</v>
      </c>
    </row>
    <row r="605" spans="1:6" x14ac:dyDescent="0.45">
      <c r="A605" s="58">
        <v>2021</v>
      </c>
      <c r="B605" s="5" t="s">
        <v>52</v>
      </c>
      <c r="C605" s="5" t="s">
        <v>29</v>
      </c>
      <c r="D605" s="6">
        <v>8994</v>
      </c>
      <c r="E605" s="61">
        <v>87649</v>
      </c>
      <c r="F605" s="63" t="s">
        <v>82</v>
      </c>
    </row>
    <row r="606" spans="1:6" x14ac:dyDescent="0.45">
      <c r="A606" s="57">
        <v>2021</v>
      </c>
      <c r="B606" s="3" t="s">
        <v>52</v>
      </c>
      <c r="C606" s="3" t="s">
        <v>30</v>
      </c>
      <c r="D606" s="4">
        <v>1810</v>
      </c>
      <c r="E606" s="60">
        <v>61737</v>
      </c>
      <c r="F606" s="63" t="s">
        <v>81</v>
      </c>
    </row>
    <row r="607" spans="1:6" x14ac:dyDescent="0.45">
      <c r="A607" s="58">
        <v>2021</v>
      </c>
      <c r="B607" s="5" t="s">
        <v>52</v>
      </c>
      <c r="C607" s="5" t="s">
        <v>31</v>
      </c>
      <c r="D607" s="6">
        <v>16457</v>
      </c>
      <c r="E607" s="61">
        <v>75154</v>
      </c>
      <c r="F607" s="63" t="s">
        <v>81</v>
      </c>
    </row>
    <row r="608" spans="1:6" x14ac:dyDescent="0.45">
      <c r="A608" s="57">
        <v>2021</v>
      </c>
      <c r="B608" s="3" t="s">
        <v>52</v>
      </c>
      <c r="C608" s="3" t="s">
        <v>32</v>
      </c>
      <c r="D608" s="4">
        <v>10247</v>
      </c>
      <c r="E608" s="60">
        <v>67095</v>
      </c>
      <c r="F608" s="63" t="s">
        <v>82</v>
      </c>
    </row>
    <row r="609" spans="1:6" x14ac:dyDescent="0.45">
      <c r="A609" s="58">
        <v>2021</v>
      </c>
      <c r="B609" s="5" t="s">
        <v>52</v>
      </c>
      <c r="C609" s="5" t="s">
        <v>33</v>
      </c>
      <c r="D609" s="5">
        <v>808</v>
      </c>
      <c r="E609" s="61">
        <v>61179</v>
      </c>
      <c r="F609" s="63" t="s">
        <v>81</v>
      </c>
    </row>
    <row r="610" spans="1:6" x14ac:dyDescent="0.45">
      <c r="A610" s="57">
        <v>2021</v>
      </c>
      <c r="B610" s="3" t="s">
        <v>52</v>
      </c>
      <c r="C610" s="3" t="s">
        <v>34</v>
      </c>
      <c r="D610" s="4">
        <v>15486</v>
      </c>
      <c r="E610" s="60">
        <v>68878</v>
      </c>
      <c r="F610" s="63" t="s">
        <v>82</v>
      </c>
    </row>
    <row r="611" spans="1:6" x14ac:dyDescent="0.45">
      <c r="A611" s="58">
        <v>2021</v>
      </c>
      <c r="B611" s="5" t="s">
        <v>52</v>
      </c>
      <c r="C611" s="5" t="s">
        <v>35</v>
      </c>
      <c r="D611" s="6">
        <v>4213</v>
      </c>
      <c r="E611" s="61">
        <v>65951</v>
      </c>
      <c r="F611" s="63" t="s">
        <v>81</v>
      </c>
    </row>
    <row r="612" spans="1:6" x14ac:dyDescent="0.45">
      <c r="A612" s="57">
        <v>2021</v>
      </c>
      <c r="B612" s="3" t="s">
        <v>52</v>
      </c>
      <c r="C612" s="3" t="s">
        <v>36</v>
      </c>
      <c r="D612" s="4">
        <v>6396</v>
      </c>
      <c r="E612" s="60">
        <v>77436</v>
      </c>
      <c r="F612" s="63" t="s">
        <v>81</v>
      </c>
    </row>
    <row r="613" spans="1:6" x14ac:dyDescent="0.45">
      <c r="A613" s="58">
        <v>2021</v>
      </c>
      <c r="B613" s="5" t="s">
        <v>52</v>
      </c>
      <c r="C613" s="5" t="s">
        <v>37</v>
      </c>
      <c r="D613" s="6">
        <v>14432</v>
      </c>
      <c r="E613" s="61">
        <v>70231</v>
      </c>
      <c r="F613" s="63" t="s">
        <v>82</v>
      </c>
    </row>
    <row r="614" spans="1:6" x14ac:dyDescent="0.45">
      <c r="A614" s="57">
        <v>2021</v>
      </c>
      <c r="B614" s="3" t="s">
        <v>52</v>
      </c>
      <c r="C614" s="3" t="s">
        <v>38</v>
      </c>
      <c r="D614" s="4">
        <v>1636</v>
      </c>
      <c r="E614" s="60">
        <v>66286</v>
      </c>
      <c r="F614" s="63" t="s">
        <v>82</v>
      </c>
    </row>
    <row r="615" spans="1:6" x14ac:dyDescent="0.45">
      <c r="A615" s="58">
        <v>2021</v>
      </c>
      <c r="B615" s="5" t="s">
        <v>52</v>
      </c>
      <c r="C615" s="5" t="s">
        <v>39</v>
      </c>
      <c r="D615" s="6">
        <v>6414</v>
      </c>
      <c r="E615" s="61">
        <v>66850</v>
      </c>
      <c r="F615" s="63" t="s">
        <v>81</v>
      </c>
    </row>
    <row r="616" spans="1:6" x14ac:dyDescent="0.45">
      <c r="A616" s="57">
        <v>2021</v>
      </c>
      <c r="B616" s="3" t="s">
        <v>52</v>
      </c>
      <c r="C616" s="3" t="s">
        <v>40</v>
      </c>
      <c r="D616" s="4">
        <v>1067</v>
      </c>
      <c r="E616" s="60">
        <v>56219</v>
      </c>
      <c r="F616" s="63" t="s">
        <v>81</v>
      </c>
    </row>
    <row r="617" spans="1:6" x14ac:dyDescent="0.45">
      <c r="A617" s="58">
        <v>2021</v>
      </c>
      <c r="B617" s="5" t="s">
        <v>52</v>
      </c>
      <c r="C617" s="5" t="s">
        <v>41</v>
      </c>
      <c r="D617" s="6">
        <v>7272</v>
      </c>
      <c r="E617" s="61">
        <v>66305</v>
      </c>
      <c r="F617" s="63" t="s">
        <v>82</v>
      </c>
    </row>
    <row r="618" spans="1:6" x14ac:dyDescent="0.45">
      <c r="A618" s="57">
        <v>2021</v>
      </c>
      <c r="B618" s="3" t="s">
        <v>52</v>
      </c>
      <c r="C618" s="3" t="s">
        <v>42</v>
      </c>
      <c r="D618" s="4">
        <v>25577</v>
      </c>
      <c r="E618" s="60">
        <v>85766</v>
      </c>
      <c r="F618" s="63" t="s">
        <v>82</v>
      </c>
    </row>
    <row r="619" spans="1:6" x14ac:dyDescent="0.45">
      <c r="A619" s="58">
        <v>2021</v>
      </c>
      <c r="B619" s="5" t="s">
        <v>52</v>
      </c>
      <c r="C619" s="5" t="s">
        <v>43</v>
      </c>
      <c r="D619" s="6">
        <v>4547</v>
      </c>
      <c r="E619" s="61">
        <v>65426</v>
      </c>
      <c r="F619" s="63" t="s">
        <v>82</v>
      </c>
    </row>
    <row r="620" spans="1:6" x14ac:dyDescent="0.45">
      <c r="A620" s="57">
        <v>2021</v>
      </c>
      <c r="B620" s="3" t="s">
        <v>52</v>
      </c>
      <c r="C620" s="3" t="s">
        <v>44</v>
      </c>
      <c r="D620" s="4">
        <v>1108</v>
      </c>
      <c r="E620" s="60">
        <v>66807</v>
      </c>
      <c r="F620" s="63" t="s">
        <v>82</v>
      </c>
    </row>
    <row r="621" spans="1:6" x14ac:dyDescent="0.45">
      <c r="A621" s="58">
        <v>2021</v>
      </c>
      <c r="B621" s="5" t="s">
        <v>52</v>
      </c>
      <c r="C621" s="5" t="s">
        <v>45</v>
      </c>
      <c r="D621" s="6">
        <v>6864</v>
      </c>
      <c r="E621" s="61">
        <v>67341</v>
      </c>
      <c r="F621" s="63" t="s">
        <v>82</v>
      </c>
    </row>
    <row r="622" spans="1:6" x14ac:dyDescent="0.45">
      <c r="A622" s="57">
        <v>2021</v>
      </c>
      <c r="B622" s="3" t="s">
        <v>52</v>
      </c>
      <c r="C622" s="3" t="s">
        <v>46</v>
      </c>
      <c r="D622" s="4">
        <v>7824</v>
      </c>
      <c r="E622" s="60">
        <v>87228</v>
      </c>
      <c r="F622" s="63" t="s">
        <v>81</v>
      </c>
    </row>
    <row r="623" spans="1:6" x14ac:dyDescent="0.45">
      <c r="A623" s="58">
        <v>2021</v>
      </c>
      <c r="B623" s="5" t="s">
        <v>52</v>
      </c>
      <c r="C623" s="5" t="s">
        <v>47</v>
      </c>
      <c r="D623" s="6">
        <v>1251</v>
      </c>
      <c r="E623" s="61">
        <v>67074</v>
      </c>
      <c r="F623" s="63" t="s">
        <v>81</v>
      </c>
    </row>
    <row r="624" spans="1:6" x14ac:dyDescent="0.45">
      <c r="A624" s="57">
        <v>2021</v>
      </c>
      <c r="B624" s="3" t="s">
        <v>52</v>
      </c>
      <c r="C624" s="3" t="s">
        <v>48</v>
      </c>
      <c r="D624" s="4">
        <v>9333</v>
      </c>
      <c r="E624" s="60">
        <v>65083</v>
      </c>
      <c r="F624" s="63" t="s">
        <v>82</v>
      </c>
    </row>
    <row r="625" spans="1:6" x14ac:dyDescent="0.45">
      <c r="A625" s="58">
        <v>2021</v>
      </c>
      <c r="B625" s="5" t="s">
        <v>52</v>
      </c>
      <c r="C625" s="5" t="s">
        <v>49</v>
      </c>
      <c r="D625" s="5">
        <v>615</v>
      </c>
      <c r="E625" s="61">
        <v>74738</v>
      </c>
      <c r="F625" s="63" t="s">
        <v>81</v>
      </c>
    </row>
    <row r="626" spans="1:6" x14ac:dyDescent="0.45">
      <c r="A626" s="57">
        <v>2021</v>
      </c>
      <c r="B626" s="3" t="s">
        <v>53</v>
      </c>
      <c r="C626" s="3" t="s">
        <v>2</v>
      </c>
      <c r="D626" s="4">
        <v>32423</v>
      </c>
      <c r="E626" s="60">
        <v>49426</v>
      </c>
      <c r="F626" s="63" t="s">
        <v>81</v>
      </c>
    </row>
    <row r="627" spans="1:6" x14ac:dyDescent="0.45">
      <c r="A627" s="58">
        <v>2021</v>
      </c>
      <c r="B627" s="5" t="s">
        <v>53</v>
      </c>
      <c r="C627" s="5" t="s">
        <v>3</v>
      </c>
      <c r="D627" s="6">
        <v>33190</v>
      </c>
      <c r="E627" s="61">
        <v>54023</v>
      </c>
      <c r="F627" s="63" t="s">
        <v>82</v>
      </c>
    </row>
    <row r="628" spans="1:6" x14ac:dyDescent="0.45">
      <c r="A628" s="57">
        <v>2021</v>
      </c>
      <c r="B628" s="3" t="s">
        <v>53</v>
      </c>
      <c r="C628" s="3" t="s">
        <v>4</v>
      </c>
      <c r="D628" s="4">
        <v>21821</v>
      </c>
      <c r="E628" s="60">
        <v>48897</v>
      </c>
      <c r="F628" s="63" t="s">
        <v>82</v>
      </c>
    </row>
    <row r="629" spans="1:6" x14ac:dyDescent="0.45">
      <c r="A629" s="58">
        <v>2021</v>
      </c>
      <c r="B629" s="5" t="s">
        <v>53</v>
      </c>
      <c r="C629" s="5" t="s">
        <v>5</v>
      </c>
      <c r="D629" s="6">
        <v>198955</v>
      </c>
      <c r="E629" s="61">
        <v>60908</v>
      </c>
      <c r="F629" s="63" t="s">
        <v>81</v>
      </c>
    </row>
    <row r="630" spans="1:6" x14ac:dyDescent="0.45">
      <c r="A630" s="57">
        <v>2021</v>
      </c>
      <c r="B630" s="3" t="s">
        <v>53</v>
      </c>
      <c r="C630" s="3" t="s">
        <v>6</v>
      </c>
      <c r="D630" s="4">
        <v>36041</v>
      </c>
      <c r="E630" s="60">
        <v>58675</v>
      </c>
      <c r="F630" s="63" t="s">
        <v>81</v>
      </c>
    </row>
    <row r="631" spans="1:6" x14ac:dyDescent="0.45">
      <c r="A631" s="58">
        <v>2021</v>
      </c>
      <c r="B631" s="5" t="s">
        <v>53</v>
      </c>
      <c r="C631" s="5" t="s">
        <v>7</v>
      </c>
      <c r="D631" s="6">
        <v>24868</v>
      </c>
      <c r="E631" s="61">
        <v>58540</v>
      </c>
      <c r="F631" s="63" t="s">
        <v>82</v>
      </c>
    </row>
    <row r="632" spans="1:6" x14ac:dyDescent="0.45">
      <c r="A632" s="57">
        <v>2021</v>
      </c>
      <c r="B632" s="3" t="s">
        <v>53</v>
      </c>
      <c r="C632" s="3" t="s">
        <v>8</v>
      </c>
      <c r="D632" s="4">
        <v>7005</v>
      </c>
      <c r="E632" s="60">
        <v>48440</v>
      </c>
      <c r="F632" s="63" t="s">
        <v>81</v>
      </c>
    </row>
    <row r="633" spans="1:6" x14ac:dyDescent="0.45">
      <c r="A633" s="58">
        <v>2021</v>
      </c>
      <c r="B633" s="5" t="s">
        <v>53</v>
      </c>
      <c r="C633" s="5" t="s">
        <v>9</v>
      </c>
      <c r="D633" s="6">
        <v>140278</v>
      </c>
      <c r="E633" s="61">
        <v>52232</v>
      </c>
      <c r="F633" s="63" t="s">
        <v>82</v>
      </c>
    </row>
    <row r="634" spans="1:6" x14ac:dyDescent="0.45">
      <c r="A634" s="57">
        <v>2021</v>
      </c>
      <c r="B634" s="3" t="s">
        <v>53</v>
      </c>
      <c r="C634" s="3" t="s">
        <v>10</v>
      </c>
      <c r="D634" s="4">
        <v>61774</v>
      </c>
      <c r="E634" s="60">
        <v>55817</v>
      </c>
      <c r="F634" s="63" t="s">
        <v>81</v>
      </c>
    </row>
    <row r="635" spans="1:6" x14ac:dyDescent="0.45">
      <c r="A635" s="58">
        <v>2021</v>
      </c>
      <c r="B635" s="5" t="s">
        <v>53</v>
      </c>
      <c r="C635" s="5" t="s">
        <v>11</v>
      </c>
      <c r="D635" s="6">
        <v>11892</v>
      </c>
      <c r="E635" s="61">
        <v>47533</v>
      </c>
      <c r="F635" s="63" t="s">
        <v>81</v>
      </c>
    </row>
    <row r="636" spans="1:6" x14ac:dyDescent="0.45">
      <c r="A636" s="57">
        <v>2021</v>
      </c>
      <c r="B636" s="3" t="s">
        <v>53</v>
      </c>
      <c r="C636" s="3" t="s">
        <v>12</v>
      </c>
      <c r="D636" s="4">
        <v>78822</v>
      </c>
      <c r="E636" s="60">
        <v>59573</v>
      </c>
      <c r="F636" s="63" t="s">
        <v>82</v>
      </c>
    </row>
    <row r="637" spans="1:6" x14ac:dyDescent="0.45">
      <c r="A637" s="58">
        <v>2021</v>
      </c>
      <c r="B637" s="5" t="s">
        <v>53</v>
      </c>
      <c r="C637" s="5" t="s">
        <v>13</v>
      </c>
      <c r="D637" s="6">
        <v>40283</v>
      </c>
      <c r="E637" s="61">
        <v>49345</v>
      </c>
      <c r="F637" s="63" t="s">
        <v>82</v>
      </c>
    </row>
    <row r="638" spans="1:6" x14ac:dyDescent="0.45">
      <c r="A638" s="57">
        <v>2021</v>
      </c>
      <c r="B638" s="3" t="s">
        <v>53</v>
      </c>
      <c r="C638" s="3" t="s">
        <v>14</v>
      </c>
      <c r="D638" s="4">
        <v>23557</v>
      </c>
      <c r="E638" s="60">
        <v>47407</v>
      </c>
      <c r="F638" s="63" t="s">
        <v>81</v>
      </c>
    </row>
    <row r="639" spans="1:6" x14ac:dyDescent="0.45">
      <c r="A639" s="58">
        <v>2021</v>
      </c>
      <c r="B639" s="5" t="s">
        <v>53</v>
      </c>
      <c r="C639" s="5" t="s">
        <v>15</v>
      </c>
      <c r="D639" s="6">
        <v>19844</v>
      </c>
      <c r="E639" s="61">
        <v>49539</v>
      </c>
      <c r="F639" s="63" t="s">
        <v>81</v>
      </c>
    </row>
    <row r="640" spans="1:6" x14ac:dyDescent="0.45">
      <c r="A640" s="57">
        <v>2021</v>
      </c>
      <c r="B640" s="3" t="s">
        <v>53</v>
      </c>
      <c r="C640" s="3" t="s">
        <v>16</v>
      </c>
      <c r="D640" s="4">
        <v>27892</v>
      </c>
      <c r="E640" s="60">
        <v>50163</v>
      </c>
      <c r="F640" s="63" t="s">
        <v>82</v>
      </c>
    </row>
    <row r="641" spans="1:6" x14ac:dyDescent="0.45">
      <c r="A641" s="58">
        <v>2021</v>
      </c>
      <c r="B641" s="5" t="s">
        <v>53</v>
      </c>
      <c r="C641" s="5" t="s">
        <v>17</v>
      </c>
      <c r="D641" s="6">
        <v>30876</v>
      </c>
      <c r="E641" s="61">
        <v>49579</v>
      </c>
      <c r="F641" s="63" t="s">
        <v>82</v>
      </c>
    </row>
    <row r="642" spans="1:6" x14ac:dyDescent="0.45">
      <c r="A642" s="57">
        <v>2021</v>
      </c>
      <c r="B642" s="3" t="s">
        <v>53</v>
      </c>
      <c r="C642" s="3" t="s">
        <v>18</v>
      </c>
      <c r="D642" s="4">
        <v>10676</v>
      </c>
      <c r="E642" s="60">
        <v>45115</v>
      </c>
      <c r="F642" s="63" t="s">
        <v>82</v>
      </c>
    </row>
    <row r="643" spans="1:6" x14ac:dyDescent="0.45">
      <c r="A643" s="58">
        <v>2021</v>
      </c>
      <c r="B643" s="5" t="s">
        <v>53</v>
      </c>
      <c r="C643" s="5" t="s">
        <v>19</v>
      </c>
      <c r="D643" s="6">
        <v>32640</v>
      </c>
      <c r="E643" s="61">
        <v>53503</v>
      </c>
      <c r="F643" s="63" t="s">
        <v>82</v>
      </c>
    </row>
    <row r="644" spans="1:6" x14ac:dyDescent="0.45">
      <c r="A644" s="57">
        <v>2021</v>
      </c>
      <c r="B644" s="3" t="s">
        <v>53</v>
      </c>
      <c r="C644" s="3" t="s">
        <v>20</v>
      </c>
      <c r="D644" s="4">
        <v>41620</v>
      </c>
      <c r="E644" s="60">
        <v>61423</v>
      </c>
      <c r="F644" s="63" t="s">
        <v>82</v>
      </c>
    </row>
    <row r="645" spans="1:6" x14ac:dyDescent="0.45">
      <c r="A645" s="58">
        <v>2021</v>
      </c>
      <c r="B645" s="5" t="s">
        <v>53</v>
      </c>
      <c r="C645" s="5" t="s">
        <v>21</v>
      </c>
      <c r="D645" s="6">
        <v>55150</v>
      </c>
      <c r="E645" s="61">
        <v>54357</v>
      </c>
      <c r="F645" s="63" t="s">
        <v>81</v>
      </c>
    </row>
    <row r="646" spans="1:6" x14ac:dyDescent="0.45">
      <c r="A646" s="57">
        <v>2021</v>
      </c>
      <c r="B646" s="3" t="s">
        <v>53</v>
      </c>
      <c r="C646" s="3" t="s">
        <v>22</v>
      </c>
      <c r="D646" s="4">
        <v>37323</v>
      </c>
      <c r="E646" s="60">
        <v>56523</v>
      </c>
      <c r="F646" s="63" t="s">
        <v>81</v>
      </c>
    </row>
    <row r="647" spans="1:6" x14ac:dyDescent="0.45">
      <c r="A647" s="58">
        <v>2021</v>
      </c>
      <c r="B647" s="5" t="s">
        <v>53</v>
      </c>
      <c r="C647" s="5" t="s">
        <v>23</v>
      </c>
      <c r="D647" s="6">
        <v>19568</v>
      </c>
      <c r="E647" s="61">
        <v>43621</v>
      </c>
      <c r="F647" s="63" t="s">
        <v>82</v>
      </c>
    </row>
    <row r="648" spans="1:6" x14ac:dyDescent="0.45">
      <c r="A648" s="57">
        <v>2021</v>
      </c>
      <c r="B648" s="3" t="s">
        <v>53</v>
      </c>
      <c r="C648" s="3" t="s">
        <v>24</v>
      </c>
      <c r="D648" s="4">
        <v>39400</v>
      </c>
      <c r="E648" s="60">
        <v>49646</v>
      </c>
      <c r="F648" s="63" t="s">
        <v>81</v>
      </c>
    </row>
    <row r="649" spans="1:6" x14ac:dyDescent="0.45">
      <c r="A649" s="58">
        <v>2021</v>
      </c>
      <c r="B649" s="5" t="s">
        <v>53</v>
      </c>
      <c r="C649" s="5" t="s">
        <v>25</v>
      </c>
      <c r="D649" s="6">
        <v>9112</v>
      </c>
      <c r="E649" s="61">
        <v>46937</v>
      </c>
      <c r="F649" s="63" t="s">
        <v>81</v>
      </c>
    </row>
    <row r="650" spans="1:6" x14ac:dyDescent="0.45">
      <c r="A650" s="57">
        <v>2021</v>
      </c>
      <c r="B650" s="3" t="s">
        <v>53</v>
      </c>
      <c r="C650" s="3" t="s">
        <v>26</v>
      </c>
      <c r="D650" s="4">
        <v>14969</v>
      </c>
      <c r="E650" s="60">
        <v>47557</v>
      </c>
      <c r="F650" s="63" t="s">
        <v>82</v>
      </c>
    </row>
    <row r="651" spans="1:6" x14ac:dyDescent="0.45">
      <c r="A651" s="58">
        <v>2021</v>
      </c>
      <c r="B651" s="5" t="s">
        <v>53</v>
      </c>
      <c r="C651" s="5" t="s">
        <v>27</v>
      </c>
      <c r="D651" s="6">
        <v>15866</v>
      </c>
      <c r="E651" s="61">
        <v>51452</v>
      </c>
      <c r="F651" s="63" t="s">
        <v>82</v>
      </c>
    </row>
    <row r="652" spans="1:6" x14ac:dyDescent="0.45">
      <c r="A652" s="57">
        <v>2021</v>
      </c>
      <c r="B652" s="3" t="s">
        <v>53</v>
      </c>
      <c r="C652" s="3" t="s">
        <v>28</v>
      </c>
      <c r="D652" s="4">
        <v>12448</v>
      </c>
      <c r="E652" s="60">
        <v>55409</v>
      </c>
      <c r="F652" s="63" t="s">
        <v>81</v>
      </c>
    </row>
    <row r="653" spans="1:6" x14ac:dyDescent="0.45">
      <c r="A653" s="58">
        <v>2021</v>
      </c>
      <c r="B653" s="5" t="s">
        <v>53</v>
      </c>
      <c r="C653" s="5" t="s">
        <v>29</v>
      </c>
      <c r="D653" s="6">
        <v>54227</v>
      </c>
      <c r="E653" s="61">
        <v>61204</v>
      </c>
      <c r="F653" s="63" t="s">
        <v>81</v>
      </c>
    </row>
    <row r="654" spans="1:6" x14ac:dyDescent="0.45">
      <c r="A654" s="57">
        <v>2021</v>
      </c>
      <c r="B654" s="3" t="s">
        <v>53</v>
      </c>
      <c r="C654" s="3" t="s">
        <v>30</v>
      </c>
      <c r="D654" s="4">
        <v>10974</v>
      </c>
      <c r="E654" s="60">
        <v>45275</v>
      </c>
      <c r="F654" s="63" t="s">
        <v>82</v>
      </c>
    </row>
    <row r="655" spans="1:6" x14ac:dyDescent="0.45">
      <c r="A655" s="58">
        <v>2021</v>
      </c>
      <c r="B655" s="5" t="s">
        <v>53</v>
      </c>
      <c r="C655" s="5" t="s">
        <v>31</v>
      </c>
      <c r="D655" s="6">
        <v>120950</v>
      </c>
      <c r="E655" s="61">
        <v>59710</v>
      </c>
      <c r="F655" s="63" t="s">
        <v>81</v>
      </c>
    </row>
    <row r="656" spans="1:6" x14ac:dyDescent="0.45">
      <c r="A656" s="57">
        <v>2021</v>
      </c>
      <c r="B656" s="3" t="s">
        <v>53</v>
      </c>
      <c r="C656" s="3" t="s">
        <v>32</v>
      </c>
      <c r="D656" s="4">
        <v>62397</v>
      </c>
      <c r="E656" s="60">
        <v>50579</v>
      </c>
      <c r="F656" s="63" t="s">
        <v>82</v>
      </c>
    </row>
    <row r="657" spans="1:6" x14ac:dyDescent="0.45">
      <c r="A657" s="58">
        <v>2021</v>
      </c>
      <c r="B657" s="5" t="s">
        <v>53</v>
      </c>
      <c r="C657" s="5" t="s">
        <v>33</v>
      </c>
      <c r="D657" s="6">
        <v>7738</v>
      </c>
      <c r="E657" s="61">
        <v>57925</v>
      </c>
      <c r="F657" s="63" t="s">
        <v>81</v>
      </c>
    </row>
    <row r="658" spans="1:6" x14ac:dyDescent="0.45">
      <c r="A658" s="57">
        <v>2021</v>
      </c>
      <c r="B658" s="3" t="s">
        <v>53</v>
      </c>
      <c r="C658" s="3" t="s">
        <v>34</v>
      </c>
      <c r="D658" s="4">
        <v>68958</v>
      </c>
      <c r="E658" s="60">
        <v>51569</v>
      </c>
      <c r="F658" s="63" t="s">
        <v>81</v>
      </c>
    </row>
    <row r="659" spans="1:6" x14ac:dyDescent="0.45">
      <c r="A659" s="58">
        <v>2021</v>
      </c>
      <c r="B659" s="5" t="s">
        <v>53</v>
      </c>
      <c r="C659" s="5" t="s">
        <v>35</v>
      </c>
      <c r="D659" s="6">
        <v>23883</v>
      </c>
      <c r="E659" s="61">
        <v>49049</v>
      </c>
      <c r="F659" s="63" t="s">
        <v>82</v>
      </c>
    </row>
    <row r="660" spans="1:6" x14ac:dyDescent="0.45">
      <c r="A660" s="57">
        <v>2021</v>
      </c>
      <c r="B660" s="3" t="s">
        <v>53</v>
      </c>
      <c r="C660" s="3" t="s">
        <v>36</v>
      </c>
      <c r="D660" s="4">
        <v>26460</v>
      </c>
      <c r="E660" s="60">
        <v>51879</v>
      </c>
      <c r="F660" s="63" t="s">
        <v>82</v>
      </c>
    </row>
    <row r="661" spans="1:6" x14ac:dyDescent="0.45">
      <c r="A661" s="58">
        <v>2021</v>
      </c>
      <c r="B661" s="5" t="s">
        <v>53</v>
      </c>
      <c r="C661" s="5" t="s">
        <v>37</v>
      </c>
      <c r="D661" s="6">
        <v>74684</v>
      </c>
      <c r="E661" s="61">
        <v>52296</v>
      </c>
      <c r="F661" s="63" t="s">
        <v>81</v>
      </c>
    </row>
    <row r="662" spans="1:6" x14ac:dyDescent="0.45">
      <c r="A662" s="57">
        <v>2021</v>
      </c>
      <c r="B662" s="3" t="s">
        <v>53</v>
      </c>
      <c r="C662" s="3" t="s">
        <v>38</v>
      </c>
      <c r="D662" s="4">
        <v>7648</v>
      </c>
      <c r="E662" s="60">
        <v>51232</v>
      </c>
      <c r="F662" s="63" t="s">
        <v>81</v>
      </c>
    </row>
    <row r="663" spans="1:6" x14ac:dyDescent="0.45">
      <c r="A663" s="58">
        <v>2021</v>
      </c>
      <c r="B663" s="5" t="s">
        <v>53</v>
      </c>
      <c r="C663" s="5" t="s">
        <v>39</v>
      </c>
      <c r="D663" s="6">
        <v>31073</v>
      </c>
      <c r="E663" s="61">
        <v>47048</v>
      </c>
      <c r="F663" s="63" t="s">
        <v>82</v>
      </c>
    </row>
    <row r="664" spans="1:6" x14ac:dyDescent="0.45">
      <c r="A664" s="57">
        <v>2021</v>
      </c>
      <c r="B664" s="3" t="s">
        <v>53</v>
      </c>
      <c r="C664" s="3" t="s">
        <v>40</v>
      </c>
      <c r="D664" s="4">
        <v>8027</v>
      </c>
      <c r="E664" s="60">
        <v>46980</v>
      </c>
      <c r="F664" s="63" t="s">
        <v>82</v>
      </c>
    </row>
    <row r="665" spans="1:6" x14ac:dyDescent="0.45">
      <c r="A665" s="58">
        <v>2021</v>
      </c>
      <c r="B665" s="5" t="s">
        <v>53</v>
      </c>
      <c r="C665" s="5" t="s">
        <v>41</v>
      </c>
      <c r="D665" s="6">
        <v>40380</v>
      </c>
      <c r="E665" s="61">
        <v>52991</v>
      </c>
      <c r="F665" s="63" t="s">
        <v>82</v>
      </c>
    </row>
    <row r="666" spans="1:6" x14ac:dyDescent="0.45">
      <c r="A666" s="57">
        <v>2021</v>
      </c>
      <c r="B666" s="3" t="s">
        <v>53</v>
      </c>
      <c r="C666" s="3" t="s">
        <v>42</v>
      </c>
      <c r="D666" s="4">
        <v>150310</v>
      </c>
      <c r="E666" s="60">
        <v>60323</v>
      </c>
      <c r="F666" s="63" t="s">
        <v>82</v>
      </c>
    </row>
    <row r="667" spans="1:6" x14ac:dyDescent="0.45">
      <c r="A667" s="58">
        <v>2021</v>
      </c>
      <c r="B667" s="5" t="s">
        <v>53</v>
      </c>
      <c r="C667" s="5" t="s">
        <v>43</v>
      </c>
      <c r="D667" s="6">
        <v>20066</v>
      </c>
      <c r="E667" s="61">
        <v>51785</v>
      </c>
      <c r="F667" s="63" t="s">
        <v>82</v>
      </c>
    </row>
    <row r="668" spans="1:6" x14ac:dyDescent="0.45">
      <c r="A668" s="57">
        <v>2021</v>
      </c>
      <c r="B668" s="3" t="s">
        <v>53</v>
      </c>
      <c r="C668" s="3" t="s">
        <v>44</v>
      </c>
      <c r="D668" s="4">
        <v>5040</v>
      </c>
      <c r="E668" s="60">
        <v>47456</v>
      </c>
      <c r="F668" s="63" t="s">
        <v>81</v>
      </c>
    </row>
    <row r="669" spans="1:6" x14ac:dyDescent="0.45">
      <c r="A669" s="58">
        <v>2021</v>
      </c>
      <c r="B669" s="5" t="s">
        <v>53</v>
      </c>
      <c r="C669" s="5" t="s">
        <v>45</v>
      </c>
      <c r="D669" s="6">
        <v>42839</v>
      </c>
      <c r="E669" s="61">
        <v>51486</v>
      </c>
      <c r="F669" s="63" t="s">
        <v>81</v>
      </c>
    </row>
    <row r="670" spans="1:6" x14ac:dyDescent="0.45">
      <c r="A670" s="57">
        <v>2021</v>
      </c>
      <c r="B670" s="3" t="s">
        <v>53</v>
      </c>
      <c r="C670" s="3" t="s">
        <v>46</v>
      </c>
      <c r="D670" s="4">
        <v>38692</v>
      </c>
      <c r="E670" s="60">
        <v>73312</v>
      </c>
      <c r="F670" s="63" t="s">
        <v>82</v>
      </c>
    </row>
    <row r="671" spans="1:6" x14ac:dyDescent="0.45">
      <c r="A671" s="58">
        <v>2021</v>
      </c>
      <c r="B671" s="5" t="s">
        <v>53</v>
      </c>
      <c r="C671" s="5" t="s">
        <v>47</v>
      </c>
      <c r="D671" s="6">
        <v>10709</v>
      </c>
      <c r="E671" s="61">
        <v>46148</v>
      </c>
      <c r="F671" s="63" t="s">
        <v>81</v>
      </c>
    </row>
    <row r="672" spans="1:6" x14ac:dyDescent="0.45">
      <c r="A672" s="57">
        <v>2021</v>
      </c>
      <c r="B672" s="3" t="s">
        <v>53</v>
      </c>
      <c r="C672" s="3" t="s">
        <v>48</v>
      </c>
      <c r="D672" s="4">
        <v>36253</v>
      </c>
      <c r="E672" s="60">
        <v>48647</v>
      </c>
      <c r="F672" s="63" t="s">
        <v>81</v>
      </c>
    </row>
    <row r="673" spans="1:6" x14ac:dyDescent="0.45">
      <c r="A673" s="58">
        <v>2021</v>
      </c>
      <c r="B673" s="5" t="s">
        <v>53</v>
      </c>
      <c r="C673" s="5" t="s">
        <v>49</v>
      </c>
      <c r="D673" s="6">
        <v>4819</v>
      </c>
      <c r="E673" s="61">
        <v>50408</v>
      </c>
      <c r="F673" s="63" t="s">
        <v>82</v>
      </c>
    </row>
    <row r="674" spans="1:6" x14ac:dyDescent="0.45">
      <c r="A674" s="57">
        <v>2021</v>
      </c>
      <c r="B674" s="3" t="s">
        <v>54</v>
      </c>
      <c r="C674" s="3" t="s">
        <v>2</v>
      </c>
      <c r="D674" s="4">
        <v>2309</v>
      </c>
      <c r="E674" s="60">
        <v>68845</v>
      </c>
      <c r="F674" s="63" t="s">
        <v>82</v>
      </c>
    </row>
    <row r="675" spans="1:6" x14ac:dyDescent="0.45">
      <c r="A675" s="58">
        <v>2021</v>
      </c>
      <c r="B675" s="5" t="s">
        <v>54</v>
      </c>
      <c r="C675" s="5" t="s">
        <v>3</v>
      </c>
      <c r="D675" s="6">
        <v>3691</v>
      </c>
      <c r="E675" s="61">
        <v>83822</v>
      </c>
      <c r="F675" s="63" t="s">
        <v>81</v>
      </c>
    </row>
    <row r="676" spans="1:6" x14ac:dyDescent="0.45">
      <c r="A676" s="57">
        <v>2021</v>
      </c>
      <c r="B676" s="3" t="s">
        <v>54</v>
      </c>
      <c r="C676" s="3" t="s">
        <v>4</v>
      </c>
      <c r="D676" s="4">
        <v>1303</v>
      </c>
      <c r="E676" s="60">
        <v>63981</v>
      </c>
      <c r="F676" s="63" t="s">
        <v>81</v>
      </c>
    </row>
    <row r="677" spans="1:6" x14ac:dyDescent="0.45">
      <c r="A677" s="58">
        <v>2021</v>
      </c>
      <c r="B677" s="5" t="s">
        <v>54</v>
      </c>
      <c r="C677" s="5" t="s">
        <v>5</v>
      </c>
      <c r="D677" s="6">
        <v>28529</v>
      </c>
      <c r="E677" s="61">
        <v>197278</v>
      </c>
      <c r="F677" s="63" t="s">
        <v>82</v>
      </c>
    </row>
    <row r="678" spans="1:6" x14ac:dyDescent="0.45">
      <c r="A678" s="57">
        <v>2021</v>
      </c>
      <c r="B678" s="3" t="s">
        <v>54</v>
      </c>
      <c r="C678" s="3" t="s">
        <v>6</v>
      </c>
      <c r="D678" s="4">
        <v>4330</v>
      </c>
      <c r="E678" s="60">
        <v>115380</v>
      </c>
      <c r="F678" s="63" t="s">
        <v>81</v>
      </c>
    </row>
    <row r="679" spans="1:6" x14ac:dyDescent="0.45">
      <c r="A679" s="58">
        <v>2021</v>
      </c>
      <c r="B679" s="5" t="s">
        <v>54</v>
      </c>
      <c r="C679" s="5" t="s">
        <v>7</v>
      </c>
      <c r="D679" s="6">
        <v>2551</v>
      </c>
      <c r="E679" s="61">
        <v>126406</v>
      </c>
      <c r="F679" s="63" t="s">
        <v>82</v>
      </c>
    </row>
    <row r="680" spans="1:6" x14ac:dyDescent="0.45">
      <c r="A680" s="57">
        <v>2021</v>
      </c>
      <c r="B680" s="3" t="s">
        <v>54</v>
      </c>
      <c r="C680" s="3" t="s">
        <v>8</v>
      </c>
      <c r="D680" s="3">
        <v>497</v>
      </c>
      <c r="E680" s="60">
        <v>76031</v>
      </c>
      <c r="F680" s="63" t="s">
        <v>81</v>
      </c>
    </row>
    <row r="681" spans="1:6" x14ac:dyDescent="0.45">
      <c r="A681" s="58">
        <v>2021</v>
      </c>
      <c r="B681" s="5" t="s">
        <v>54</v>
      </c>
      <c r="C681" s="5" t="s">
        <v>9</v>
      </c>
      <c r="D681" s="6">
        <v>11744</v>
      </c>
      <c r="E681" s="61">
        <v>92153</v>
      </c>
      <c r="F681" s="63" t="s">
        <v>81</v>
      </c>
    </row>
    <row r="682" spans="1:6" x14ac:dyDescent="0.45">
      <c r="A682" s="57">
        <v>2021</v>
      </c>
      <c r="B682" s="3" t="s">
        <v>54</v>
      </c>
      <c r="C682" s="3" t="s">
        <v>10</v>
      </c>
      <c r="D682" s="4">
        <v>5380</v>
      </c>
      <c r="E682" s="60">
        <v>106462</v>
      </c>
      <c r="F682" s="63" t="s">
        <v>82</v>
      </c>
    </row>
    <row r="683" spans="1:6" x14ac:dyDescent="0.45">
      <c r="A683" s="58">
        <v>2021</v>
      </c>
      <c r="B683" s="5" t="s">
        <v>54</v>
      </c>
      <c r="C683" s="5" t="s">
        <v>11</v>
      </c>
      <c r="D683" s="6">
        <v>1231</v>
      </c>
      <c r="E683" s="61">
        <v>62211</v>
      </c>
      <c r="F683" s="63" t="s">
        <v>82</v>
      </c>
    </row>
    <row r="684" spans="1:6" x14ac:dyDescent="0.45">
      <c r="A684" s="57">
        <v>2021</v>
      </c>
      <c r="B684" s="3" t="s">
        <v>54</v>
      </c>
      <c r="C684" s="3" t="s">
        <v>12</v>
      </c>
      <c r="D684" s="4">
        <v>6998</v>
      </c>
      <c r="E684" s="60">
        <v>102732</v>
      </c>
      <c r="F684" s="63" t="s">
        <v>81</v>
      </c>
    </row>
    <row r="685" spans="1:6" x14ac:dyDescent="0.45">
      <c r="A685" s="58">
        <v>2021</v>
      </c>
      <c r="B685" s="5" t="s">
        <v>54</v>
      </c>
      <c r="C685" s="5" t="s">
        <v>13</v>
      </c>
      <c r="D685" s="6">
        <v>2278</v>
      </c>
      <c r="E685" s="61">
        <v>68444</v>
      </c>
      <c r="F685" s="63" t="s">
        <v>81</v>
      </c>
    </row>
    <row r="686" spans="1:6" x14ac:dyDescent="0.45">
      <c r="A686" s="57">
        <v>2021</v>
      </c>
      <c r="B686" s="3" t="s">
        <v>54</v>
      </c>
      <c r="C686" s="3" t="s">
        <v>14</v>
      </c>
      <c r="D686" s="4">
        <v>1778</v>
      </c>
      <c r="E686" s="60">
        <v>66664</v>
      </c>
      <c r="F686" s="63" t="s">
        <v>82</v>
      </c>
    </row>
    <row r="687" spans="1:6" x14ac:dyDescent="0.45">
      <c r="A687" s="58">
        <v>2021</v>
      </c>
      <c r="B687" s="5" t="s">
        <v>54</v>
      </c>
      <c r="C687" s="5" t="s">
        <v>15</v>
      </c>
      <c r="D687" s="6">
        <v>1386</v>
      </c>
      <c r="E687" s="61">
        <v>72434</v>
      </c>
      <c r="F687" s="63" t="s">
        <v>82</v>
      </c>
    </row>
    <row r="688" spans="1:6" x14ac:dyDescent="0.45">
      <c r="A688" s="57">
        <v>2021</v>
      </c>
      <c r="B688" s="3" t="s">
        <v>54</v>
      </c>
      <c r="C688" s="3" t="s">
        <v>16</v>
      </c>
      <c r="D688" s="4">
        <v>1924</v>
      </c>
      <c r="E688" s="60">
        <v>64590</v>
      </c>
      <c r="F688" s="63" t="s">
        <v>82</v>
      </c>
    </row>
    <row r="689" spans="1:6" x14ac:dyDescent="0.45">
      <c r="A689" s="58">
        <v>2021</v>
      </c>
      <c r="B689" s="5" t="s">
        <v>54</v>
      </c>
      <c r="C689" s="5" t="s">
        <v>17</v>
      </c>
      <c r="D689" s="6">
        <v>1801</v>
      </c>
      <c r="E689" s="61">
        <v>66638</v>
      </c>
      <c r="F689" s="63" t="s">
        <v>82</v>
      </c>
    </row>
    <row r="690" spans="1:6" x14ac:dyDescent="0.45">
      <c r="A690" s="57">
        <v>2021</v>
      </c>
      <c r="B690" s="3" t="s">
        <v>54</v>
      </c>
      <c r="C690" s="3" t="s">
        <v>18</v>
      </c>
      <c r="D690" s="3">
        <v>869</v>
      </c>
      <c r="E690" s="60">
        <v>63442</v>
      </c>
      <c r="F690" s="63" t="s">
        <v>82</v>
      </c>
    </row>
    <row r="691" spans="1:6" x14ac:dyDescent="0.45">
      <c r="A691" s="58">
        <v>2021</v>
      </c>
      <c r="B691" s="5" t="s">
        <v>54</v>
      </c>
      <c r="C691" s="5" t="s">
        <v>19</v>
      </c>
      <c r="D691" s="6">
        <v>2846</v>
      </c>
      <c r="E691" s="61">
        <v>104834</v>
      </c>
      <c r="F691" s="63" t="s">
        <v>81</v>
      </c>
    </row>
    <row r="692" spans="1:6" x14ac:dyDescent="0.45">
      <c r="A692" s="57">
        <v>2021</v>
      </c>
      <c r="B692" s="3" t="s">
        <v>54</v>
      </c>
      <c r="C692" s="3" t="s">
        <v>20</v>
      </c>
      <c r="D692" s="4">
        <v>5717</v>
      </c>
      <c r="E692" s="60">
        <v>134022</v>
      </c>
      <c r="F692" s="63" t="s">
        <v>81</v>
      </c>
    </row>
    <row r="693" spans="1:6" x14ac:dyDescent="0.45">
      <c r="A693" s="58">
        <v>2021</v>
      </c>
      <c r="B693" s="5" t="s">
        <v>54</v>
      </c>
      <c r="C693" s="5" t="s">
        <v>21</v>
      </c>
      <c r="D693" s="6">
        <v>7146</v>
      </c>
      <c r="E693" s="61">
        <v>83504</v>
      </c>
      <c r="F693" s="63" t="s">
        <v>82</v>
      </c>
    </row>
    <row r="694" spans="1:6" x14ac:dyDescent="0.45">
      <c r="A694" s="57">
        <v>2021</v>
      </c>
      <c r="B694" s="3" t="s">
        <v>54</v>
      </c>
      <c r="C694" s="3" t="s">
        <v>22</v>
      </c>
      <c r="D694" s="4">
        <v>4133</v>
      </c>
      <c r="E694" s="60">
        <v>89846</v>
      </c>
      <c r="F694" s="63" t="s">
        <v>81</v>
      </c>
    </row>
    <row r="695" spans="1:6" x14ac:dyDescent="0.45">
      <c r="A695" s="58">
        <v>2021</v>
      </c>
      <c r="B695" s="5" t="s">
        <v>54</v>
      </c>
      <c r="C695" s="5" t="s">
        <v>23</v>
      </c>
      <c r="D695" s="5">
        <v>944</v>
      </c>
      <c r="E695" s="61">
        <v>55438</v>
      </c>
      <c r="F695" s="63" t="s">
        <v>81</v>
      </c>
    </row>
    <row r="696" spans="1:6" x14ac:dyDescent="0.45">
      <c r="A696" s="57">
        <v>2021</v>
      </c>
      <c r="B696" s="3" t="s">
        <v>54</v>
      </c>
      <c r="C696" s="3" t="s">
        <v>24</v>
      </c>
      <c r="D696" s="4">
        <v>3310</v>
      </c>
      <c r="E696" s="60">
        <v>91960</v>
      </c>
      <c r="F696" s="63" t="s">
        <v>82</v>
      </c>
    </row>
    <row r="697" spans="1:6" x14ac:dyDescent="0.45">
      <c r="A697" s="58">
        <v>2021</v>
      </c>
      <c r="B697" s="5" t="s">
        <v>54</v>
      </c>
      <c r="C697" s="5" t="s">
        <v>25</v>
      </c>
      <c r="D697" s="5">
        <v>799</v>
      </c>
      <c r="E697" s="61">
        <v>62592</v>
      </c>
      <c r="F697" s="63" t="s">
        <v>82</v>
      </c>
    </row>
    <row r="698" spans="1:6" x14ac:dyDescent="0.45">
      <c r="A698" s="57">
        <v>2021</v>
      </c>
      <c r="B698" s="3" t="s">
        <v>54</v>
      </c>
      <c r="C698" s="3" t="s">
        <v>26</v>
      </c>
      <c r="D698" s="4">
        <v>1015</v>
      </c>
      <c r="E698" s="60">
        <v>72732</v>
      </c>
      <c r="F698" s="63" t="s">
        <v>81</v>
      </c>
    </row>
    <row r="699" spans="1:6" x14ac:dyDescent="0.45">
      <c r="A699" s="58">
        <v>2021</v>
      </c>
      <c r="B699" s="5" t="s">
        <v>54</v>
      </c>
      <c r="C699" s="5" t="s">
        <v>27</v>
      </c>
      <c r="D699" s="6">
        <v>1664</v>
      </c>
      <c r="E699" s="61">
        <v>79213</v>
      </c>
      <c r="F699" s="63" t="s">
        <v>81</v>
      </c>
    </row>
    <row r="700" spans="1:6" x14ac:dyDescent="0.45">
      <c r="A700" s="57">
        <v>2021</v>
      </c>
      <c r="B700" s="3" t="s">
        <v>54</v>
      </c>
      <c r="C700" s="3" t="s">
        <v>28</v>
      </c>
      <c r="D700" s="4">
        <v>1037</v>
      </c>
      <c r="E700" s="60">
        <v>103212</v>
      </c>
      <c r="F700" s="63" t="s">
        <v>82</v>
      </c>
    </row>
    <row r="701" spans="1:6" x14ac:dyDescent="0.45">
      <c r="A701" s="58">
        <v>2021</v>
      </c>
      <c r="B701" s="5" t="s">
        <v>54</v>
      </c>
      <c r="C701" s="5" t="s">
        <v>29</v>
      </c>
      <c r="D701" s="6">
        <v>3724</v>
      </c>
      <c r="E701" s="61">
        <v>123433</v>
      </c>
      <c r="F701" s="63" t="s">
        <v>81</v>
      </c>
    </row>
    <row r="702" spans="1:6" x14ac:dyDescent="0.45">
      <c r="A702" s="57">
        <v>2021</v>
      </c>
      <c r="B702" s="3" t="s">
        <v>54</v>
      </c>
      <c r="C702" s="3" t="s">
        <v>30</v>
      </c>
      <c r="D702" s="4">
        <v>1074</v>
      </c>
      <c r="E702" s="60">
        <v>63554</v>
      </c>
      <c r="F702" s="63" t="s">
        <v>82</v>
      </c>
    </row>
    <row r="703" spans="1:6" x14ac:dyDescent="0.45">
      <c r="A703" s="58">
        <v>2021</v>
      </c>
      <c r="B703" s="5" t="s">
        <v>54</v>
      </c>
      <c r="C703" s="5" t="s">
        <v>31</v>
      </c>
      <c r="D703" s="6">
        <v>12812</v>
      </c>
      <c r="E703" s="61">
        <v>141959</v>
      </c>
      <c r="F703" s="63" t="s">
        <v>81</v>
      </c>
    </row>
    <row r="704" spans="1:6" x14ac:dyDescent="0.45">
      <c r="A704" s="57">
        <v>2021</v>
      </c>
      <c r="B704" s="3" t="s">
        <v>54</v>
      </c>
      <c r="C704" s="3" t="s">
        <v>32</v>
      </c>
      <c r="D704" s="4">
        <v>5669</v>
      </c>
      <c r="E704" s="60">
        <v>93039</v>
      </c>
      <c r="F704" s="63" t="s">
        <v>81</v>
      </c>
    </row>
    <row r="705" spans="1:6" x14ac:dyDescent="0.45">
      <c r="A705" s="58">
        <v>2021</v>
      </c>
      <c r="B705" s="5" t="s">
        <v>54</v>
      </c>
      <c r="C705" s="5" t="s">
        <v>33</v>
      </c>
      <c r="D705" s="5">
        <v>402</v>
      </c>
      <c r="E705" s="61">
        <v>77543</v>
      </c>
      <c r="F705" s="63" t="s">
        <v>82</v>
      </c>
    </row>
    <row r="706" spans="1:6" x14ac:dyDescent="0.45">
      <c r="A706" s="57">
        <v>2021</v>
      </c>
      <c r="B706" s="3" t="s">
        <v>54</v>
      </c>
      <c r="C706" s="3" t="s">
        <v>34</v>
      </c>
      <c r="D706" s="4">
        <v>4915</v>
      </c>
      <c r="E706" s="60">
        <v>78613</v>
      </c>
      <c r="F706" s="63" t="s">
        <v>82</v>
      </c>
    </row>
    <row r="707" spans="1:6" x14ac:dyDescent="0.45">
      <c r="A707" s="58">
        <v>2021</v>
      </c>
      <c r="B707" s="5" t="s">
        <v>54</v>
      </c>
      <c r="C707" s="5" t="s">
        <v>35</v>
      </c>
      <c r="D707" s="6">
        <v>1550</v>
      </c>
      <c r="E707" s="61">
        <v>66407</v>
      </c>
      <c r="F707" s="63" t="s">
        <v>81</v>
      </c>
    </row>
    <row r="708" spans="1:6" x14ac:dyDescent="0.45">
      <c r="A708" s="57">
        <v>2021</v>
      </c>
      <c r="B708" s="3" t="s">
        <v>54</v>
      </c>
      <c r="C708" s="3" t="s">
        <v>36</v>
      </c>
      <c r="D708" s="4">
        <v>4135</v>
      </c>
      <c r="E708" s="60">
        <v>95633</v>
      </c>
      <c r="F708" s="63" t="s">
        <v>81</v>
      </c>
    </row>
    <row r="709" spans="1:6" x14ac:dyDescent="0.45">
      <c r="A709" s="58">
        <v>2021</v>
      </c>
      <c r="B709" s="5" t="s">
        <v>54</v>
      </c>
      <c r="C709" s="5" t="s">
        <v>37</v>
      </c>
      <c r="D709" s="6">
        <v>5348</v>
      </c>
      <c r="E709" s="61">
        <v>100900</v>
      </c>
      <c r="F709" s="63" t="s">
        <v>82</v>
      </c>
    </row>
    <row r="710" spans="1:6" x14ac:dyDescent="0.45">
      <c r="A710" s="57">
        <v>2021</v>
      </c>
      <c r="B710" s="3" t="s">
        <v>54</v>
      </c>
      <c r="C710" s="3" t="s">
        <v>38</v>
      </c>
      <c r="D710" s="3">
        <v>714</v>
      </c>
      <c r="E710" s="60">
        <v>82409</v>
      </c>
      <c r="F710" s="63" t="s">
        <v>82</v>
      </c>
    </row>
    <row r="711" spans="1:6" x14ac:dyDescent="0.45">
      <c r="A711" s="58">
        <v>2021</v>
      </c>
      <c r="B711" s="5" t="s">
        <v>54</v>
      </c>
      <c r="C711" s="5" t="s">
        <v>39</v>
      </c>
      <c r="D711" s="6">
        <v>2883</v>
      </c>
      <c r="E711" s="61">
        <v>72032</v>
      </c>
      <c r="F711" s="63" t="s">
        <v>82</v>
      </c>
    </row>
    <row r="712" spans="1:6" x14ac:dyDescent="0.45">
      <c r="A712" s="57">
        <v>2021</v>
      </c>
      <c r="B712" s="3" t="s">
        <v>54</v>
      </c>
      <c r="C712" s="3" t="s">
        <v>40</v>
      </c>
      <c r="D712" s="3">
        <v>589</v>
      </c>
      <c r="E712" s="60">
        <v>57535</v>
      </c>
      <c r="F712" s="63" t="s">
        <v>82</v>
      </c>
    </row>
    <row r="713" spans="1:6" x14ac:dyDescent="0.45">
      <c r="A713" s="58">
        <v>2021</v>
      </c>
      <c r="B713" s="5" t="s">
        <v>54</v>
      </c>
      <c r="C713" s="5" t="s">
        <v>41</v>
      </c>
      <c r="D713" s="6">
        <v>3981</v>
      </c>
      <c r="E713" s="61">
        <v>81375</v>
      </c>
      <c r="F713" s="63" t="s">
        <v>82</v>
      </c>
    </row>
    <row r="714" spans="1:6" x14ac:dyDescent="0.45">
      <c r="A714" s="57">
        <v>2021</v>
      </c>
      <c r="B714" s="3" t="s">
        <v>54</v>
      </c>
      <c r="C714" s="3" t="s">
        <v>42</v>
      </c>
      <c r="D714" s="4">
        <v>10627</v>
      </c>
      <c r="E714" s="60">
        <v>96857</v>
      </c>
      <c r="F714" s="63" t="s">
        <v>81</v>
      </c>
    </row>
    <row r="715" spans="1:6" x14ac:dyDescent="0.45">
      <c r="A715" s="58">
        <v>2021</v>
      </c>
      <c r="B715" s="5" t="s">
        <v>54</v>
      </c>
      <c r="C715" s="5" t="s">
        <v>43</v>
      </c>
      <c r="D715" s="6">
        <v>2776</v>
      </c>
      <c r="E715" s="61">
        <v>90735</v>
      </c>
      <c r="F715" s="63" t="s">
        <v>81</v>
      </c>
    </row>
    <row r="716" spans="1:6" x14ac:dyDescent="0.45">
      <c r="A716" s="57">
        <v>2021</v>
      </c>
      <c r="B716" s="3" t="s">
        <v>54</v>
      </c>
      <c r="C716" s="3" t="s">
        <v>44</v>
      </c>
      <c r="D716" s="3">
        <v>527</v>
      </c>
      <c r="E716" s="60">
        <v>68861</v>
      </c>
      <c r="F716" s="63" t="s">
        <v>82</v>
      </c>
    </row>
    <row r="717" spans="1:6" x14ac:dyDescent="0.45">
      <c r="A717" s="58">
        <v>2021</v>
      </c>
      <c r="B717" s="5" t="s">
        <v>54</v>
      </c>
      <c r="C717" s="5" t="s">
        <v>45</v>
      </c>
      <c r="D717" s="6">
        <v>4600</v>
      </c>
      <c r="E717" s="61">
        <v>113966</v>
      </c>
      <c r="F717" s="63" t="s">
        <v>81</v>
      </c>
    </row>
    <row r="718" spans="1:6" x14ac:dyDescent="0.45">
      <c r="A718" s="57">
        <v>2021</v>
      </c>
      <c r="B718" s="3" t="s">
        <v>54</v>
      </c>
      <c r="C718" s="3" t="s">
        <v>46</v>
      </c>
      <c r="D718" s="4">
        <v>5007</v>
      </c>
      <c r="E718" s="60">
        <v>213135</v>
      </c>
      <c r="F718" s="63" t="s">
        <v>81</v>
      </c>
    </row>
    <row r="719" spans="1:6" x14ac:dyDescent="0.45">
      <c r="A719" s="58">
        <v>2021</v>
      </c>
      <c r="B719" s="5" t="s">
        <v>54</v>
      </c>
      <c r="C719" s="5" t="s">
        <v>47</v>
      </c>
      <c r="D719" s="5">
        <v>818</v>
      </c>
      <c r="E719" s="61">
        <v>59281</v>
      </c>
      <c r="F719" s="63" t="s">
        <v>82</v>
      </c>
    </row>
    <row r="720" spans="1:6" x14ac:dyDescent="0.45">
      <c r="A720" s="57">
        <v>2021</v>
      </c>
      <c r="B720" s="3" t="s">
        <v>54</v>
      </c>
      <c r="C720" s="3" t="s">
        <v>48</v>
      </c>
      <c r="D720" s="4">
        <v>2335</v>
      </c>
      <c r="E720" s="60">
        <v>88512</v>
      </c>
      <c r="F720" s="63" t="s">
        <v>82</v>
      </c>
    </row>
    <row r="721" spans="1:6" x14ac:dyDescent="0.45">
      <c r="A721" s="58">
        <v>2021</v>
      </c>
      <c r="B721" s="5" t="s">
        <v>54</v>
      </c>
      <c r="C721" s="5" t="s">
        <v>49</v>
      </c>
      <c r="D721" s="5">
        <v>417</v>
      </c>
      <c r="E721" s="61">
        <v>55035</v>
      </c>
      <c r="F721" s="63" t="s">
        <v>81</v>
      </c>
    </row>
    <row r="722" spans="1:6" x14ac:dyDescent="0.45">
      <c r="A722" s="57">
        <v>2021</v>
      </c>
      <c r="B722" s="3" t="s">
        <v>55</v>
      </c>
      <c r="C722" s="3" t="s">
        <v>2</v>
      </c>
      <c r="D722" s="4">
        <v>13590</v>
      </c>
      <c r="E722" s="60">
        <v>77076</v>
      </c>
      <c r="F722" s="63" t="s">
        <v>81</v>
      </c>
    </row>
    <row r="723" spans="1:6" x14ac:dyDescent="0.45">
      <c r="A723" s="58">
        <v>2021</v>
      </c>
      <c r="B723" s="5" t="s">
        <v>55</v>
      </c>
      <c r="C723" s="5" t="s">
        <v>3</v>
      </c>
      <c r="D723" s="6">
        <v>19357</v>
      </c>
      <c r="E723" s="61">
        <v>80627</v>
      </c>
      <c r="F723" s="63" t="s">
        <v>82</v>
      </c>
    </row>
    <row r="724" spans="1:6" x14ac:dyDescent="0.45">
      <c r="A724" s="57">
        <v>2021</v>
      </c>
      <c r="B724" s="3" t="s">
        <v>55</v>
      </c>
      <c r="C724" s="3" t="s">
        <v>4</v>
      </c>
      <c r="D724" s="4">
        <v>8591</v>
      </c>
      <c r="E724" s="60">
        <v>66198</v>
      </c>
      <c r="F724" s="63" t="s">
        <v>81</v>
      </c>
    </row>
    <row r="725" spans="1:6" x14ac:dyDescent="0.45">
      <c r="A725" s="58">
        <v>2021</v>
      </c>
      <c r="B725" s="5" t="s">
        <v>55</v>
      </c>
      <c r="C725" s="5" t="s">
        <v>5</v>
      </c>
      <c r="D725" s="6">
        <v>109980</v>
      </c>
      <c r="E725" s="61">
        <v>118757</v>
      </c>
      <c r="F725" s="63" t="s">
        <v>82</v>
      </c>
    </row>
    <row r="726" spans="1:6" x14ac:dyDescent="0.45">
      <c r="A726" s="57">
        <v>2021</v>
      </c>
      <c r="B726" s="3" t="s">
        <v>55</v>
      </c>
      <c r="C726" s="3" t="s">
        <v>6</v>
      </c>
      <c r="D726" s="4">
        <v>24028</v>
      </c>
      <c r="E726" s="60">
        <v>94613</v>
      </c>
      <c r="F726" s="63" t="s">
        <v>81</v>
      </c>
    </row>
    <row r="727" spans="1:6" x14ac:dyDescent="0.45">
      <c r="A727" s="58">
        <v>2021</v>
      </c>
      <c r="B727" s="5" t="s">
        <v>55</v>
      </c>
      <c r="C727" s="5" t="s">
        <v>7</v>
      </c>
      <c r="D727" s="6">
        <v>11028</v>
      </c>
      <c r="E727" s="61">
        <v>163629</v>
      </c>
      <c r="F727" s="63" t="s">
        <v>81</v>
      </c>
    </row>
    <row r="728" spans="1:6" x14ac:dyDescent="0.45">
      <c r="A728" s="57">
        <v>2021</v>
      </c>
      <c r="B728" s="3" t="s">
        <v>55</v>
      </c>
      <c r="C728" s="3" t="s">
        <v>8</v>
      </c>
      <c r="D728" s="4">
        <v>2907</v>
      </c>
      <c r="E728" s="60">
        <v>103426</v>
      </c>
      <c r="F728" s="63" t="s">
        <v>82</v>
      </c>
    </row>
    <row r="729" spans="1:6" x14ac:dyDescent="0.45">
      <c r="A729" s="58">
        <v>2021</v>
      </c>
      <c r="B729" s="5" t="s">
        <v>55</v>
      </c>
      <c r="C729" s="5" t="s">
        <v>9</v>
      </c>
      <c r="D729" s="6">
        <v>76648</v>
      </c>
      <c r="E729" s="61">
        <v>83025</v>
      </c>
      <c r="F729" s="63" t="s">
        <v>82</v>
      </c>
    </row>
    <row r="730" spans="1:6" x14ac:dyDescent="0.45">
      <c r="A730" s="57">
        <v>2021</v>
      </c>
      <c r="B730" s="3" t="s">
        <v>55</v>
      </c>
      <c r="C730" s="3" t="s">
        <v>10</v>
      </c>
      <c r="D730" s="4">
        <v>26961</v>
      </c>
      <c r="E730" s="60">
        <v>92701</v>
      </c>
      <c r="F730" s="63" t="s">
        <v>81</v>
      </c>
    </row>
    <row r="731" spans="1:6" x14ac:dyDescent="0.45">
      <c r="A731" s="58">
        <v>2021</v>
      </c>
      <c r="B731" s="5" t="s">
        <v>55</v>
      </c>
      <c r="C731" s="5" t="s">
        <v>11</v>
      </c>
      <c r="D731" s="6">
        <v>5859</v>
      </c>
      <c r="E731" s="61">
        <v>65504</v>
      </c>
      <c r="F731" s="63" t="s">
        <v>81</v>
      </c>
    </row>
    <row r="732" spans="1:6" x14ac:dyDescent="0.45">
      <c r="A732" s="57">
        <v>2021</v>
      </c>
      <c r="B732" s="3" t="s">
        <v>55</v>
      </c>
      <c r="C732" s="3" t="s">
        <v>12</v>
      </c>
      <c r="D732" s="4">
        <v>32792</v>
      </c>
      <c r="E732" s="60">
        <v>119091</v>
      </c>
      <c r="F732" s="63" t="s">
        <v>82</v>
      </c>
    </row>
    <row r="733" spans="1:6" x14ac:dyDescent="0.45">
      <c r="A733" s="58">
        <v>2021</v>
      </c>
      <c r="B733" s="5" t="s">
        <v>55</v>
      </c>
      <c r="C733" s="5" t="s">
        <v>13</v>
      </c>
      <c r="D733" s="6">
        <v>16940</v>
      </c>
      <c r="E733" s="61">
        <v>73469</v>
      </c>
      <c r="F733" s="63" t="s">
        <v>82</v>
      </c>
    </row>
    <row r="734" spans="1:6" x14ac:dyDescent="0.45">
      <c r="A734" s="57">
        <v>2021</v>
      </c>
      <c r="B734" s="3" t="s">
        <v>55</v>
      </c>
      <c r="C734" s="3" t="s">
        <v>14</v>
      </c>
      <c r="D734" s="4">
        <v>10414</v>
      </c>
      <c r="E734" s="60">
        <v>82212</v>
      </c>
      <c r="F734" s="63" t="s">
        <v>82</v>
      </c>
    </row>
    <row r="735" spans="1:6" x14ac:dyDescent="0.45">
      <c r="A735" s="58">
        <v>2021</v>
      </c>
      <c r="B735" s="5" t="s">
        <v>55</v>
      </c>
      <c r="C735" s="5" t="s">
        <v>15</v>
      </c>
      <c r="D735" s="6">
        <v>8744</v>
      </c>
      <c r="E735" s="61">
        <v>74950</v>
      </c>
      <c r="F735" s="63" t="s">
        <v>82</v>
      </c>
    </row>
    <row r="736" spans="1:6" x14ac:dyDescent="0.45">
      <c r="A736" s="57">
        <v>2021</v>
      </c>
      <c r="B736" s="3" t="s">
        <v>55</v>
      </c>
      <c r="C736" s="3" t="s">
        <v>16</v>
      </c>
      <c r="D736" s="4">
        <v>11201</v>
      </c>
      <c r="E736" s="60">
        <v>75885</v>
      </c>
      <c r="F736" s="63" t="s">
        <v>82</v>
      </c>
    </row>
    <row r="737" spans="1:6" x14ac:dyDescent="0.45">
      <c r="A737" s="58">
        <v>2021</v>
      </c>
      <c r="B737" s="5" t="s">
        <v>55</v>
      </c>
      <c r="C737" s="5" t="s">
        <v>17</v>
      </c>
      <c r="D737" s="6">
        <v>13852</v>
      </c>
      <c r="E737" s="61">
        <v>69590</v>
      </c>
      <c r="F737" s="63" t="s">
        <v>81</v>
      </c>
    </row>
    <row r="738" spans="1:6" x14ac:dyDescent="0.45">
      <c r="A738" s="57">
        <v>2021</v>
      </c>
      <c r="B738" s="3" t="s">
        <v>55</v>
      </c>
      <c r="C738" s="3" t="s">
        <v>18</v>
      </c>
      <c r="D738" s="4">
        <v>3854</v>
      </c>
      <c r="E738" s="60">
        <v>76030</v>
      </c>
      <c r="F738" s="63" t="s">
        <v>81</v>
      </c>
    </row>
    <row r="739" spans="1:6" x14ac:dyDescent="0.45">
      <c r="A739" s="58">
        <v>2021</v>
      </c>
      <c r="B739" s="5" t="s">
        <v>55</v>
      </c>
      <c r="C739" s="5" t="s">
        <v>19</v>
      </c>
      <c r="D739" s="6">
        <v>15512</v>
      </c>
      <c r="E739" s="61">
        <v>104024</v>
      </c>
      <c r="F739" s="63" t="s">
        <v>82</v>
      </c>
    </row>
    <row r="740" spans="1:6" x14ac:dyDescent="0.45">
      <c r="A740" s="57">
        <v>2021</v>
      </c>
      <c r="B740" s="3" t="s">
        <v>55</v>
      </c>
      <c r="C740" s="3" t="s">
        <v>20</v>
      </c>
      <c r="D740" s="4">
        <v>17883</v>
      </c>
      <c r="E740" s="60">
        <v>153565</v>
      </c>
      <c r="F740" s="63" t="s">
        <v>81</v>
      </c>
    </row>
    <row r="741" spans="1:6" x14ac:dyDescent="0.45">
      <c r="A741" s="58">
        <v>2021</v>
      </c>
      <c r="B741" s="5" t="s">
        <v>55</v>
      </c>
      <c r="C741" s="5" t="s">
        <v>21</v>
      </c>
      <c r="D741" s="6">
        <v>19641</v>
      </c>
      <c r="E741" s="61">
        <v>79691</v>
      </c>
      <c r="F741" s="63" t="s">
        <v>81</v>
      </c>
    </row>
    <row r="742" spans="1:6" x14ac:dyDescent="0.45">
      <c r="A742" s="57">
        <v>2021</v>
      </c>
      <c r="B742" s="3" t="s">
        <v>55</v>
      </c>
      <c r="C742" s="3" t="s">
        <v>22</v>
      </c>
      <c r="D742" s="4">
        <v>15855</v>
      </c>
      <c r="E742" s="60">
        <v>103673</v>
      </c>
      <c r="F742" s="63" t="s">
        <v>82</v>
      </c>
    </row>
    <row r="743" spans="1:6" x14ac:dyDescent="0.45">
      <c r="A743" s="58">
        <v>2021</v>
      </c>
      <c r="B743" s="5" t="s">
        <v>55</v>
      </c>
      <c r="C743" s="5" t="s">
        <v>23</v>
      </c>
      <c r="D743" s="6">
        <v>7944</v>
      </c>
      <c r="E743" s="61">
        <v>60672</v>
      </c>
      <c r="F743" s="63" t="s">
        <v>82</v>
      </c>
    </row>
    <row r="744" spans="1:6" x14ac:dyDescent="0.45">
      <c r="A744" s="57">
        <v>2021</v>
      </c>
      <c r="B744" s="3" t="s">
        <v>55</v>
      </c>
      <c r="C744" s="3" t="s">
        <v>24</v>
      </c>
      <c r="D744" s="4">
        <v>17951</v>
      </c>
      <c r="E744" s="60">
        <v>81387</v>
      </c>
      <c r="F744" s="63" t="s">
        <v>81</v>
      </c>
    </row>
    <row r="745" spans="1:6" x14ac:dyDescent="0.45">
      <c r="A745" s="58">
        <v>2021</v>
      </c>
      <c r="B745" s="5" t="s">
        <v>55</v>
      </c>
      <c r="C745" s="5" t="s">
        <v>25</v>
      </c>
      <c r="D745" s="6">
        <v>4314</v>
      </c>
      <c r="E745" s="61">
        <v>66907</v>
      </c>
      <c r="F745" s="63" t="s">
        <v>81</v>
      </c>
    </row>
    <row r="746" spans="1:6" x14ac:dyDescent="0.45">
      <c r="A746" s="57">
        <v>2021</v>
      </c>
      <c r="B746" s="3" t="s">
        <v>55</v>
      </c>
      <c r="C746" s="3" t="s">
        <v>26</v>
      </c>
      <c r="D746" s="4">
        <v>6842</v>
      </c>
      <c r="E746" s="60">
        <v>75072</v>
      </c>
      <c r="F746" s="63" t="s">
        <v>82</v>
      </c>
    </row>
    <row r="747" spans="1:6" x14ac:dyDescent="0.45">
      <c r="A747" s="58">
        <v>2021</v>
      </c>
      <c r="B747" s="5" t="s">
        <v>55</v>
      </c>
      <c r="C747" s="5" t="s">
        <v>27</v>
      </c>
      <c r="D747" s="6">
        <v>9324</v>
      </c>
      <c r="E747" s="61">
        <v>76204</v>
      </c>
      <c r="F747" s="63" t="s">
        <v>81</v>
      </c>
    </row>
    <row r="748" spans="1:6" x14ac:dyDescent="0.45">
      <c r="A748" s="57">
        <v>2021</v>
      </c>
      <c r="B748" s="3" t="s">
        <v>55</v>
      </c>
      <c r="C748" s="3" t="s">
        <v>28</v>
      </c>
      <c r="D748" s="4">
        <v>3881</v>
      </c>
      <c r="E748" s="60">
        <v>106104</v>
      </c>
      <c r="F748" s="63" t="s">
        <v>82</v>
      </c>
    </row>
    <row r="749" spans="1:6" x14ac:dyDescent="0.45">
      <c r="A749" s="58">
        <v>2021</v>
      </c>
      <c r="B749" s="5" t="s">
        <v>55</v>
      </c>
      <c r="C749" s="5" t="s">
        <v>29</v>
      </c>
      <c r="D749" s="6">
        <v>20037</v>
      </c>
      <c r="E749" s="61">
        <v>123277</v>
      </c>
      <c r="F749" s="63" t="s">
        <v>81</v>
      </c>
    </row>
    <row r="750" spans="1:6" x14ac:dyDescent="0.45">
      <c r="A750" s="57">
        <v>2021</v>
      </c>
      <c r="B750" s="3" t="s">
        <v>55</v>
      </c>
      <c r="C750" s="3" t="s">
        <v>30</v>
      </c>
      <c r="D750" s="4">
        <v>5460</v>
      </c>
      <c r="E750" s="60">
        <v>63768</v>
      </c>
      <c r="F750" s="63" t="s">
        <v>81</v>
      </c>
    </row>
    <row r="751" spans="1:6" x14ac:dyDescent="0.45">
      <c r="A751" s="58">
        <v>2021</v>
      </c>
      <c r="B751" s="5" t="s">
        <v>55</v>
      </c>
      <c r="C751" s="5" t="s">
        <v>31</v>
      </c>
      <c r="D751" s="6">
        <v>63310</v>
      </c>
      <c r="E751" s="61">
        <v>197494</v>
      </c>
      <c r="F751" s="63" t="s">
        <v>82</v>
      </c>
    </row>
    <row r="752" spans="1:6" x14ac:dyDescent="0.45">
      <c r="A752" s="57">
        <v>2021</v>
      </c>
      <c r="B752" s="3" t="s">
        <v>55</v>
      </c>
      <c r="C752" s="3" t="s">
        <v>32</v>
      </c>
      <c r="D752" s="4">
        <v>28672</v>
      </c>
      <c r="E752" s="60">
        <v>95886</v>
      </c>
      <c r="F752" s="63" t="s">
        <v>82</v>
      </c>
    </row>
    <row r="753" spans="1:6" x14ac:dyDescent="0.45">
      <c r="A753" s="58">
        <v>2021</v>
      </c>
      <c r="B753" s="5" t="s">
        <v>55</v>
      </c>
      <c r="C753" s="5" t="s">
        <v>33</v>
      </c>
      <c r="D753" s="6">
        <v>2985</v>
      </c>
      <c r="E753" s="61">
        <v>71784</v>
      </c>
      <c r="F753" s="63" t="s">
        <v>81</v>
      </c>
    </row>
    <row r="754" spans="1:6" x14ac:dyDescent="0.45">
      <c r="A754" s="57">
        <v>2021</v>
      </c>
      <c r="B754" s="3" t="s">
        <v>55</v>
      </c>
      <c r="C754" s="3" t="s">
        <v>34</v>
      </c>
      <c r="D754" s="4">
        <v>29119</v>
      </c>
      <c r="E754" s="60">
        <v>81683</v>
      </c>
      <c r="F754" s="63" t="s">
        <v>81</v>
      </c>
    </row>
    <row r="755" spans="1:6" x14ac:dyDescent="0.45">
      <c r="A755" s="58">
        <v>2021</v>
      </c>
      <c r="B755" s="5" t="s">
        <v>55</v>
      </c>
      <c r="C755" s="5" t="s">
        <v>35</v>
      </c>
      <c r="D755" s="6">
        <v>11672</v>
      </c>
      <c r="E755" s="61">
        <v>65814</v>
      </c>
      <c r="F755" s="63" t="s">
        <v>82</v>
      </c>
    </row>
    <row r="756" spans="1:6" x14ac:dyDescent="0.45">
      <c r="A756" s="57">
        <v>2021</v>
      </c>
      <c r="B756" s="3" t="s">
        <v>55</v>
      </c>
      <c r="C756" s="3" t="s">
        <v>36</v>
      </c>
      <c r="D756" s="4">
        <v>13190</v>
      </c>
      <c r="E756" s="60">
        <v>79291</v>
      </c>
      <c r="F756" s="63" t="s">
        <v>82</v>
      </c>
    </row>
    <row r="757" spans="1:6" x14ac:dyDescent="0.45">
      <c r="A757" s="58">
        <v>2021</v>
      </c>
      <c r="B757" s="5" t="s">
        <v>55</v>
      </c>
      <c r="C757" s="5" t="s">
        <v>37</v>
      </c>
      <c r="D757" s="6">
        <v>29264</v>
      </c>
      <c r="E757" s="61">
        <v>96778</v>
      </c>
      <c r="F757" s="63" t="s">
        <v>82</v>
      </c>
    </row>
    <row r="758" spans="1:6" x14ac:dyDescent="0.45">
      <c r="A758" s="57">
        <v>2021</v>
      </c>
      <c r="B758" s="3" t="s">
        <v>55</v>
      </c>
      <c r="C758" s="3" t="s">
        <v>38</v>
      </c>
      <c r="D758" s="4">
        <v>2934</v>
      </c>
      <c r="E758" s="60">
        <v>97537</v>
      </c>
      <c r="F758" s="63" t="s">
        <v>82</v>
      </c>
    </row>
    <row r="759" spans="1:6" x14ac:dyDescent="0.45">
      <c r="A759" s="58">
        <v>2021</v>
      </c>
      <c r="B759" s="5" t="s">
        <v>55</v>
      </c>
      <c r="C759" s="5" t="s">
        <v>39</v>
      </c>
      <c r="D759" s="6">
        <v>14196</v>
      </c>
      <c r="E759" s="61">
        <v>70481</v>
      </c>
      <c r="F759" s="63" t="s">
        <v>82</v>
      </c>
    </row>
    <row r="760" spans="1:6" x14ac:dyDescent="0.45">
      <c r="A760" s="57">
        <v>2021</v>
      </c>
      <c r="B760" s="3" t="s">
        <v>55</v>
      </c>
      <c r="C760" s="3" t="s">
        <v>40</v>
      </c>
      <c r="D760" s="4">
        <v>3315</v>
      </c>
      <c r="E760" s="60">
        <v>69499</v>
      </c>
      <c r="F760" s="63" t="s">
        <v>81</v>
      </c>
    </row>
    <row r="761" spans="1:6" x14ac:dyDescent="0.45">
      <c r="A761" s="58">
        <v>2021</v>
      </c>
      <c r="B761" s="5" t="s">
        <v>55</v>
      </c>
      <c r="C761" s="5" t="s">
        <v>41</v>
      </c>
      <c r="D761" s="6">
        <v>16270</v>
      </c>
      <c r="E761" s="61">
        <v>83805</v>
      </c>
      <c r="F761" s="63" t="s">
        <v>81</v>
      </c>
    </row>
    <row r="762" spans="1:6" x14ac:dyDescent="0.45">
      <c r="A762" s="57">
        <v>2021</v>
      </c>
      <c r="B762" s="3" t="s">
        <v>55</v>
      </c>
      <c r="C762" s="3" t="s">
        <v>42</v>
      </c>
      <c r="D762" s="4">
        <v>76169</v>
      </c>
      <c r="E762" s="60">
        <v>92718</v>
      </c>
      <c r="F762" s="63" t="s">
        <v>82</v>
      </c>
    </row>
    <row r="763" spans="1:6" x14ac:dyDescent="0.45">
      <c r="A763" s="58">
        <v>2021</v>
      </c>
      <c r="B763" s="5" t="s">
        <v>55</v>
      </c>
      <c r="C763" s="5" t="s">
        <v>43</v>
      </c>
      <c r="D763" s="6">
        <v>11885</v>
      </c>
      <c r="E763" s="61">
        <v>76967</v>
      </c>
      <c r="F763" s="63" t="s">
        <v>81</v>
      </c>
    </row>
    <row r="764" spans="1:6" x14ac:dyDescent="0.45">
      <c r="A764" s="57">
        <v>2021</v>
      </c>
      <c r="B764" s="3" t="s">
        <v>55</v>
      </c>
      <c r="C764" s="3" t="s">
        <v>44</v>
      </c>
      <c r="D764" s="4">
        <v>1709</v>
      </c>
      <c r="E764" s="60">
        <v>80642</v>
      </c>
      <c r="F764" s="63" t="s">
        <v>81</v>
      </c>
    </row>
    <row r="765" spans="1:6" x14ac:dyDescent="0.45">
      <c r="A765" s="58">
        <v>2021</v>
      </c>
      <c r="B765" s="5" t="s">
        <v>55</v>
      </c>
      <c r="C765" s="5" t="s">
        <v>45</v>
      </c>
      <c r="D765" s="6">
        <v>22249</v>
      </c>
      <c r="E765" s="61">
        <v>94029</v>
      </c>
      <c r="F765" s="63" t="s">
        <v>82</v>
      </c>
    </row>
    <row r="766" spans="1:6" x14ac:dyDescent="0.45">
      <c r="A766" s="57">
        <v>2021</v>
      </c>
      <c r="B766" s="3" t="s">
        <v>55</v>
      </c>
      <c r="C766" s="3" t="s">
        <v>46</v>
      </c>
      <c r="D766" s="4">
        <v>17624</v>
      </c>
      <c r="E766" s="60">
        <v>91242</v>
      </c>
      <c r="F766" s="63" t="s">
        <v>82</v>
      </c>
    </row>
    <row r="767" spans="1:6" x14ac:dyDescent="0.45">
      <c r="A767" s="58">
        <v>2021</v>
      </c>
      <c r="B767" s="5" t="s">
        <v>55</v>
      </c>
      <c r="C767" s="5" t="s">
        <v>47</v>
      </c>
      <c r="D767" s="6">
        <v>4003</v>
      </c>
      <c r="E767" s="61">
        <v>60528</v>
      </c>
      <c r="F767" s="63" t="s">
        <v>81</v>
      </c>
    </row>
    <row r="768" spans="1:6" x14ac:dyDescent="0.45">
      <c r="A768" s="57">
        <v>2021</v>
      </c>
      <c r="B768" s="3" t="s">
        <v>55</v>
      </c>
      <c r="C768" s="3" t="s">
        <v>48</v>
      </c>
      <c r="D768" s="4">
        <v>14066</v>
      </c>
      <c r="E768" s="60">
        <v>80040</v>
      </c>
      <c r="F768" s="63" t="s">
        <v>81</v>
      </c>
    </row>
    <row r="769" spans="1:6" x14ac:dyDescent="0.45">
      <c r="A769" s="58">
        <v>2021</v>
      </c>
      <c r="B769" s="5" t="s">
        <v>55</v>
      </c>
      <c r="C769" s="5" t="s">
        <v>49</v>
      </c>
      <c r="D769" s="6">
        <v>2306</v>
      </c>
      <c r="E769" s="61">
        <v>66849</v>
      </c>
      <c r="F769" s="63" t="s">
        <v>82</v>
      </c>
    </row>
    <row r="770" spans="1:6" x14ac:dyDescent="0.45">
      <c r="A770" s="57">
        <v>2021</v>
      </c>
      <c r="B770" s="3" t="s">
        <v>56</v>
      </c>
      <c r="C770" s="3" t="s">
        <v>2</v>
      </c>
      <c r="D770" s="4">
        <v>22186</v>
      </c>
      <c r="E770" s="60">
        <v>63061</v>
      </c>
      <c r="F770" s="63" t="s">
        <v>81</v>
      </c>
    </row>
    <row r="771" spans="1:6" x14ac:dyDescent="0.45">
      <c r="A771" s="58">
        <v>2021</v>
      </c>
      <c r="B771" s="5" t="s">
        <v>56</v>
      </c>
      <c r="C771" s="5" t="s">
        <v>3</v>
      </c>
      <c r="D771" s="6">
        <v>38940</v>
      </c>
      <c r="E771" s="61">
        <v>64892</v>
      </c>
      <c r="F771" s="63" t="s">
        <v>82</v>
      </c>
    </row>
    <row r="772" spans="1:6" x14ac:dyDescent="0.45">
      <c r="A772" s="57">
        <v>2021</v>
      </c>
      <c r="B772" s="3" t="s">
        <v>56</v>
      </c>
      <c r="C772" s="3" t="s">
        <v>4</v>
      </c>
      <c r="D772" s="4">
        <v>14911</v>
      </c>
      <c r="E772" s="60">
        <v>69354</v>
      </c>
      <c r="F772" s="63" t="s">
        <v>81</v>
      </c>
    </row>
    <row r="773" spans="1:6" x14ac:dyDescent="0.45">
      <c r="A773" s="58">
        <v>2021</v>
      </c>
      <c r="B773" s="5" t="s">
        <v>56</v>
      </c>
      <c r="C773" s="5" t="s">
        <v>5</v>
      </c>
      <c r="D773" s="6">
        <v>215691</v>
      </c>
      <c r="E773" s="61">
        <v>101348</v>
      </c>
      <c r="F773" s="63" t="s">
        <v>81</v>
      </c>
    </row>
    <row r="774" spans="1:6" x14ac:dyDescent="0.45">
      <c r="A774" s="57">
        <v>2021</v>
      </c>
      <c r="B774" s="3" t="s">
        <v>56</v>
      </c>
      <c r="C774" s="3" t="s">
        <v>6</v>
      </c>
      <c r="D774" s="4">
        <v>55003</v>
      </c>
      <c r="E774" s="60">
        <v>92477</v>
      </c>
      <c r="F774" s="63" t="s">
        <v>82</v>
      </c>
    </row>
    <row r="775" spans="1:6" x14ac:dyDescent="0.45">
      <c r="A775" s="58">
        <v>2021</v>
      </c>
      <c r="B775" s="5" t="s">
        <v>56</v>
      </c>
      <c r="C775" s="5" t="s">
        <v>7</v>
      </c>
      <c r="D775" s="6">
        <v>23755</v>
      </c>
      <c r="E775" s="61">
        <v>98139</v>
      </c>
      <c r="F775" s="63" t="s">
        <v>82</v>
      </c>
    </row>
    <row r="776" spans="1:6" x14ac:dyDescent="0.45">
      <c r="A776" s="57">
        <v>2021</v>
      </c>
      <c r="B776" s="3" t="s">
        <v>56</v>
      </c>
      <c r="C776" s="3" t="s">
        <v>8</v>
      </c>
      <c r="D776" s="4">
        <v>9421</v>
      </c>
      <c r="E776" s="60">
        <v>88658</v>
      </c>
      <c r="F776" s="63" t="s">
        <v>81</v>
      </c>
    </row>
    <row r="777" spans="1:6" x14ac:dyDescent="0.45">
      <c r="A777" s="58">
        <v>2021</v>
      </c>
      <c r="B777" s="5" t="s">
        <v>56</v>
      </c>
      <c r="C777" s="5" t="s">
        <v>9</v>
      </c>
      <c r="D777" s="6">
        <v>170397</v>
      </c>
      <c r="E777" s="61">
        <v>69740</v>
      </c>
      <c r="F777" s="63" t="s">
        <v>81</v>
      </c>
    </row>
    <row r="778" spans="1:6" x14ac:dyDescent="0.45">
      <c r="A778" s="57">
        <v>2021</v>
      </c>
      <c r="B778" s="3" t="s">
        <v>56</v>
      </c>
      <c r="C778" s="3" t="s">
        <v>10</v>
      </c>
      <c r="D778" s="4">
        <v>56304</v>
      </c>
      <c r="E778" s="60">
        <v>77861</v>
      </c>
      <c r="F778" s="63" t="s">
        <v>82</v>
      </c>
    </row>
    <row r="779" spans="1:6" x14ac:dyDescent="0.45">
      <c r="A779" s="58">
        <v>2021</v>
      </c>
      <c r="B779" s="5" t="s">
        <v>56</v>
      </c>
      <c r="C779" s="5" t="s">
        <v>11</v>
      </c>
      <c r="D779" s="6">
        <v>11359</v>
      </c>
      <c r="E779" s="61">
        <v>61072</v>
      </c>
      <c r="F779" s="63" t="s">
        <v>82</v>
      </c>
    </row>
    <row r="780" spans="1:6" x14ac:dyDescent="0.45">
      <c r="A780" s="57">
        <v>2021</v>
      </c>
      <c r="B780" s="3" t="s">
        <v>56</v>
      </c>
      <c r="C780" s="3" t="s">
        <v>12</v>
      </c>
      <c r="D780" s="4">
        <v>75870</v>
      </c>
      <c r="E780" s="60">
        <v>84228</v>
      </c>
      <c r="F780" s="63" t="s">
        <v>82</v>
      </c>
    </row>
    <row r="781" spans="1:6" x14ac:dyDescent="0.45">
      <c r="A781" s="58">
        <v>2021</v>
      </c>
      <c r="B781" s="5" t="s">
        <v>56</v>
      </c>
      <c r="C781" s="5" t="s">
        <v>13</v>
      </c>
      <c r="D781" s="6">
        <v>30165</v>
      </c>
      <c r="E781" s="61">
        <v>59817</v>
      </c>
      <c r="F781" s="63" t="s">
        <v>82</v>
      </c>
    </row>
    <row r="782" spans="1:6" x14ac:dyDescent="0.45">
      <c r="A782" s="57">
        <v>2021</v>
      </c>
      <c r="B782" s="3" t="s">
        <v>56</v>
      </c>
      <c r="C782" s="3" t="s">
        <v>14</v>
      </c>
      <c r="D782" s="4">
        <v>16421</v>
      </c>
      <c r="E782" s="60">
        <v>62755</v>
      </c>
      <c r="F782" s="63" t="s">
        <v>82</v>
      </c>
    </row>
    <row r="783" spans="1:6" x14ac:dyDescent="0.45">
      <c r="A783" s="58">
        <v>2021</v>
      </c>
      <c r="B783" s="5" t="s">
        <v>56</v>
      </c>
      <c r="C783" s="5" t="s">
        <v>15</v>
      </c>
      <c r="D783" s="6">
        <v>16598</v>
      </c>
      <c r="E783" s="61">
        <v>70554</v>
      </c>
      <c r="F783" s="63" t="s">
        <v>81</v>
      </c>
    </row>
    <row r="784" spans="1:6" x14ac:dyDescent="0.45">
      <c r="A784" s="57">
        <v>2021</v>
      </c>
      <c r="B784" s="3" t="s">
        <v>56</v>
      </c>
      <c r="C784" s="3" t="s">
        <v>16</v>
      </c>
      <c r="D784" s="4">
        <v>20866</v>
      </c>
      <c r="E784" s="60">
        <v>58511</v>
      </c>
      <c r="F784" s="63" t="s">
        <v>81</v>
      </c>
    </row>
    <row r="785" spans="1:6" x14ac:dyDescent="0.45">
      <c r="A785" s="58">
        <v>2021</v>
      </c>
      <c r="B785" s="5" t="s">
        <v>56</v>
      </c>
      <c r="C785" s="5" t="s">
        <v>17</v>
      </c>
      <c r="D785" s="6">
        <v>25304</v>
      </c>
      <c r="E785" s="61">
        <v>63624</v>
      </c>
      <c r="F785" s="63" t="s">
        <v>82</v>
      </c>
    </row>
    <row r="786" spans="1:6" x14ac:dyDescent="0.45">
      <c r="A786" s="57">
        <v>2021</v>
      </c>
      <c r="B786" s="3" t="s">
        <v>56</v>
      </c>
      <c r="C786" s="3" t="s">
        <v>18</v>
      </c>
      <c r="D786" s="4">
        <v>10504</v>
      </c>
      <c r="E786" s="60">
        <v>66893</v>
      </c>
      <c r="F786" s="63" t="s">
        <v>81</v>
      </c>
    </row>
    <row r="787" spans="1:6" x14ac:dyDescent="0.45">
      <c r="A787" s="58">
        <v>2021</v>
      </c>
      <c r="B787" s="5" t="s">
        <v>56</v>
      </c>
      <c r="C787" s="5" t="s">
        <v>19</v>
      </c>
      <c r="D787" s="6">
        <v>44172</v>
      </c>
      <c r="E787" s="61">
        <v>88573</v>
      </c>
      <c r="F787" s="63" t="s">
        <v>81</v>
      </c>
    </row>
    <row r="788" spans="1:6" x14ac:dyDescent="0.45">
      <c r="A788" s="57">
        <v>2021</v>
      </c>
      <c r="B788" s="3" t="s">
        <v>56</v>
      </c>
      <c r="C788" s="3" t="s">
        <v>20</v>
      </c>
      <c r="D788" s="4">
        <v>47892</v>
      </c>
      <c r="E788" s="60">
        <v>119872</v>
      </c>
      <c r="F788" s="63" t="s">
        <v>82</v>
      </c>
    </row>
    <row r="789" spans="1:6" x14ac:dyDescent="0.45">
      <c r="A789" s="58">
        <v>2021</v>
      </c>
      <c r="B789" s="5" t="s">
        <v>56</v>
      </c>
      <c r="C789" s="5" t="s">
        <v>21</v>
      </c>
      <c r="D789" s="6">
        <v>44483</v>
      </c>
      <c r="E789" s="61">
        <v>76805</v>
      </c>
      <c r="F789" s="63" t="s">
        <v>82</v>
      </c>
    </row>
    <row r="790" spans="1:6" x14ac:dyDescent="0.45">
      <c r="A790" s="57">
        <v>2021</v>
      </c>
      <c r="B790" s="3" t="s">
        <v>56</v>
      </c>
      <c r="C790" s="3" t="s">
        <v>22</v>
      </c>
      <c r="D790" s="4">
        <v>32903</v>
      </c>
      <c r="E790" s="60">
        <v>91736</v>
      </c>
      <c r="F790" s="63" t="s">
        <v>81</v>
      </c>
    </row>
    <row r="791" spans="1:6" x14ac:dyDescent="0.45">
      <c r="A791" s="58">
        <v>2021</v>
      </c>
      <c r="B791" s="5" t="s">
        <v>56</v>
      </c>
      <c r="C791" s="5" t="s">
        <v>23</v>
      </c>
      <c r="D791" s="6">
        <v>12421</v>
      </c>
      <c r="E791" s="61">
        <v>49023</v>
      </c>
      <c r="F791" s="63" t="s">
        <v>81</v>
      </c>
    </row>
    <row r="792" spans="1:6" x14ac:dyDescent="0.45">
      <c r="A792" s="57">
        <v>2021</v>
      </c>
      <c r="B792" s="3" t="s">
        <v>56</v>
      </c>
      <c r="C792" s="3" t="s">
        <v>24</v>
      </c>
      <c r="D792" s="4">
        <v>34349</v>
      </c>
      <c r="E792" s="60">
        <v>74700</v>
      </c>
      <c r="F792" s="63" t="s">
        <v>82</v>
      </c>
    </row>
    <row r="793" spans="1:6" x14ac:dyDescent="0.45">
      <c r="A793" s="58">
        <v>2021</v>
      </c>
      <c r="B793" s="5" t="s">
        <v>56</v>
      </c>
      <c r="C793" s="5" t="s">
        <v>25</v>
      </c>
      <c r="D793" s="6">
        <v>9482</v>
      </c>
      <c r="E793" s="61">
        <v>60553</v>
      </c>
      <c r="F793" s="63" t="s">
        <v>81</v>
      </c>
    </row>
    <row r="794" spans="1:6" x14ac:dyDescent="0.45">
      <c r="A794" s="57">
        <v>2021</v>
      </c>
      <c r="B794" s="3" t="s">
        <v>56</v>
      </c>
      <c r="C794" s="3" t="s">
        <v>26</v>
      </c>
      <c r="D794" s="4">
        <v>11737</v>
      </c>
      <c r="E794" s="60">
        <v>66603</v>
      </c>
      <c r="F794" s="63" t="s">
        <v>82</v>
      </c>
    </row>
    <row r="795" spans="1:6" x14ac:dyDescent="0.45">
      <c r="A795" s="58">
        <v>2021</v>
      </c>
      <c r="B795" s="5" t="s">
        <v>56</v>
      </c>
      <c r="C795" s="5" t="s">
        <v>27</v>
      </c>
      <c r="D795" s="6">
        <v>20106</v>
      </c>
      <c r="E795" s="61">
        <v>68008</v>
      </c>
      <c r="F795" s="63" t="s">
        <v>81</v>
      </c>
    </row>
    <row r="796" spans="1:6" x14ac:dyDescent="0.45">
      <c r="A796" s="57">
        <v>2021</v>
      </c>
      <c r="B796" s="3" t="s">
        <v>56</v>
      </c>
      <c r="C796" s="3" t="s">
        <v>28</v>
      </c>
      <c r="D796" s="4">
        <v>12808</v>
      </c>
      <c r="E796" s="60">
        <v>86647</v>
      </c>
      <c r="F796" s="63" t="s">
        <v>81</v>
      </c>
    </row>
    <row r="797" spans="1:6" x14ac:dyDescent="0.45">
      <c r="A797" s="58">
        <v>2021</v>
      </c>
      <c r="B797" s="5" t="s">
        <v>56</v>
      </c>
      <c r="C797" s="5" t="s">
        <v>29</v>
      </c>
      <c r="D797" s="6">
        <v>52040</v>
      </c>
      <c r="E797" s="61">
        <v>100022</v>
      </c>
      <c r="F797" s="63" t="s">
        <v>82</v>
      </c>
    </row>
    <row r="798" spans="1:6" x14ac:dyDescent="0.45">
      <c r="A798" s="57">
        <v>2021</v>
      </c>
      <c r="B798" s="3" t="s">
        <v>56</v>
      </c>
      <c r="C798" s="3" t="s">
        <v>30</v>
      </c>
      <c r="D798" s="4">
        <v>11347</v>
      </c>
      <c r="E798" s="60">
        <v>70156</v>
      </c>
      <c r="F798" s="63" t="s">
        <v>82</v>
      </c>
    </row>
    <row r="799" spans="1:6" x14ac:dyDescent="0.45">
      <c r="A799" s="58">
        <v>2021</v>
      </c>
      <c r="B799" s="5" t="s">
        <v>56</v>
      </c>
      <c r="C799" s="5" t="s">
        <v>31</v>
      </c>
      <c r="D799" s="6">
        <v>112890</v>
      </c>
      <c r="E799" s="61">
        <v>105615</v>
      </c>
      <c r="F799" s="63" t="s">
        <v>81</v>
      </c>
    </row>
    <row r="800" spans="1:6" x14ac:dyDescent="0.45">
      <c r="A800" s="57">
        <v>2021</v>
      </c>
      <c r="B800" s="3" t="s">
        <v>56</v>
      </c>
      <c r="C800" s="3" t="s">
        <v>32</v>
      </c>
      <c r="D800" s="4">
        <v>61321</v>
      </c>
      <c r="E800" s="60">
        <v>73705</v>
      </c>
      <c r="F800" s="63" t="s">
        <v>81</v>
      </c>
    </row>
    <row r="801" spans="1:6" x14ac:dyDescent="0.45">
      <c r="A801" s="58">
        <v>2021</v>
      </c>
      <c r="B801" s="5" t="s">
        <v>56</v>
      </c>
      <c r="C801" s="5" t="s">
        <v>33</v>
      </c>
      <c r="D801" s="6">
        <v>5198</v>
      </c>
      <c r="E801" s="61">
        <v>69897</v>
      </c>
      <c r="F801" s="63" t="s">
        <v>82</v>
      </c>
    </row>
    <row r="802" spans="1:6" x14ac:dyDescent="0.45">
      <c r="A802" s="57">
        <v>2021</v>
      </c>
      <c r="B802" s="3" t="s">
        <v>56</v>
      </c>
      <c r="C802" s="3" t="s">
        <v>34</v>
      </c>
      <c r="D802" s="4">
        <v>54330</v>
      </c>
      <c r="E802" s="60">
        <v>72752</v>
      </c>
      <c r="F802" s="63" t="s">
        <v>82</v>
      </c>
    </row>
    <row r="803" spans="1:6" x14ac:dyDescent="0.45">
      <c r="A803" s="58">
        <v>2021</v>
      </c>
      <c r="B803" s="5" t="s">
        <v>56</v>
      </c>
      <c r="C803" s="5" t="s">
        <v>35</v>
      </c>
      <c r="D803" s="6">
        <v>21148</v>
      </c>
      <c r="E803" s="61">
        <v>60841</v>
      </c>
      <c r="F803" s="63" t="s">
        <v>82</v>
      </c>
    </row>
    <row r="804" spans="1:6" x14ac:dyDescent="0.45">
      <c r="A804" s="57">
        <v>2021</v>
      </c>
      <c r="B804" s="3" t="s">
        <v>56</v>
      </c>
      <c r="C804" s="3" t="s">
        <v>36</v>
      </c>
      <c r="D804" s="4">
        <v>26161</v>
      </c>
      <c r="E804" s="60">
        <v>79460</v>
      </c>
      <c r="F804" s="63" t="s">
        <v>82</v>
      </c>
    </row>
    <row r="805" spans="1:6" x14ac:dyDescent="0.45">
      <c r="A805" s="58">
        <v>2021</v>
      </c>
      <c r="B805" s="5" t="s">
        <v>56</v>
      </c>
      <c r="C805" s="5" t="s">
        <v>37</v>
      </c>
      <c r="D805" s="6">
        <v>64541</v>
      </c>
      <c r="E805" s="61">
        <v>87681</v>
      </c>
      <c r="F805" s="63" t="s">
        <v>82</v>
      </c>
    </row>
    <row r="806" spans="1:6" x14ac:dyDescent="0.45">
      <c r="A806" s="57">
        <v>2021</v>
      </c>
      <c r="B806" s="3" t="s">
        <v>56</v>
      </c>
      <c r="C806" s="3" t="s">
        <v>38</v>
      </c>
      <c r="D806" s="4">
        <v>9043</v>
      </c>
      <c r="E806" s="60">
        <v>74454</v>
      </c>
      <c r="F806" s="63" t="s">
        <v>81</v>
      </c>
    </row>
    <row r="807" spans="1:6" x14ac:dyDescent="0.45">
      <c r="A807" s="58">
        <v>2021</v>
      </c>
      <c r="B807" s="5" t="s">
        <v>56</v>
      </c>
      <c r="C807" s="5" t="s">
        <v>39</v>
      </c>
      <c r="D807" s="6">
        <v>29329</v>
      </c>
      <c r="E807" s="61">
        <v>58492</v>
      </c>
      <c r="F807" s="63" t="s">
        <v>81</v>
      </c>
    </row>
    <row r="808" spans="1:6" x14ac:dyDescent="0.45">
      <c r="A808" s="57">
        <v>2021</v>
      </c>
      <c r="B808" s="3" t="s">
        <v>56</v>
      </c>
      <c r="C808" s="3" t="s">
        <v>40</v>
      </c>
      <c r="D808" s="4">
        <v>5498</v>
      </c>
      <c r="E808" s="60">
        <v>64619</v>
      </c>
      <c r="F808" s="63" t="s">
        <v>82</v>
      </c>
    </row>
    <row r="809" spans="1:6" x14ac:dyDescent="0.45">
      <c r="A809" s="58">
        <v>2021</v>
      </c>
      <c r="B809" s="5" t="s">
        <v>56</v>
      </c>
      <c r="C809" s="5" t="s">
        <v>41</v>
      </c>
      <c r="D809" s="6">
        <v>30774</v>
      </c>
      <c r="E809" s="61">
        <v>68990</v>
      </c>
      <c r="F809" s="63" t="s">
        <v>81</v>
      </c>
    </row>
    <row r="810" spans="1:6" x14ac:dyDescent="0.45">
      <c r="A810" s="57">
        <v>2022</v>
      </c>
      <c r="B810" s="3" t="s">
        <v>56</v>
      </c>
      <c r="C810" s="3" t="s">
        <v>42</v>
      </c>
      <c r="D810" s="4">
        <v>139953</v>
      </c>
      <c r="E810" s="60">
        <v>83197</v>
      </c>
      <c r="F810" s="63" t="s">
        <v>81</v>
      </c>
    </row>
    <row r="811" spans="1:6" x14ac:dyDescent="0.45">
      <c r="A811" s="57">
        <v>2022</v>
      </c>
      <c r="B811" s="5" t="s">
        <v>56</v>
      </c>
      <c r="C811" s="5" t="s">
        <v>43</v>
      </c>
      <c r="D811" s="6">
        <v>24485</v>
      </c>
      <c r="E811" s="61">
        <v>70641</v>
      </c>
      <c r="F811" s="63" t="s">
        <v>82</v>
      </c>
    </row>
    <row r="812" spans="1:6" x14ac:dyDescent="0.45">
      <c r="A812" s="57">
        <v>2022</v>
      </c>
      <c r="B812" s="3" t="s">
        <v>56</v>
      </c>
      <c r="C812" s="3" t="s">
        <v>44</v>
      </c>
      <c r="D812" s="4">
        <v>5970</v>
      </c>
      <c r="E812" s="60">
        <v>74986</v>
      </c>
      <c r="F812" s="63" t="s">
        <v>82</v>
      </c>
    </row>
    <row r="813" spans="1:6" x14ac:dyDescent="0.45">
      <c r="A813" s="57">
        <v>2022</v>
      </c>
      <c r="B813" s="5" t="s">
        <v>56</v>
      </c>
      <c r="C813" s="5" t="s">
        <v>45</v>
      </c>
      <c r="D813" s="6">
        <v>59342</v>
      </c>
      <c r="E813" s="61">
        <v>96327</v>
      </c>
      <c r="F813" s="63" t="s">
        <v>81</v>
      </c>
    </row>
    <row r="814" spans="1:6" x14ac:dyDescent="0.45">
      <c r="A814" s="57">
        <v>2022</v>
      </c>
      <c r="B814" s="3" t="s">
        <v>56</v>
      </c>
      <c r="C814" s="3" t="s">
        <v>46</v>
      </c>
      <c r="D814" s="4">
        <v>41249</v>
      </c>
      <c r="E814" s="60">
        <v>91460</v>
      </c>
      <c r="F814" s="63" t="s">
        <v>81</v>
      </c>
    </row>
    <row r="815" spans="1:6" x14ac:dyDescent="0.45">
      <c r="A815" s="57">
        <v>2022</v>
      </c>
      <c r="B815" s="5" t="s">
        <v>56</v>
      </c>
      <c r="C815" s="5" t="s">
        <v>47</v>
      </c>
      <c r="D815" s="6">
        <v>8381</v>
      </c>
      <c r="E815" s="61">
        <v>58180</v>
      </c>
      <c r="F815" s="63" t="s">
        <v>82</v>
      </c>
    </row>
    <row r="816" spans="1:6" x14ac:dyDescent="0.45">
      <c r="A816" s="57">
        <v>2022</v>
      </c>
      <c r="B816" s="3" t="s">
        <v>56</v>
      </c>
      <c r="C816" s="3" t="s">
        <v>48</v>
      </c>
      <c r="D816" s="4">
        <v>26927</v>
      </c>
      <c r="E816" s="60">
        <v>69192</v>
      </c>
      <c r="F816" s="63" t="s">
        <v>81</v>
      </c>
    </row>
    <row r="817" spans="1:6" x14ac:dyDescent="0.45">
      <c r="A817" s="57">
        <v>2022</v>
      </c>
      <c r="B817" s="5" t="s">
        <v>56</v>
      </c>
      <c r="C817" s="5" t="s">
        <v>49</v>
      </c>
      <c r="D817" s="6">
        <v>4728</v>
      </c>
      <c r="E817" s="61">
        <v>62253</v>
      </c>
      <c r="F817" s="63" t="s">
        <v>82</v>
      </c>
    </row>
    <row r="818" spans="1:6" x14ac:dyDescent="0.45">
      <c r="A818" s="57">
        <v>2022</v>
      </c>
      <c r="B818" s="3" t="s">
        <v>57</v>
      </c>
      <c r="C818" s="3" t="s">
        <v>2</v>
      </c>
      <c r="D818" s="4">
        <v>13692</v>
      </c>
      <c r="E818" s="60">
        <v>53785</v>
      </c>
      <c r="F818" s="63" t="s">
        <v>81</v>
      </c>
    </row>
    <row r="819" spans="1:6" x14ac:dyDescent="0.45">
      <c r="A819" s="57">
        <v>2022</v>
      </c>
      <c r="B819" s="5" t="s">
        <v>57</v>
      </c>
      <c r="C819" s="5" t="s">
        <v>3</v>
      </c>
      <c r="D819" s="6">
        <v>19924</v>
      </c>
      <c r="E819" s="61">
        <v>58632</v>
      </c>
      <c r="F819" s="63" t="s">
        <v>81</v>
      </c>
    </row>
    <row r="820" spans="1:6" x14ac:dyDescent="0.45">
      <c r="A820" s="57">
        <v>2022</v>
      </c>
      <c r="B820" s="3" t="s">
        <v>57</v>
      </c>
      <c r="C820" s="3" t="s">
        <v>4</v>
      </c>
      <c r="D820" s="4">
        <v>15780</v>
      </c>
      <c r="E820" s="60">
        <v>49983</v>
      </c>
      <c r="F820" s="63" t="s">
        <v>82</v>
      </c>
    </row>
    <row r="821" spans="1:6" x14ac:dyDescent="0.45">
      <c r="A821" s="57">
        <v>2022</v>
      </c>
      <c r="B821" s="5" t="s">
        <v>57</v>
      </c>
      <c r="C821" s="5" t="s">
        <v>5</v>
      </c>
      <c r="D821" s="6">
        <v>639529</v>
      </c>
      <c r="E821" s="61">
        <v>59909</v>
      </c>
      <c r="F821" s="63" t="s">
        <v>82</v>
      </c>
    </row>
    <row r="822" spans="1:6" x14ac:dyDescent="0.45">
      <c r="A822" s="57">
        <v>2022</v>
      </c>
      <c r="B822" s="3" t="s">
        <v>57</v>
      </c>
      <c r="C822" s="3" t="s">
        <v>6</v>
      </c>
      <c r="D822" s="4">
        <v>21747</v>
      </c>
      <c r="E822" s="60">
        <v>57600</v>
      </c>
      <c r="F822" s="63" t="s">
        <v>81</v>
      </c>
    </row>
    <row r="823" spans="1:6" x14ac:dyDescent="0.45">
      <c r="A823" s="57">
        <v>2022</v>
      </c>
      <c r="B823" s="5" t="s">
        <v>57</v>
      </c>
      <c r="C823" s="5" t="s">
        <v>7</v>
      </c>
      <c r="D823" s="6">
        <v>13478</v>
      </c>
      <c r="E823" s="61">
        <v>63419</v>
      </c>
      <c r="F823" s="63" t="s">
        <v>81</v>
      </c>
    </row>
    <row r="824" spans="1:6" x14ac:dyDescent="0.45">
      <c r="A824" s="57">
        <v>2022</v>
      </c>
      <c r="B824" s="3" t="s">
        <v>57</v>
      </c>
      <c r="C824" s="3" t="s">
        <v>8</v>
      </c>
      <c r="D824" s="4">
        <v>5386</v>
      </c>
      <c r="E824" s="60">
        <v>61284</v>
      </c>
      <c r="F824" s="63" t="s">
        <v>82</v>
      </c>
    </row>
    <row r="825" spans="1:6" x14ac:dyDescent="0.45">
      <c r="A825" s="57">
        <v>2022</v>
      </c>
      <c r="B825" s="5" t="s">
        <v>57</v>
      </c>
      <c r="C825" s="5" t="s">
        <v>9</v>
      </c>
      <c r="D825" s="6">
        <v>76615</v>
      </c>
      <c r="E825" s="61">
        <v>58039</v>
      </c>
      <c r="F825" s="63" t="s">
        <v>82</v>
      </c>
    </row>
    <row r="826" spans="1:6" x14ac:dyDescent="0.45">
      <c r="A826" s="57">
        <v>2022</v>
      </c>
      <c r="B826" s="3" t="s">
        <v>57</v>
      </c>
      <c r="C826" s="3" t="s">
        <v>10</v>
      </c>
      <c r="D826" s="4">
        <v>29998</v>
      </c>
      <c r="E826" s="60">
        <v>59810</v>
      </c>
      <c r="F826" s="63" t="s">
        <v>82</v>
      </c>
    </row>
    <row r="827" spans="1:6" x14ac:dyDescent="0.45">
      <c r="A827" s="57">
        <v>2022</v>
      </c>
      <c r="B827" s="5" t="s">
        <v>57</v>
      </c>
      <c r="C827" s="5" t="s">
        <v>11</v>
      </c>
      <c r="D827" s="6">
        <v>8163</v>
      </c>
      <c r="E827" s="61">
        <v>49475</v>
      </c>
      <c r="F827" s="63" t="s">
        <v>82</v>
      </c>
    </row>
    <row r="828" spans="1:6" x14ac:dyDescent="0.45">
      <c r="A828" s="57">
        <v>2022</v>
      </c>
      <c r="B828" s="3" t="s">
        <v>57</v>
      </c>
      <c r="C828" s="3" t="s">
        <v>12</v>
      </c>
      <c r="D828" s="4">
        <v>35102</v>
      </c>
      <c r="E828" s="60">
        <v>58038</v>
      </c>
      <c r="F828" s="63" t="s">
        <v>82</v>
      </c>
    </row>
    <row r="829" spans="1:6" x14ac:dyDescent="0.45">
      <c r="A829" s="57">
        <v>2022</v>
      </c>
      <c r="B829" s="5" t="s">
        <v>57</v>
      </c>
      <c r="C829" s="5" t="s">
        <v>13</v>
      </c>
      <c r="D829" s="6">
        <v>16247</v>
      </c>
      <c r="E829" s="61">
        <v>55107</v>
      </c>
      <c r="F829" s="63" t="s">
        <v>81</v>
      </c>
    </row>
    <row r="830" spans="1:6" x14ac:dyDescent="0.45">
      <c r="A830" s="57">
        <v>2022</v>
      </c>
      <c r="B830" s="3" t="s">
        <v>57</v>
      </c>
      <c r="C830" s="3" t="s">
        <v>14</v>
      </c>
      <c r="D830" s="4">
        <v>11966</v>
      </c>
      <c r="E830" s="60">
        <v>50392</v>
      </c>
      <c r="F830" s="63" t="s">
        <v>81</v>
      </c>
    </row>
    <row r="831" spans="1:6" x14ac:dyDescent="0.45">
      <c r="A831" s="57">
        <v>2022</v>
      </c>
      <c r="B831" s="5" t="s">
        <v>57</v>
      </c>
      <c r="C831" s="5" t="s">
        <v>15</v>
      </c>
      <c r="D831" s="6">
        <v>10085</v>
      </c>
      <c r="E831" s="61">
        <v>49909</v>
      </c>
      <c r="F831" s="63" t="s">
        <v>82</v>
      </c>
    </row>
    <row r="832" spans="1:6" x14ac:dyDescent="0.45">
      <c r="A832" s="57">
        <v>2022</v>
      </c>
      <c r="B832" s="3" t="s">
        <v>57</v>
      </c>
      <c r="C832" s="3" t="s">
        <v>16</v>
      </c>
      <c r="D832" s="4">
        <v>18442</v>
      </c>
      <c r="E832" s="60">
        <v>55141</v>
      </c>
      <c r="F832" s="63" t="s">
        <v>81</v>
      </c>
    </row>
    <row r="833" spans="1:6" x14ac:dyDescent="0.45">
      <c r="A833" s="57">
        <v>2022</v>
      </c>
      <c r="B833" s="5" t="s">
        <v>57</v>
      </c>
      <c r="C833" s="5" t="s">
        <v>17</v>
      </c>
      <c r="D833" s="6">
        <v>16110</v>
      </c>
      <c r="E833" s="61">
        <v>50832</v>
      </c>
      <c r="F833" s="63" t="s">
        <v>81</v>
      </c>
    </row>
    <row r="834" spans="1:6" x14ac:dyDescent="0.45">
      <c r="A834" s="57">
        <v>2022</v>
      </c>
      <c r="B834" s="3" t="s">
        <v>57</v>
      </c>
      <c r="C834" s="3" t="s">
        <v>18</v>
      </c>
      <c r="D834" s="4">
        <v>5474</v>
      </c>
      <c r="E834" s="60">
        <v>55342</v>
      </c>
      <c r="F834" s="63" t="s">
        <v>82</v>
      </c>
    </row>
    <row r="835" spans="1:6" x14ac:dyDescent="0.45">
      <c r="A835" s="57">
        <v>2022</v>
      </c>
      <c r="B835" s="5" t="s">
        <v>57</v>
      </c>
      <c r="C835" s="5" t="s">
        <v>19</v>
      </c>
      <c r="D835" s="6">
        <v>21419</v>
      </c>
      <c r="E835" s="61">
        <v>61476</v>
      </c>
      <c r="F835" s="63" t="s">
        <v>82</v>
      </c>
    </row>
    <row r="836" spans="1:6" x14ac:dyDescent="0.45">
      <c r="A836" s="57">
        <v>2022</v>
      </c>
      <c r="B836" s="3" t="s">
        <v>57</v>
      </c>
      <c r="C836" s="3" t="s">
        <v>20</v>
      </c>
      <c r="D836" s="4">
        <v>68761</v>
      </c>
      <c r="E836" s="60">
        <v>65886</v>
      </c>
      <c r="F836" s="63" t="s">
        <v>81</v>
      </c>
    </row>
    <row r="837" spans="1:6" x14ac:dyDescent="0.45">
      <c r="A837" s="57">
        <v>2022</v>
      </c>
      <c r="B837" s="5" t="s">
        <v>57</v>
      </c>
      <c r="C837" s="5" t="s">
        <v>21</v>
      </c>
      <c r="D837" s="6">
        <v>25357</v>
      </c>
      <c r="E837" s="61">
        <v>56845</v>
      </c>
      <c r="F837" s="63" t="s">
        <v>81</v>
      </c>
    </row>
    <row r="838" spans="1:6" x14ac:dyDescent="0.45">
      <c r="A838" s="57">
        <v>2022</v>
      </c>
      <c r="B838" s="3" t="s">
        <v>57</v>
      </c>
      <c r="C838" s="3" t="s">
        <v>22</v>
      </c>
      <c r="D838" s="4">
        <v>20728</v>
      </c>
      <c r="E838" s="60">
        <v>58656</v>
      </c>
      <c r="F838" s="63" t="s">
        <v>82</v>
      </c>
    </row>
    <row r="839" spans="1:6" x14ac:dyDescent="0.45">
      <c r="A839" s="57">
        <v>2022</v>
      </c>
      <c r="B839" s="5" t="s">
        <v>57</v>
      </c>
      <c r="C839" s="5" t="s">
        <v>23</v>
      </c>
      <c r="D839" s="6">
        <v>7557</v>
      </c>
      <c r="E839" s="61">
        <v>48620</v>
      </c>
      <c r="F839" s="63" t="s">
        <v>81</v>
      </c>
    </row>
    <row r="840" spans="1:6" x14ac:dyDescent="0.45">
      <c r="A840" s="57">
        <v>2022</v>
      </c>
      <c r="B840" s="3" t="s">
        <v>57</v>
      </c>
      <c r="C840" s="3" t="s">
        <v>24</v>
      </c>
      <c r="D840" s="4">
        <v>52078</v>
      </c>
      <c r="E840" s="60">
        <v>53562</v>
      </c>
      <c r="F840" s="63" t="s">
        <v>82</v>
      </c>
    </row>
    <row r="841" spans="1:6" x14ac:dyDescent="0.45">
      <c r="A841" s="57">
        <v>2022</v>
      </c>
      <c r="B841" s="5" t="s">
        <v>57</v>
      </c>
      <c r="C841" s="5" t="s">
        <v>25</v>
      </c>
      <c r="D841" s="6">
        <v>4834</v>
      </c>
      <c r="E841" s="61">
        <v>55258</v>
      </c>
      <c r="F841" s="63" t="s">
        <v>81</v>
      </c>
    </row>
    <row r="842" spans="1:6" x14ac:dyDescent="0.45">
      <c r="A842" s="57">
        <v>2022</v>
      </c>
      <c r="B842" s="3" t="s">
        <v>57</v>
      </c>
      <c r="C842" s="3" t="s">
        <v>26</v>
      </c>
      <c r="D842" s="4">
        <v>11559</v>
      </c>
      <c r="E842" s="60">
        <v>54735</v>
      </c>
      <c r="F842" s="63" t="s">
        <v>81</v>
      </c>
    </row>
    <row r="843" spans="1:6" x14ac:dyDescent="0.45">
      <c r="A843" s="57">
        <v>2022</v>
      </c>
      <c r="B843" s="5" t="s">
        <v>57</v>
      </c>
      <c r="C843" s="5" t="s">
        <v>27</v>
      </c>
      <c r="D843" s="6">
        <v>8934</v>
      </c>
      <c r="E843" s="61">
        <v>60808</v>
      </c>
      <c r="F843" s="63" t="s">
        <v>82</v>
      </c>
    </row>
    <row r="844" spans="1:6" x14ac:dyDescent="0.45">
      <c r="A844" s="57">
        <v>2022</v>
      </c>
      <c r="B844" s="3" t="s">
        <v>57</v>
      </c>
      <c r="C844" s="3" t="s">
        <v>28</v>
      </c>
      <c r="D844" s="4">
        <v>4773</v>
      </c>
      <c r="E844" s="60">
        <v>64363</v>
      </c>
      <c r="F844" s="63" t="s">
        <v>82</v>
      </c>
    </row>
    <row r="845" spans="1:6" x14ac:dyDescent="0.45">
      <c r="A845" s="57">
        <v>2022</v>
      </c>
      <c r="B845" s="5" t="s">
        <v>57</v>
      </c>
      <c r="C845" s="5" t="s">
        <v>29</v>
      </c>
      <c r="D845" s="6">
        <v>40687</v>
      </c>
      <c r="E845" s="61">
        <v>61124</v>
      </c>
      <c r="F845" s="63" t="s">
        <v>81</v>
      </c>
    </row>
    <row r="846" spans="1:6" x14ac:dyDescent="0.45">
      <c r="A846" s="57">
        <v>2022</v>
      </c>
      <c r="B846" s="3" t="s">
        <v>57</v>
      </c>
      <c r="C846" s="3" t="s">
        <v>30</v>
      </c>
      <c r="D846" s="4">
        <v>10974</v>
      </c>
      <c r="E846" s="60">
        <v>48852</v>
      </c>
      <c r="F846" s="63" t="s">
        <v>81</v>
      </c>
    </row>
    <row r="847" spans="1:6" x14ac:dyDescent="0.45">
      <c r="A847" s="57">
        <v>2022</v>
      </c>
      <c r="B847" s="5" t="s">
        <v>57</v>
      </c>
      <c r="C847" s="5" t="s">
        <v>31</v>
      </c>
      <c r="D847" s="6">
        <v>67202</v>
      </c>
      <c r="E847" s="61">
        <v>60638</v>
      </c>
      <c r="F847" s="63" t="s">
        <v>82</v>
      </c>
    </row>
    <row r="848" spans="1:6" x14ac:dyDescent="0.45">
      <c r="A848" s="57">
        <v>2022</v>
      </c>
      <c r="B848" s="3" t="s">
        <v>57</v>
      </c>
      <c r="C848" s="3" t="s">
        <v>32</v>
      </c>
      <c r="D848" s="4">
        <v>28199</v>
      </c>
      <c r="E848" s="60">
        <v>56123</v>
      </c>
      <c r="F848" s="63" t="s">
        <v>82</v>
      </c>
    </row>
    <row r="849" spans="1:6" x14ac:dyDescent="0.45">
      <c r="A849" s="57">
        <v>2022</v>
      </c>
      <c r="B849" s="5" t="s">
        <v>57</v>
      </c>
      <c r="C849" s="5" t="s">
        <v>33</v>
      </c>
      <c r="D849" s="6">
        <v>2581</v>
      </c>
      <c r="E849" s="61">
        <v>58585</v>
      </c>
      <c r="F849" s="63" t="s">
        <v>82</v>
      </c>
    </row>
    <row r="850" spans="1:6" x14ac:dyDescent="0.45">
      <c r="A850" s="57">
        <v>2022</v>
      </c>
      <c r="B850" s="3" t="s">
        <v>57</v>
      </c>
      <c r="C850" s="3" t="s">
        <v>34</v>
      </c>
      <c r="D850" s="4">
        <v>35525</v>
      </c>
      <c r="E850" s="60">
        <v>53891</v>
      </c>
      <c r="F850" s="63" t="s">
        <v>82</v>
      </c>
    </row>
    <row r="851" spans="1:6" x14ac:dyDescent="0.45">
      <c r="A851" s="57">
        <v>2022</v>
      </c>
      <c r="B851" s="5" t="s">
        <v>57</v>
      </c>
      <c r="C851" s="5" t="s">
        <v>35</v>
      </c>
      <c r="D851" s="6">
        <v>13345</v>
      </c>
      <c r="E851" s="61">
        <v>52841</v>
      </c>
      <c r="F851" s="63" t="s">
        <v>82</v>
      </c>
    </row>
    <row r="852" spans="1:6" x14ac:dyDescent="0.45">
      <c r="A852" s="57">
        <v>2022</v>
      </c>
      <c r="B852" s="3" t="s">
        <v>57</v>
      </c>
      <c r="C852" s="3" t="s">
        <v>36</v>
      </c>
      <c r="D852" s="4">
        <v>16113</v>
      </c>
      <c r="E852" s="60">
        <v>57842</v>
      </c>
      <c r="F852" s="63" t="s">
        <v>81</v>
      </c>
    </row>
    <row r="853" spans="1:6" x14ac:dyDescent="0.45">
      <c r="A853" s="57">
        <v>2022</v>
      </c>
      <c r="B853" s="5" t="s">
        <v>57</v>
      </c>
      <c r="C853" s="5" t="s">
        <v>37</v>
      </c>
      <c r="D853" s="6">
        <v>57945</v>
      </c>
      <c r="E853" s="61">
        <v>59416</v>
      </c>
      <c r="F853" s="63" t="s">
        <v>81</v>
      </c>
    </row>
    <row r="854" spans="1:6" x14ac:dyDescent="0.45">
      <c r="A854" s="57">
        <v>2022</v>
      </c>
      <c r="B854" s="3" t="s">
        <v>57</v>
      </c>
      <c r="C854" s="3" t="s">
        <v>38</v>
      </c>
      <c r="D854" s="4">
        <v>4664</v>
      </c>
      <c r="E854" s="60">
        <v>56458</v>
      </c>
      <c r="F854" s="63" t="s">
        <v>82</v>
      </c>
    </row>
    <row r="855" spans="1:6" x14ac:dyDescent="0.45">
      <c r="A855" s="57">
        <v>2022</v>
      </c>
      <c r="B855" s="5" t="s">
        <v>57</v>
      </c>
      <c r="C855" s="5" t="s">
        <v>39</v>
      </c>
      <c r="D855" s="6">
        <v>12757</v>
      </c>
      <c r="E855" s="61">
        <v>53296</v>
      </c>
      <c r="F855" s="63" t="s">
        <v>81</v>
      </c>
    </row>
    <row r="856" spans="1:6" x14ac:dyDescent="0.45">
      <c r="A856" s="57">
        <v>2022</v>
      </c>
      <c r="B856" s="3" t="s">
        <v>57</v>
      </c>
      <c r="C856" s="3" t="s">
        <v>40</v>
      </c>
      <c r="D856" s="4">
        <v>2904</v>
      </c>
      <c r="E856" s="60">
        <v>58412</v>
      </c>
      <c r="F856" s="63" t="s">
        <v>81</v>
      </c>
    </row>
    <row r="857" spans="1:6" x14ac:dyDescent="0.45">
      <c r="A857" s="57">
        <v>2022</v>
      </c>
      <c r="B857" s="5" t="s">
        <v>57</v>
      </c>
      <c r="C857" s="5" t="s">
        <v>41</v>
      </c>
      <c r="D857" s="6">
        <v>16563</v>
      </c>
      <c r="E857" s="61">
        <v>59183</v>
      </c>
      <c r="F857" s="63" t="s">
        <v>82</v>
      </c>
    </row>
    <row r="858" spans="1:6" x14ac:dyDescent="0.45">
      <c r="A858" s="57">
        <v>2022</v>
      </c>
      <c r="B858" s="3" t="s">
        <v>57</v>
      </c>
      <c r="C858" s="3" t="s">
        <v>42</v>
      </c>
      <c r="D858" s="4">
        <v>94237</v>
      </c>
      <c r="E858" s="60">
        <v>55322</v>
      </c>
      <c r="F858" s="63" t="s">
        <v>82</v>
      </c>
    </row>
    <row r="859" spans="1:6" x14ac:dyDescent="0.45">
      <c r="A859" s="57">
        <v>2022</v>
      </c>
      <c r="B859" s="5" t="s">
        <v>57</v>
      </c>
      <c r="C859" s="5" t="s">
        <v>43</v>
      </c>
      <c r="D859" s="6">
        <v>12857</v>
      </c>
      <c r="E859" s="61">
        <v>50983</v>
      </c>
      <c r="F859" s="63" t="s">
        <v>81</v>
      </c>
    </row>
    <row r="860" spans="1:6" x14ac:dyDescent="0.45">
      <c r="A860" s="57">
        <v>2022</v>
      </c>
      <c r="B860" s="3" t="s">
        <v>57</v>
      </c>
      <c r="C860" s="3" t="s">
        <v>44</v>
      </c>
      <c r="D860" s="4">
        <v>2503</v>
      </c>
      <c r="E860" s="60">
        <v>54501</v>
      </c>
      <c r="F860" s="63" t="s">
        <v>81</v>
      </c>
    </row>
    <row r="861" spans="1:6" x14ac:dyDescent="0.45">
      <c r="A861" s="57">
        <v>2022</v>
      </c>
      <c r="B861" s="5" t="s">
        <v>57</v>
      </c>
      <c r="C861" s="5" t="s">
        <v>45</v>
      </c>
      <c r="D861" s="6">
        <v>50144</v>
      </c>
      <c r="E861" s="61">
        <v>56876</v>
      </c>
      <c r="F861" s="63" t="s">
        <v>82</v>
      </c>
    </row>
    <row r="862" spans="1:6" x14ac:dyDescent="0.45">
      <c r="A862" s="57">
        <v>2022</v>
      </c>
      <c r="B862" s="3" t="s">
        <v>57</v>
      </c>
      <c r="C862" s="3" t="s">
        <v>46</v>
      </c>
      <c r="D862" s="4">
        <v>64023</v>
      </c>
      <c r="E862" s="60">
        <v>59267</v>
      </c>
      <c r="F862" s="63" t="s">
        <v>81</v>
      </c>
    </row>
    <row r="863" spans="1:6" x14ac:dyDescent="0.45">
      <c r="A863" s="57">
        <v>2022</v>
      </c>
      <c r="B863" s="5" t="s">
        <v>57</v>
      </c>
      <c r="C863" s="5" t="s">
        <v>47</v>
      </c>
      <c r="D863" s="6">
        <v>5755</v>
      </c>
      <c r="E863" s="61">
        <v>53876</v>
      </c>
      <c r="F863" s="63" t="s">
        <v>82</v>
      </c>
    </row>
    <row r="864" spans="1:6" x14ac:dyDescent="0.45">
      <c r="A864" s="57">
        <v>2022</v>
      </c>
      <c r="B864" s="3" t="s">
        <v>57</v>
      </c>
      <c r="C864" s="3" t="s">
        <v>48</v>
      </c>
      <c r="D864" s="4">
        <v>29257</v>
      </c>
      <c r="E864" s="60">
        <v>56951</v>
      </c>
      <c r="F864" s="63" t="s">
        <v>81</v>
      </c>
    </row>
    <row r="865" spans="1:6" x14ac:dyDescent="0.45">
      <c r="A865" s="57">
        <v>2022</v>
      </c>
      <c r="B865" s="5" t="s">
        <v>57</v>
      </c>
      <c r="C865" s="5" t="s">
        <v>49</v>
      </c>
      <c r="D865" s="6">
        <v>3384</v>
      </c>
      <c r="E865" s="61">
        <v>50083</v>
      </c>
      <c r="F865" s="63" t="s">
        <v>81</v>
      </c>
    </row>
    <row r="866" spans="1:6" x14ac:dyDescent="0.45">
      <c r="A866" s="57">
        <v>2022</v>
      </c>
      <c r="B866" s="3" t="s">
        <v>58</v>
      </c>
      <c r="C866" s="3" t="s">
        <v>2</v>
      </c>
      <c r="D866" s="4">
        <v>11180</v>
      </c>
      <c r="E866" s="60">
        <v>23618</v>
      </c>
      <c r="F866" s="63" t="s">
        <v>82</v>
      </c>
    </row>
    <row r="867" spans="1:6" x14ac:dyDescent="0.45">
      <c r="A867" s="57">
        <v>2022</v>
      </c>
      <c r="B867" s="5" t="s">
        <v>58</v>
      </c>
      <c r="C867" s="5" t="s">
        <v>3</v>
      </c>
      <c r="D867" s="6">
        <v>14256</v>
      </c>
      <c r="E867" s="61">
        <v>31557</v>
      </c>
      <c r="F867" s="63" t="s">
        <v>82</v>
      </c>
    </row>
    <row r="868" spans="1:6" x14ac:dyDescent="0.45">
      <c r="A868" s="57">
        <v>2022</v>
      </c>
      <c r="B868" s="3" t="s">
        <v>58</v>
      </c>
      <c r="C868" s="3" t="s">
        <v>4</v>
      </c>
      <c r="D868" s="4">
        <v>7315</v>
      </c>
      <c r="E868" s="60">
        <v>23299</v>
      </c>
      <c r="F868" s="63" t="s">
        <v>81</v>
      </c>
    </row>
    <row r="869" spans="1:6" x14ac:dyDescent="0.45">
      <c r="A869" s="57">
        <v>2022</v>
      </c>
      <c r="B869" s="5" t="s">
        <v>58</v>
      </c>
      <c r="C869" s="5" t="s">
        <v>5</v>
      </c>
      <c r="D869" s="6">
        <v>116191</v>
      </c>
      <c r="E869" s="61">
        <v>38379</v>
      </c>
      <c r="F869" s="63" t="s">
        <v>81</v>
      </c>
    </row>
    <row r="870" spans="1:6" x14ac:dyDescent="0.45">
      <c r="A870" s="57">
        <v>2022</v>
      </c>
      <c r="B870" s="3" t="s">
        <v>58</v>
      </c>
      <c r="C870" s="3" t="s">
        <v>6</v>
      </c>
      <c r="D870" s="4">
        <v>17317</v>
      </c>
      <c r="E870" s="60">
        <v>33131</v>
      </c>
      <c r="F870" s="63" t="s">
        <v>82</v>
      </c>
    </row>
    <row r="871" spans="1:6" x14ac:dyDescent="0.45">
      <c r="A871" s="57">
        <v>2022</v>
      </c>
      <c r="B871" s="5" t="s">
        <v>58</v>
      </c>
      <c r="C871" s="5" t="s">
        <v>7</v>
      </c>
      <c r="D871" s="6">
        <v>10917</v>
      </c>
      <c r="E871" s="61">
        <v>30451</v>
      </c>
      <c r="F871" s="63" t="s">
        <v>82</v>
      </c>
    </row>
    <row r="872" spans="1:6" x14ac:dyDescent="0.45">
      <c r="A872" s="57">
        <v>2022</v>
      </c>
      <c r="B872" s="3" t="s">
        <v>58</v>
      </c>
      <c r="C872" s="3" t="s">
        <v>8</v>
      </c>
      <c r="D872" s="4">
        <v>2710</v>
      </c>
      <c r="E872" s="60">
        <v>27264</v>
      </c>
      <c r="F872" s="63" t="s">
        <v>82</v>
      </c>
    </row>
    <row r="873" spans="1:6" x14ac:dyDescent="0.45">
      <c r="A873" s="57">
        <v>2022</v>
      </c>
      <c r="B873" s="5" t="s">
        <v>58</v>
      </c>
      <c r="C873" s="5" t="s">
        <v>9</v>
      </c>
      <c r="D873" s="6">
        <v>58596</v>
      </c>
      <c r="E873" s="61">
        <v>32675</v>
      </c>
      <c r="F873" s="63" t="s">
        <v>82</v>
      </c>
    </row>
    <row r="874" spans="1:6" x14ac:dyDescent="0.45">
      <c r="A874" s="57">
        <v>2022</v>
      </c>
      <c r="B874" s="3" t="s">
        <v>58</v>
      </c>
      <c r="C874" s="3" t="s">
        <v>10</v>
      </c>
      <c r="D874" s="4">
        <v>25254</v>
      </c>
      <c r="E874" s="60">
        <v>27342</v>
      </c>
      <c r="F874" s="63" t="s">
        <v>82</v>
      </c>
    </row>
    <row r="875" spans="1:6" x14ac:dyDescent="0.45">
      <c r="A875" s="57">
        <v>2022</v>
      </c>
      <c r="B875" s="5" t="s">
        <v>58</v>
      </c>
      <c r="C875" s="5" t="s">
        <v>11</v>
      </c>
      <c r="D875" s="6">
        <v>5038</v>
      </c>
      <c r="E875" s="61">
        <v>23770</v>
      </c>
      <c r="F875" s="63" t="s">
        <v>81</v>
      </c>
    </row>
    <row r="876" spans="1:6" x14ac:dyDescent="0.45">
      <c r="A876" s="57">
        <v>2022</v>
      </c>
      <c r="B876" s="3" t="s">
        <v>58</v>
      </c>
      <c r="C876" s="3" t="s">
        <v>12</v>
      </c>
      <c r="D876" s="4">
        <v>33183</v>
      </c>
      <c r="E876" s="60">
        <v>30703</v>
      </c>
      <c r="F876" s="63" t="s">
        <v>81</v>
      </c>
    </row>
    <row r="877" spans="1:6" x14ac:dyDescent="0.45">
      <c r="A877" s="57">
        <v>2022</v>
      </c>
      <c r="B877" s="5" t="s">
        <v>58</v>
      </c>
      <c r="C877" s="5" t="s">
        <v>13</v>
      </c>
      <c r="D877" s="6">
        <v>15776</v>
      </c>
      <c r="E877" s="61">
        <v>25660</v>
      </c>
      <c r="F877" s="63" t="s">
        <v>82</v>
      </c>
    </row>
    <row r="878" spans="1:6" x14ac:dyDescent="0.45">
      <c r="A878" s="57">
        <v>2022</v>
      </c>
      <c r="B878" s="3" t="s">
        <v>58</v>
      </c>
      <c r="C878" s="3" t="s">
        <v>14</v>
      </c>
      <c r="D878" s="4">
        <v>8796</v>
      </c>
      <c r="E878" s="60">
        <v>23261</v>
      </c>
      <c r="F878" s="63" t="s">
        <v>81</v>
      </c>
    </row>
    <row r="879" spans="1:6" x14ac:dyDescent="0.45">
      <c r="A879" s="57">
        <v>2022</v>
      </c>
      <c r="B879" s="5" t="s">
        <v>58</v>
      </c>
      <c r="C879" s="5" t="s">
        <v>15</v>
      </c>
      <c r="D879" s="6">
        <v>6871</v>
      </c>
      <c r="E879" s="61">
        <v>23333</v>
      </c>
      <c r="F879" s="63" t="s">
        <v>81</v>
      </c>
    </row>
    <row r="880" spans="1:6" x14ac:dyDescent="0.45">
      <c r="A880" s="57">
        <v>2022</v>
      </c>
      <c r="B880" s="3" t="s">
        <v>58</v>
      </c>
      <c r="C880" s="3" t="s">
        <v>16</v>
      </c>
      <c r="D880" s="4">
        <v>10118</v>
      </c>
      <c r="E880" s="60">
        <v>24350</v>
      </c>
      <c r="F880" s="63" t="s">
        <v>82</v>
      </c>
    </row>
    <row r="881" spans="1:6" x14ac:dyDescent="0.45">
      <c r="A881" s="57">
        <v>2022</v>
      </c>
      <c r="B881" s="5" t="s">
        <v>58</v>
      </c>
      <c r="C881" s="5" t="s">
        <v>17</v>
      </c>
      <c r="D881" s="6">
        <v>12912</v>
      </c>
      <c r="E881" s="61">
        <v>27789</v>
      </c>
      <c r="F881" s="63" t="s">
        <v>82</v>
      </c>
    </row>
    <row r="882" spans="1:6" x14ac:dyDescent="0.45">
      <c r="A882" s="57">
        <v>2022</v>
      </c>
      <c r="B882" s="3" t="s">
        <v>58</v>
      </c>
      <c r="C882" s="3" t="s">
        <v>18</v>
      </c>
      <c r="D882" s="4">
        <v>5132</v>
      </c>
      <c r="E882" s="60">
        <v>29169</v>
      </c>
      <c r="F882" s="63" t="s">
        <v>81</v>
      </c>
    </row>
    <row r="883" spans="1:6" x14ac:dyDescent="0.45">
      <c r="A883" s="57">
        <v>2022</v>
      </c>
      <c r="B883" s="5" t="s">
        <v>58</v>
      </c>
      <c r="C883" s="5" t="s">
        <v>19</v>
      </c>
      <c r="D883" s="6">
        <v>15043</v>
      </c>
      <c r="E883" s="61">
        <v>30758</v>
      </c>
      <c r="F883" s="63" t="s">
        <v>81</v>
      </c>
    </row>
    <row r="884" spans="1:6" x14ac:dyDescent="0.45">
      <c r="A884" s="57">
        <v>2022</v>
      </c>
      <c r="B884" s="3" t="s">
        <v>58</v>
      </c>
      <c r="C884" s="3" t="s">
        <v>20</v>
      </c>
      <c r="D884" s="4">
        <v>20740</v>
      </c>
      <c r="E884" s="60">
        <v>35500</v>
      </c>
      <c r="F884" s="63" t="s">
        <v>82</v>
      </c>
    </row>
    <row r="885" spans="1:6" x14ac:dyDescent="0.45">
      <c r="A885" s="57">
        <v>2022</v>
      </c>
      <c r="B885" s="5" t="s">
        <v>58</v>
      </c>
      <c r="C885" s="5" t="s">
        <v>21</v>
      </c>
      <c r="D885" s="6">
        <v>23113</v>
      </c>
      <c r="E885" s="61">
        <v>27121</v>
      </c>
      <c r="F885" s="63" t="s">
        <v>81</v>
      </c>
    </row>
    <row r="886" spans="1:6" x14ac:dyDescent="0.45">
      <c r="A886" s="57">
        <v>2022</v>
      </c>
      <c r="B886" s="3" t="s">
        <v>58</v>
      </c>
      <c r="C886" s="3" t="s">
        <v>22</v>
      </c>
      <c r="D886" s="4">
        <v>15325</v>
      </c>
      <c r="E886" s="60">
        <v>29261</v>
      </c>
      <c r="F886" s="63" t="s">
        <v>82</v>
      </c>
    </row>
    <row r="887" spans="1:6" x14ac:dyDescent="0.45">
      <c r="A887" s="57">
        <v>2022</v>
      </c>
      <c r="B887" s="5" t="s">
        <v>58</v>
      </c>
      <c r="C887" s="5" t="s">
        <v>23</v>
      </c>
      <c r="D887" s="6">
        <v>6514</v>
      </c>
      <c r="E887" s="61">
        <v>23817</v>
      </c>
      <c r="F887" s="63" t="s">
        <v>81</v>
      </c>
    </row>
    <row r="888" spans="1:6" x14ac:dyDescent="0.45">
      <c r="A888" s="57">
        <v>2022</v>
      </c>
      <c r="B888" s="3" t="s">
        <v>58</v>
      </c>
      <c r="C888" s="3" t="s">
        <v>24</v>
      </c>
      <c r="D888" s="4">
        <v>15195</v>
      </c>
      <c r="E888" s="60">
        <v>27614</v>
      </c>
      <c r="F888" s="63" t="s">
        <v>81</v>
      </c>
    </row>
    <row r="889" spans="1:6" x14ac:dyDescent="0.45">
      <c r="A889" s="57">
        <v>2022</v>
      </c>
      <c r="B889" s="5" t="s">
        <v>58</v>
      </c>
      <c r="C889" s="5" t="s">
        <v>25</v>
      </c>
      <c r="D889" s="6">
        <v>5052</v>
      </c>
      <c r="E889" s="61">
        <v>25955</v>
      </c>
      <c r="F889" s="63" t="s">
        <v>82</v>
      </c>
    </row>
    <row r="890" spans="1:6" x14ac:dyDescent="0.45">
      <c r="A890" s="57">
        <v>2022</v>
      </c>
      <c r="B890" s="3" t="s">
        <v>58</v>
      </c>
      <c r="C890" s="3" t="s">
        <v>26</v>
      </c>
      <c r="D890" s="4">
        <v>5609</v>
      </c>
      <c r="E890" s="60">
        <v>23213</v>
      </c>
      <c r="F890" s="63" t="s">
        <v>82</v>
      </c>
    </row>
    <row r="891" spans="1:6" x14ac:dyDescent="0.45">
      <c r="A891" s="57">
        <v>2022</v>
      </c>
      <c r="B891" s="5" t="s">
        <v>58</v>
      </c>
      <c r="C891" s="5" t="s">
        <v>27</v>
      </c>
      <c r="D891" s="6">
        <v>8716</v>
      </c>
      <c r="E891" s="61">
        <v>40432</v>
      </c>
      <c r="F891" s="63" t="s">
        <v>81</v>
      </c>
    </row>
    <row r="892" spans="1:6" x14ac:dyDescent="0.45">
      <c r="A892" s="57">
        <v>2022</v>
      </c>
      <c r="B892" s="3" t="s">
        <v>58</v>
      </c>
      <c r="C892" s="3" t="s">
        <v>28</v>
      </c>
      <c r="D892" s="4">
        <v>4675</v>
      </c>
      <c r="E892" s="60">
        <v>28783</v>
      </c>
      <c r="F892" s="63" t="s">
        <v>81</v>
      </c>
    </row>
    <row r="893" spans="1:6" x14ac:dyDescent="0.45">
      <c r="A893" s="57">
        <v>2022</v>
      </c>
      <c r="B893" s="5" t="s">
        <v>58</v>
      </c>
      <c r="C893" s="5" t="s">
        <v>29</v>
      </c>
      <c r="D893" s="6">
        <v>24526</v>
      </c>
      <c r="E893" s="61">
        <v>32347</v>
      </c>
      <c r="F893" s="63" t="s">
        <v>82</v>
      </c>
    </row>
    <row r="894" spans="1:6" x14ac:dyDescent="0.45">
      <c r="A894" s="57">
        <v>2022</v>
      </c>
      <c r="B894" s="3" t="s">
        <v>58</v>
      </c>
      <c r="C894" s="3" t="s">
        <v>30</v>
      </c>
      <c r="D894" s="4">
        <v>5277</v>
      </c>
      <c r="E894" s="60">
        <v>25571</v>
      </c>
      <c r="F894" s="63" t="s">
        <v>82</v>
      </c>
    </row>
    <row r="895" spans="1:6" x14ac:dyDescent="0.45">
      <c r="A895" s="57">
        <v>2022</v>
      </c>
      <c r="B895" s="5" t="s">
        <v>58</v>
      </c>
      <c r="C895" s="5" t="s">
        <v>31</v>
      </c>
      <c r="D895" s="6">
        <v>65868</v>
      </c>
      <c r="E895" s="61">
        <v>41828</v>
      </c>
      <c r="F895" s="63" t="s">
        <v>82</v>
      </c>
    </row>
    <row r="896" spans="1:6" x14ac:dyDescent="0.45">
      <c r="A896" s="57">
        <v>2022</v>
      </c>
      <c r="B896" s="3" t="s">
        <v>58</v>
      </c>
      <c r="C896" s="3" t="s">
        <v>32</v>
      </c>
      <c r="D896" s="4">
        <v>26474</v>
      </c>
      <c r="E896" s="60">
        <v>26460</v>
      </c>
      <c r="F896" s="63" t="s">
        <v>82</v>
      </c>
    </row>
    <row r="897" spans="1:6" x14ac:dyDescent="0.45">
      <c r="A897" s="57">
        <v>2022</v>
      </c>
      <c r="B897" s="5" t="s">
        <v>58</v>
      </c>
      <c r="C897" s="5" t="s">
        <v>33</v>
      </c>
      <c r="D897" s="6">
        <v>2610</v>
      </c>
      <c r="E897" s="61">
        <v>24573</v>
      </c>
      <c r="F897" s="63" t="s">
        <v>82</v>
      </c>
    </row>
    <row r="898" spans="1:6" x14ac:dyDescent="0.45">
      <c r="A898" s="57">
        <v>2022</v>
      </c>
      <c r="B898" s="3" t="s">
        <v>58</v>
      </c>
      <c r="C898" s="3" t="s">
        <v>34</v>
      </c>
      <c r="D898" s="4">
        <v>29035</v>
      </c>
      <c r="E898" s="60">
        <v>26197</v>
      </c>
      <c r="F898" s="63" t="s">
        <v>81</v>
      </c>
    </row>
    <row r="899" spans="1:6" x14ac:dyDescent="0.45">
      <c r="A899" s="57">
        <v>2022</v>
      </c>
      <c r="B899" s="5" t="s">
        <v>58</v>
      </c>
      <c r="C899" s="5" t="s">
        <v>35</v>
      </c>
      <c r="D899" s="6">
        <v>9209</v>
      </c>
      <c r="E899" s="61">
        <v>24600</v>
      </c>
      <c r="F899" s="63" t="s">
        <v>81</v>
      </c>
    </row>
    <row r="900" spans="1:6" x14ac:dyDescent="0.45">
      <c r="A900" s="57">
        <v>2022</v>
      </c>
      <c r="B900" s="3" t="s">
        <v>58</v>
      </c>
      <c r="C900" s="3" t="s">
        <v>36</v>
      </c>
      <c r="D900" s="4">
        <v>14116</v>
      </c>
      <c r="E900" s="60">
        <v>29818</v>
      </c>
      <c r="F900" s="63" t="s">
        <v>82</v>
      </c>
    </row>
    <row r="901" spans="1:6" x14ac:dyDescent="0.45">
      <c r="A901" s="57">
        <v>2022</v>
      </c>
      <c r="B901" s="5" t="s">
        <v>58</v>
      </c>
      <c r="C901" s="5" t="s">
        <v>37</v>
      </c>
      <c r="D901" s="6">
        <v>33729</v>
      </c>
      <c r="E901" s="61">
        <v>28011</v>
      </c>
      <c r="F901" s="63" t="s">
        <v>81</v>
      </c>
    </row>
    <row r="902" spans="1:6" x14ac:dyDescent="0.45">
      <c r="A902" s="57">
        <v>2022</v>
      </c>
      <c r="B902" s="3" t="s">
        <v>58</v>
      </c>
      <c r="C902" s="3" t="s">
        <v>38</v>
      </c>
      <c r="D902" s="4">
        <v>3873</v>
      </c>
      <c r="E902" s="60">
        <v>29680</v>
      </c>
      <c r="F902" s="63" t="s">
        <v>81</v>
      </c>
    </row>
    <row r="903" spans="1:6" x14ac:dyDescent="0.45">
      <c r="A903" s="57">
        <v>2022</v>
      </c>
      <c r="B903" s="5" t="s">
        <v>58</v>
      </c>
      <c r="C903" s="5" t="s">
        <v>39</v>
      </c>
      <c r="D903" s="6">
        <v>13400</v>
      </c>
      <c r="E903" s="61">
        <v>24816</v>
      </c>
      <c r="F903" s="63" t="s">
        <v>82</v>
      </c>
    </row>
    <row r="904" spans="1:6" x14ac:dyDescent="0.45">
      <c r="A904" s="57">
        <v>2022</v>
      </c>
      <c r="B904" s="3" t="s">
        <v>58</v>
      </c>
      <c r="C904" s="3" t="s">
        <v>40</v>
      </c>
      <c r="D904" s="4">
        <v>3191</v>
      </c>
      <c r="E904" s="60">
        <v>23519</v>
      </c>
      <c r="F904" s="63" t="s">
        <v>82</v>
      </c>
    </row>
    <row r="905" spans="1:6" x14ac:dyDescent="0.45">
      <c r="A905" s="57">
        <v>2022</v>
      </c>
      <c r="B905" s="5" t="s">
        <v>58</v>
      </c>
      <c r="C905" s="5" t="s">
        <v>41</v>
      </c>
      <c r="D905" s="6">
        <v>16924</v>
      </c>
      <c r="E905" s="61">
        <v>29878</v>
      </c>
      <c r="F905" s="63" t="s">
        <v>81</v>
      </c>
    </row>
    <row r="906" spans="1:6" x14ac:dyDescent="0.45">
      <c r="A906" s="57">
        <v>2022</v>
      </c>
      <c r="B906" s="3" t="s">
        <v>58</v>
      </c>
      <c r="C906" s="3" t="s">
        <v>42</v>
      </c>
      <c r="D906" s="4">
        <v>65057</v>
      </c>
      <c r="E906" s="60">
        <v>28762</v>
      </c>
      <c r="F906" s="63" t="s">
        <v>81</v>
      </c>
    </row>
    <row r="907" spans="1:6" x14ac:dyDescent="0.45">
      <c r="A907" s="57">
        <v>2022</v>
      </c>
      <c r="B907" s="5" t="s">
        <v>58</v>
      </c>
      <c r="C907" s="5" t="s">
        <v>43</v>
      </c>
      <c r="D907" s="6">
        <v>7570</v>
      </c>
      <c r="E907" s="61">
        <v>26955</v>
      </c>
      <c r="F907" s="63" t="s">
        <v>82</v>
      </c>
    </row>
    <row r="908" spans="1:6" x14ac:dyDescent="0.45">
      <c r="A908" s="57">
        <v>2022</v>
      </c>
      <c r="B908" s="3" t="s">
        <v>58</v>
      </c>
      <c r="C908" s="3" t="s">
        <v>44</v>
      </c>
      <c r="D908" s="4">
        <v>2268</v>
      </c>
      <c r="E908" s="60">
        <v>29863</v>
      </c>
      <c r="F908" s="63" t="s">
        <v>81</v>
      </c>
    </row>
    <row r="909" spans="1:6" x14ac:dyDescent="0.45">
      <c r="A909" s="57">
        <v>2022</v>
      </c>
      <c r="B909" s="5" t="s">
        <v>58</v>
      </c>
      <c r="C909" s="5" t="s">
        <v>45</v>
      </c>
      <c r="D909" s="6">
        <v>20743</v>
      </c>
      <c r="E909" s="61">
        <v>27582</v>
      </c>
      <c r="F909" s="63" t="s">
        <v>82</v>
      </c>
    </row>
    <row r="910" spans="1:6" x14ac:dyDescent="0.45">
      <c r="A910" s="57">
        <v>2022</v>
      </c>
      <c r="B910" s="3" t="s">
        <v>58</v>
      </c>
      <c r="C910" s="3" t="s">
        <v>46</v>
      </c>
      <c r="D910" s="4">
        <v>20637</v>
      </c>
      <c r="E910" s="60">
        <v>32566</v>
      </c>
      <c r="F910" s="63" t="s">
        <v>81</v>
      </c>
    </row>
    <row r="911" spans="1:6" x14ac:dyDescent="0.45">
      <c r="A911" s="57">
        <v>2022</v>
      </c>
      <c r="B911" s="5" t="s">
        <v>58</v>
      </c>
      <c r="C911" s="5" t="s">
        <v>47</v>
      </c>
      <c r="D911" s="6">
        <v>4658</v>
      </c>
      <c r="E911" s="61">
        <v>24256</v>
      </c>
      <c r="F911" s="63" t="s">
        <v>81</v>
      </c>
    </row>
    <row r="912" spans="1:6" x14ac:dyDescent="0.45">
      <c r="A912" s="57">
        <v>2022</v>
      </c>
      <c r="B912" s="3" t="s">
        <v>58</v>
      </c>
      <c r="C912" s="3" t="s">
        <v>48</v>
      </c>
      <c r="D912" s="4">
        <v>17015</v>
      </c>
      <c r="E912" s="60">
        <v>24758</v>
      </c>
      <c r="F912" s="63" t="s">
        <v>82</v>
      </c>
    </row>
    <row r="913" spans="1:6" x14ac:dyDescent="0.45">
      <c r="A913" s="57">
        <v>2022</v>
      </c>
      <c r="B913" s="5" t="s">
        <v>58</v>
      </c>
      <c r="C913" s="5" t="s">
        <v>49</v>
      </c>
      <c r="D913" s="6">
        <v>2398</v>
      </c>
      <c r="E913" s="61">
        <v>27994</v>
      </c>
      <c r="F913" s="63" t="s">
        <v>82</v>
      </c>
    </row>
    <row r="914" spans="1:6" x14ac:dyDescent="0.45">
      <c r="A914" s="57">
        <v>2022</v>
      </c>
      <c r="B914" s="3" t="s">
        <v>59</v>
      </c>
      <c r="C914" s="3" t="s">
        <v>2</v>
      </c>
      <c r="D914" s="4">
        <v>10189</v>
      </c>
      <c r="E914" s="60">
        <v>44607</v>
      </c>
      <c r="F914" s="63" t="s">
        <v>81</v>
      </c>
    </row>
    <row r="915" spans="1:6" x14ac:dyDescent="0.45">
      <c r="A915" s="57">
        <v>2022</v>
      </c>
      <c r="B915" s="5" t="s">
        <v>59</v>
      </c>
      <c r="C915" s="5" t="s">
        <v>3</v>
      </c>
      <c r="D915" s="6">
        <v>10674</v>
      </c>
      <c r="E915" s="61">
        <v>45965</v>
      </c>
      <c r="F915" s="63" t="s">
        <v>81</v>
      </c>
    </row>
    <row r="916" spans="1:6" x14ac:dyDescent="0.45">
      <c r="A916" s="57">
        <v>2022</v>
      </c>
      <c r="B916" s="3" t="s">
        <v>59</v>
      </c>
      <c r="C916" s="3" t="s">
        <v>4</v>
      </c>
      <c r="D916" s="4">
        <v>5359</v>
      </c>
      <c r="E916" s="60">
        <v>42115</v>
      </c>
      <c r="F916" s="63" t="s">
        <v>82</v>
      </c>
    </row>
    <row r="917" spans="1:6" x14ac:dyDescent="0.45">
      <c r="A917" s="57">
        <v>2022</v>
      </c>
      <c r="B917" s="5" t="s">
        <v>59</v>
      </c>
      <c r="C917" s="5" t="s">
        <v>5</v>
      </c>
      <c r="D917" s="6">
        <v>97442</v>
      </c>
      <c r="E917" s="61">
        <v>48293</v>
      </c>
      <c r="F917" s="63" t="s">
        <v>82</v>
      </c>
    </row>
    <row r="918" spans="1:6" x14ac:dyDescent="0.45">
      <c r="A918" s="57">
        <v>2022</v>
      </c>
      <c r="B918" s="3" t="s">
        <v>59</v>
      </c>
      <c r="C918" s="3" t="s">
        <v>6</v>
      </c>
      <c r="D918" s="4">
        <v>17008</v>
      </c>
      <c r="E918" s="60">
        <v>48381</v>
      </c>
      <c r="F918" s="63" t="s">
        <v>82</v>
      </c>
    </row>
    <row r="919" spans="1:6" x14ac:dyDescent="0.45">
      <c r="A919" s="57">
        <v>2022</v>
      </c>
      <c r="B919" s="5" t="s">
        <v>59</v>
      </c>
      <c r="C919" s="5" t="s">
        <v>7</v>
      </c>
      <c r="D919" s="6">
        <v>18146</v>
      </c>
      <c r="E919" s="61">
        <v>40861</v>
      </c>
      <c r="F919" s="63" t="s">
        <v>82</v>
      </c>
    </row>
    <row r="920" spans="1:6" x14ac:dyDescent="0.45">
      <c r="A920" s="57">
        <v>2022</v>
      </c>
      <c r="B920" s="3" t="s">
        <v>59</v>
      </c>
      <c r="C920" s="3" t="s">
        <v>8</v>
      </c>
      <c r="D920" s="4">
        <v>2052</v>
      </c>
      <c r="E920" s="60">
        <v>41636</v>
      </c>
      <c r="F920" s="63" t="s">
        <v>82</v>
      </c>
    </row>
    <row r="921" spans="1:6" x14ac:dyDescent="0.45">
      <c r="A921" s="57">
        <v>2022</v>
      </c>
      <c r="B921" s="5" t="s">
        <v>59</v>
      </c>
      <c r="C921" s="5" t="s">
        <v>9</v>
      </c>
      <c r="D921" s="6">
        <v>56765</v>
      </c>
      <c r="E921" s="61">
        <v>43969</v>
      </c>
      <c r="F921" s="63" t="s">
        <v>81</v>
      </c>
    </row>
    <row r="922" spans="1:6" x14ac:dyDescent="0.45">
      <c r="A922" s="57">
        <v>2022</v>
      </c>
      <c r="B922" s="3" t="s">
        <v>59</v>
      </c>
      <c r="C922" s="3" t="s">
        <v>10</v>
      </c>
      <c r="D922" s="4">
        <v>18227</v>
      </c>
      <c r="E922" s="60">
        <v>43971</v>
      </c>
      <c r="F922" s="63" t="s">
        <v>81</v>
      </c>
    </row>
    <row r="923" spans="1:6" x14ac:dyDescent="0.45">
      <c r="A923" s="57">
        <v>2022</v>
      </c>
      <c r="B923" s="5" t="s">
        <v>59</v>
      </c>
      <c r="C923" s="5" t="s">
        <v>11</v>
      </c>
      <c r="D923" s="6">
        <v>3845</v>
      </c>
      <c r="E923" s="61">
        <v>38615</v>
      </c>
      <c r="F923" s="63" t="s">
        <v>82</v>
      </c>
    </row>
    <row r="924" spans="1:6" x14ac:dyDescent="0.45">
      <c r="A924" s="57">
        <v>2022</v>
      </c>
      <c r="B924" s="3" t="s">
        <v>59</v>
      </c>
      <c r="C924" s="3" t="s">
        <v>12</v>
      </c>
      <c r="D924" s="4">
        <v>39884</v>
      </c>
      <c r="E924" s="60">
        <v>49714</v>
      </c>
      <c r="F924" s="63" t="s">
        <v>81</v>
      </c>
    </row>
    <row r="925" spans="1:6" x14ac:dyDescent="0.45">
      <c r="A925" s="57">
        <v>2022</v>
      </c>
      <c r="B925" s="5" t="s">
        <v>59</v>
      </c>
      <c r="C925" s="5" t="s">
        <v>13</v>
      </c>
      <c r="D925" s="6">
        <v>12916</v>
      </c>
      <c r="E925" s="61">
        <v>39759</v>
      </c>
      <c r="F925" s="63" t="s">
        <v>81</v>
      </c>
    </row>
    <row r="926" spans="1:6" x14ac:dyDescent="0.45">
      <c r="A926" s="57">
        <v>2022</v>
      </c>
      <c r="B926" s="3" t="s">
        <v>59</v>
      </c>
      <c r="C926" s="3" t="s">
        <v>14</v>
      </c>
      <c r="D926" s="4">
        <v>8547</v>
      </c>
      <c r="E926" s="60">
        <v>42534</v>
      </c>
      <c r="F926" s="63" t="s">
        <v>82</v>
      </c>
    </row>
    <row r="927" spans="1:6" x14ac:dyDescent="0.45">
      <c r="A927" s="57">
        <v>2022</v>
      </c>
      <c r="B927" s="5" t="s">
        <v>59</v>
      </c>
      <c r="C927" s="5" t="s">
        <v>15</v>
      </c>
      <c r="D927" s="6">
        <v>5938</v>
      </c>
      <c r="E927" s="61">
        <v>41624</v>
      </c>
      <c r="F927" s="63" t="s">
        <v>82</v>
      </c>
    </row>
    <row r="928" spans="1:6" x14ac:dyDescent="0.45">
      <c r="A928" s="57">
        <v>2022</v>
      </c>
      <c r="B928" s="3" t="s">
        <v>59</v>
      </c>
      <c r="C928" s="3" t="s">
        <v>16</v>
      </c>
      <c r="D928" s="4">
        <v>10404</v>
      </c>
      <c r="E928" s="60">
        <v>40846</v>
      </c>
      <c r="F928" s="63" t="s">
        <v>81</v>
      </c>
    </row>
    <row r="929" spans="1:6" x14ac:dyDescent="0.45">
      <c r="A929" s="58">
        <v>2021</v>
      </c>
      <c r="B929" s="5" t="s">
        <v>59</v>
      </c>
      <c r="C929" s="5" t="s">
        <v>17</v>
      </c>
      <c r="D929" s="6">
        <v>9280</v>
      </c>
      <c r="E929" s="61">
        <v>44963</v>
      </c>
      <c r="F929" s="63" t="s">
        <v>81</v>
      </c>
    </row>
    <row r="930" spans="1:6" x14ac:dyDescent="0.45">
      <c r="A930" s="57">
        <v>2021</v>
      </c>
      <c r="B930" s="3" t="s">
        <v>59</v>
      </c>
      <c r="C930" s="3" t="s">
        <v>18</v>
      </c>
      <c r="D930" s="4">
        <v>3777</v>
      </c>
      <c r="E930" s="60">
        <v>41322</v>
      </c>
      <c r="F930" s="63" t="s">
        <v>82</v>
      </c>
    </row>
    <row r="931" spans="1:6" x14ac:dyDescent="0.45">
      <c r="A931" s="58">
        <v>2021</v>
      </c>
      <c r="B931" s="5" t="s">
        <v>59</v>
      </c>
      <c r="C931" s="5" t="s">
        <v>19</v>
      </c>
      <c r="D931" s="6">
        <v>19358</v>
      </c>
      <c r="E931" s="61">
        <v>50150</v>
      </c>
      <c r="F931" s="63" t="s">
        <v>81</v>
      </c>
    </row>
    <row r="932" spans="1:6" x14ac:dyDescent="0.45">
      <c r="A932" s="57">
        <v>2021</v>
      </c>
      <c r="B932" s="3" t="s">
        <v>59</v>
      </c>
      <c r="C932" s="3" t="s">
        <v>20</v>
      </c>
      <c r="D932" s="4">
        <v>22046</v>
      </c>
      <c r="E932" s="60">
        <v>46421</v>
      </c>
      <c r="F932" s="63" t="s">
        <v>82</v>
      </c>
    </row>
    <row r="933" spans="1:6" x14ac:dyDescent="0.45">
      <c r="A933" s="58">
        <v>2021</v>
      </c>
      <c r="B933" s="5" t="s">
        <v>59</v>
      </c>
      <c r="C933" s="5" t="s">
        <v>21</v>
      </c>
      <c r="D933" s="6">
        <v>32480</v>
      </c>
      <c r="E933" s="61">
        <v>40330</v>
      </c>
      <c r="F933" s="63" t="s">
        <v>81</v>
      </c>
    </row>
    <row r="934" spans="1:6" x14ac:dyDescent="0.45">
      <c r="A934" s="57">
        <v>2021</v>
      </c>
      <c r="B934" s="3" t="s">
        <v>59</v>
      </c>
      <c r="C934" s="3" t="s">
        <v>22</v>
      </c>
      <c r="D934" s="4">
        <v>17266</v>
      </c>
      <c r="E934" s="60">
        <v>41478</v>
      </c>
      <c r="F934" s="63" t="s">
        <v>81</v>
      </c>
    </row>
    <row r="935" spans="1:6" x14ac:dyDescent="0.45">
      <c r="A935" s="58">
        <v>2021</v>
      </c>
      <c r="B935" s="5" t="s">
        <v>59</v>
      </c>
      <c r="C935" s="5" t="s">
        <v>23</v>
      </c>
      <c r="D935" s="6">
        <v>4589</v>
      </c>
      <c r="E935" s="61">
        <v>42243</v>
      </c>
      <c r="F935" s="63" t="s">
        <v>82</v>
      </c>
    </row>
    <row r="936" spans="1:6" x14ac:dyDescent="0.45">
      <c r="A936" s="57">
        <v>2021</v>
      </c>
      <c r="B936" s="3" t="s">
        <v>59</v>
      </c>
      <c r="C936" s="3" t="s">
        <v>24</v>
      </c>
      <c r="D936" s="4">
        <v>13240</v>
      </c>
      <c r="E936" s="60">
        <v>41224</v>
      </c>
      <c r="F936" s="63" t="s">
        <v>82</v>
      </c>
    </row>
    <row r="937" spans="1:6" x14ac:dyDescent="0.45">
      <c r="A937" s="58">
        <v>2021</v>
      </c>
      <c r="B937" s="5" t="s">
        <v>59</v>
      </c>
      <c r="C937" s="5" t="s">
        <v>25</v>
      </c>
      <c r="D937" s="6">
        <v>4153</v>
      </c>
      <c r="E937" s="61">
        <v>37791</v>
      </c>
      <c r="F937" s="63" t="s">
        <v>81</v>
      </c>
    </row>
    <row r="938" spans="1:6" x14ac:dyDescent="0.45">
      <c r="A938" s="57">
        <v>2021</v>
      </c>
      <c r="B938" s="3" t="s">
        <v>59</v>
      </c>
      <c r="C938" s="3" t="s">
        <v>26</v>
      </c>
      <c r="D938" s="4">
        <v>4572</v>
      </c>
      <c r="E938" s="60">
        <v>39587</v>
      </c>
      <c r="F938" s="63" t="s">
        <v>81</v>
      </c>
    </row>
    <row r="939" spans="1:6" x14ac:dyDescent="0.45">
      <c r="A939" s="58">
        <v>2021</v>
      </c>
      <c r="B939" s="5" t="s">
        <v>59</v>
      </c>
      <c r="C939" s="5" t="s">
        <v>27</v>
      </c>
      <c r="D939" s="6">
        <v>5140</v>
      </c>
      <c r="E939" s="61">
        <v>44479</v>
      </c>
      <c r="F939" s="63" t="s">
        <v>82</v>
      </c>
    </row>
    <row r="940" spans="1:6" x14ac:dyDescent="0.45">
      <c r="A940" s="57">
        <v>2021</v>
      </c>
      <c r="B940" s="3" t="s">
        <v>59</v>
      </c>
      <c r="C940" s="3" t="s">
        <v>28</v>
      </c>
      <c r="D940" s="4">
        <v>4011</v>
      </c>
      <c r="E940" s="60">
        <v>45236</v>
      </c>
      <c r="F940" s="63" t="s">
        <v>82</v>
      </c>
    </row>
    <row r="941" spans="1:6" x14ac:dyDescent="0.45">
      <c r="A941" s="58">
        <v>2021</v>
      </c>
      <c r="B941" s="5" t="s">
        <v>59</v>
      </c>
      <c r="C941" s="5" t="s">
        <v>29</v>
      </c>
      <c r="D941" s="6">
        <v>24469</v>
      </c>
      <c r="E941" s="61">
        <v>43373</v>
      </c>
      <c r="F941" s="63" t="s">
        <v>82</v>
      </c>
    </row>
    <row r="942" spans="1:6" x14ac:dyDescent="0.45">
      <c r="A942" s="57">
        <v>2021</v>
      </c>
      <c r="B942" s="3" t="s">
        <v>59</v>
      </c>
      <c r="C942" s="3" t="s">
        <v>30</v>
      </c>
      <c r="D942" s="4">
        <v>4216</v>
      </c>
      <c r="E942" s="60">
        <v>41417</v>
      </c>
      <c r="F942" s="63" t="s">
        <v>82</v>
      </c>
    </row>
    <row r="943" spans="1:6" x14ac:dyDescent="0.45">
      <c r="A943" s="58">
        <v>2021</v>
      </c>
      <c r="B943" s="5" t="s">
        <v>59</v>
      </c>
      <c r="C943" s="5" t="s">
        <v>31</v>
      </c>
      <c r="D943" s="6">
        <v>72430</v>
      </c>
      <c r="E943" s="61">
        <v>49410</v>
      </c>
      <c r="F943" s="63" t="s">
        <v>82</v>
      </c>
    </row>
    <row r="944" spans="1:6" x14ac:dyDescent="0.45">
      <c r="A944" s="57">
        <v>2021</v>
      </c>
      <c r="B944" s="3" t="s">
        <v>59</v>
      </c>
      <c r="C944" s="3" t="s">
        <v>32</v>
      </c>
      <c r="D944" s="4">
        <v>24457</v>
      </c>
      <c r="E944" s="60">
        <v>42624</v>
      </c>
      <c r="F944" s="63" t="s">
        <v>81</v>
      </c>
    </row>
    <row r="945" spans="1:6" x14ac:dyDescent="0.45">
      <c r="A945" s="58">
        <v>2021</v>
      </c>
      <c r="B945" s="5" t="s">
        <v>59</v>
      </c>
      <c r="C945" s="5" t="s">
        <v>33</v>
      </c>
      <c r="D945" s="6">
        <v>2047</v>
      </c>
      <c r="E945" s="61">
        <v>44696</v>
      </c>
      <c r="F945" s="63" t="s">
        <v>81</v>
      </c>
    </row>
    <row r="946" spans="1:6" x14ac:dyDescent="0.45">
      <c r="A946" s="57">
        <v>2021</v>
      </c>
      <c r="B946" s="3" t="s">
        <v>59</v>
      </c>
      <c r="C946" s="3" t="s">
        <v>34</v>
      </c>
      <c r="D946" s="4">
        <v>23639</v>
      </c>
      <c r="E946" s="60">
        <v>41006</v>
      </c>
      <c r="F946" s="63" t="s">
        <v>82</v>
      </c>
    </row>
    <row r="947" spans="1:6" x14ac:dyDescent="0.45">
      <c r="A947" s="58">
        <v>2021</v>
      </c>
      <c r="B947" s="5" t="s">
        <v>59</v>
      </c>
      <c r="C947" s="5" t="s">
        <v>35</v>
      </c>
      <c r="D947" s="6">
        <v>6589</v>
      </c>
      <c r="E947" s="61">
        <v>42151</v>
      </c>
      <c r="F947" s="63" t="s">
        <v>81</v>
      </c>
    </row>
    <row r="948" spans="1:6" x14ac:dyDescent="0.45">
      <c r="A948" s="57">
        <v>2021</v>
      </c>
      <c r="B948" s="3" t="s">
        <v>59</v>
      </c>
      <c r="C948" s="3" t="s">
        <v>36</v>
      </c>
      <c r="D948" s="4">
        <v>25468</v>
      </c>
      <c r="E948" s="60">
        <v>41467</v>
      </c>
      <c r="F948" s="63" t="s">
        <v>81</v>
      </c>
    </row>
    <row r="949" spans="1:6" x14ac:dyDescent="0.45">
      <c r="A949" s="58">
        <v>2021</v>
      </c>
      <c r="B949" s="5" t="s">
        <v>59</v>
      </c>
      <c r="C949" s="5" t="s">
        <v>37</v>
      </c>
      <c r="D949" s="6">
        <v>33082</v>
      </c>
      <c r="E949" s="61">
        <v>41131</v>
      </c>
      <c r="F949" s="63" t="s">
        <v>82</v>
      </c>
    </row>
    <row r="950" spans="1:6" x14ac:dyDescent="0.45">
      <c r="A950" s="57">
        <v>2021</v>
      </c>
      <c r="B950" s="3" t="s">
        <v>59</v>
      </c>
      <c r="C950" s="3" t="s">
        <v>38</v>
      </c>
      <c r="D950" s="4">
        <v>3537</v>
      </c>
      <c r="E950" s="60">
        <v>40466</v>
      </c>
      <c r="F950" s="63" t="s">
        <v>82</v>
      </c>
    </row>
    <row r="951" spans="1:6" x14ac:dyDescent="0.45">
      <c r="A951" s="58">
        <v>2021</v>
      </c>
      <c r="B951" s="5" t="s">
        <v>59</v>
      </c>
      <c r="C951" s="5" t="s">
        <v>39</v>
      </c>
      <c r="D951" s="6">
        <v>12142</v>
      </c>
      <c r="E951" s="61">
        <v>40386</v>
      </c>
      <c r="F951" s="63" t="s">
        <v>81</v>
      </c>
    </row>
    <row r="952" spans="1:6" x14ac:dyDescent="0.45">
      <c r="A952" s="57">
        <v>2021</v>
      </c>
      <c r="B952" s="3" t="s">
        <v>59</v>
      </c>
      <c r="C952" s="3" t="s">
        <v>40</v>
      </c>
      <c r="D952" s="4">
        <v>2223</v>
      </c>
      <c r="E952" s="60">
        <v>40233</v>
      </c>
      <c r="F952" s="63" t="s">
        <v>81</v>
      </c>
    </row>
    <row r="953" spans="1:6" x14ac:dyDescent="0.45">
      <c r="A953" s="58">
        <v>2021</v>
      </c>
      <c r="B953" s="5" t="s">
        <v>59</v>
      </c>
      <c r="C953" s="5" t="s">
        <v>41</v>
      </c>
      <c r="D953" s="6">
        <v>15931</v>
      </c>
      <c r="E953" s="61">
        <v>42227</v>
      </c>
      <c r="F953" s="63" t="s">
        <v>82</v>
      </c>
    </row>
    <row r="954" spans="1:6" x14ac:dyDescent="0.45">
      <c r="A954" s="57">
        <v>2021</v>
      </c>
      <c r="B954" s="3" t="s">
        <v>59</v>
      </c>
      <c r="C954" s="3" t="s">
        <v>42</v>
      </c>
      <c r="D954" s="4">
        <v>57504</v>
      </c>
      <c r="E954" s="60">
        <v>47110</v>
      </c>
      <c r="F954" s="63" t="s">
        <v>81</v>
      </c>
    </row>
    <row r="955" spans="1:6" x14ac:dyDescent="0.45">
      <c r="A955" s="58">
        <v>2021</v>
      </c>
      <c r="B955" s="5" t="s">
        <v>59</v>
      </c>
      <c r="C955" s="5" t="s">
        <v>43</v>
      </c>
      <c r="D955" s="6">
        <v>6492</v>
      </c>
      <c r="E955" s="61">
        <v>43389</v>
      </c>
      <c r="F955" s="63" t="s">
        <v>82</v>
      </c>
    </row>
    <row r="956" spans="1:6" x14ac:dyDescent="0.45">
      <c r="A956" s="57">
        <v>2021</v>
      </c>
      <c r="B956" s="3" t="s">
        <v>59</v>
      </c>
      <c r="C956" s="3" t="s">
        <v>44</v>
      </c>
      <c r="D956" s="4">
        <v>1990</v>
      </c>
      <c r="E956" s="60">
        <v>43394</v>
      </c>
      <c r="F956" s="63" t="s">
        <v>81</v>
      </c>
    </row>
    <row r="957" spans="1:6" x14ac:dyDescent="0.45">
      <c r="A957" s="58">
        <v>2021</v>
      </c>
      <c r="B957" s="5" t="s">
        <v>59</v>
      </c>
      <c r="C957" s="5" t="s">
        <v>45</v>
      </c>
      <c r="D957" s="6">
        <v>29777</v>
      </c>
      <c r="E957" s="61">
        <v>51136</v>
      </c>
      <c r="F957" s="63" t="s">
        <v>81</v>
      </c>
    </row>
    <row r="958" spans="1:6" x14ac:dyDescent="0.45">
      <c r="A958" s="57">
        <v>2021</v>
      </c>
      <c r="B958" s="3" t="s">
        <v>59</v>
      </c>
      <c r="C958" s="3" t="s">
        <v>46</v>
      </c>
      <c r="D958" s="4">
        <v>19915</v>
      </c>
      <c r="E958" s="60">
        <v>48585</v>
      </c>
      <c r="F958" s="63" t="s">
        <v>82</v>
      </c>
    </row>
    <row r="959" spans="1:6" x14ac:dyDescent="0.45">
      <c r="A959" s="58">
        <v>2021</v>
      </c>
      <c r="B959" s="5" t="s">
        <v>59</v>
      </c>
      <c r="C959" s="5" t="s">
        <v>47</v>
      </c>
      <c r="D959" s="6">
        <v>5797</v>
      </c>
      <c r="E959" s="61">
        <v>38080</v>
      </c>
      <c r="F959" s="63" t="s">
        <v>82</v>
      </c>
    </row>
    <row r="960" spans="1:6" x14ac:dyDescent="0.45">
      <c r="A960" s="57">
        <v>2021</v>
      </c>
      <c r="B960" s="3" t="s">
        <v>59</v>
      </c>
      <c r="C960" s="3" t="s">
        <v>48</v>
      </c>
      <c r="D960" s="4">
        <v>13757</v>
      </c>
      <c r="E960" s="60">
        <v>37908</v>
      </c>
      <c r="F960" s="63" t="s">
        <v>81</v>
      </c>
    </row>
    <row r="961" spans="1:6" x14ac:dyDescent="0.45">
      <c r="A961" s="58">
        <v>2021</v>
      </c>
      <c r="B961" s="5" t="s">
        <v>59</v>
      </c>
      <c r="C961" s="5" t="s">
        <v>49</v>
      </c>
      <c r="D961" s="6">
        <v>1655</v>
      </c>
      <c r="E961" s="61">
        <v>45255</v>
      </c>
      <c r="F961" s="63" t="s">
        <v>81</v>
      </c>
    </row>
    <row r="962" spans="1:6" x14ac:dyDescent="0.45">
      <c r="A962" s="57">
        <v>2020</v>
      </c>
      <c r="B962" s="3" t="s">
        <v>50</v>
      </c>
      <c r="C962" s="3" t="s">
        <v>2</v>
      </c>
      <c r="D962" s="4">
        <v>1843</v>
      </c>
      <c r="E962" s="60">
        <v>62388</v>
      </c>
      <c r="F962" s="63" t="s">
        <v>82</v>
      </c>
    </row>
    <row r="963" spans="1:6" x14ac:dyDescent="0.45">
      <c r="A963" s="58">
        <v>2020</v>
      </c>
      <c r="B963" s="5" t="s">
        <v>50</v>
      </c>
      <c r="C963" s="5" t="s">
        <v>3</v>
      </c>
      <c r="D963" s="6">
        <v>1328</v>
      </c>
      <c r="E963" s="61">
        <v>56854</v>
      </c>
      <c r="F963" s="63" t="s">
        <v>82</v>
      </c>
    </row>
    <row r="964" spans="1:6" x14ac:dyDescent="0.45">
      <c r="A964" s="57">
        <v>2020</v>
      </c>
      <c r="B964" s="3" t="s">
        <v>50</v>
      </c>
      <c r="C964" s="3" t="s">
        <v>4</v>
      </c>
      <c r="D964" s="4">
        <v>2525</v>
      </c>
      <c r="E964" s="60">
        <v>53616</v>
      </c>
      <c r="F964" s="63" t="s">
        <v>82</v>
      </c>
    </row>
    <row r="965" spans="1:6" x14ac:dyDescent="0.45">
      <c r="A965" s="58">
        <v>2020</v>
      </c>
      <c r="B965" s="5" t="s">
        <v>50</v>
      </c>
      <c r="C965" s="5" t="s">
        <v>5</v>
      </c>
      <c r="D965" s="6">
        <v>17605</v>
      </c>
      <c r="E965" s="61">
        <v>44595</v>
      </c>
      <c r="F965" s="63" t="s">
        <v>82</v>
      </c>
    </row>
    <row r="966" spans="1:6" x14ac:dyDescent="0.45">
      <c r="A966" s="57">
        <v>2020</v>
      </c>
      <c r="B966" s="3" t="s">
        <v>50</v>
      </c>
      <c r="C966" s="3" t="s">
        <v>6</v>
      </c>
      <c r="D966" s="4">
        <v>3256</v>
      </c>
      <c r="E966" s="60">
        <v>94489</v>
      </c>
      <c r="F966" s="63" t="s">
        <v>82</v>
      </c>
    </row>
    <row r="967" spans="1:6" x14ac:dyDescent="0.45">
      <c r="A967" s="58">
        <v>2020</v>
      </c>
      <c r="B967" s="5" t="s">
        <v>50</v>
      </c>
      <c r="C967" s="5" t="s">
        <v>7</v>
      </c>
      <c r="D967" s="5">
        <v>441</v>
      </c>
      <c r="E967" s="61">
        <v>46054</v>
      </c>
      <c r="F967" s="63" t="s">
        <v>81</v>
      </c>
    </row>
    <row r="968" spans="1:6" x14ac:dyDescent="0.45">
      <c r="A968" s="57">
        <v>2020</v>
      </c>
      <c r="B968" s="3" t="s">
        <v>50</v>
      </c>
      <c r="C968" s="3" t="s">
        <v>8</v>
      </c>
      <c r="D968" s="3">
        <v>177</v>
      </c>
      <c r="E968" s="60">
        <v>45987</v>
      </c>
      <c r="F968" s="63" t="s">
        <v>81</v>
      </c>
    </row>
    <row r="969" spans="1:6" x14ac:dyDescent="0.45">
      <c r="A969" s="58">
        <v>2020</v>
      </c>
      <c r="B969" s="5" t="s">
        <v>50</v>
      </c>
      <c r="C969" s="5" t="s">
        <v>9</v>
      </c>
      <c r="D969" s="6">
        <v>5289</v>
      </c>
      <c r="E969" s="61">
        <v>40681</v>
      </c>
      <c r="F969" s="63" t="s">
        <v>82</v>
      </c>
    </row>
    <row r="970" spans="1:6" x14ac:dyDescent="0.45">
      <c r="A970" s="57">
        <v>2020</v>
      </c>
      <c r="B970" s="3" t="s">
        <v>50</v>
      </c>
      <c r="C970" s="3" t="s">
        <v>10</v>
      </c>
      <c r="D970" s="4">
        <v>2630</v>
      </c>
      <c r="E970" s="60">
        <v>48010</v>
      </c>
      <c r="F970" s="63" t="s">
        <v>81</v>
      </c>
    </row>
    <row r="971" spans="1:6" x14ac:dyDescent="0.45">
      <c r="A971" s="58">
        <v>2020</v>
      </c>
      <c r="B971" s="5" t="s">
        <v>50</v>
      </c>
      <c r="C971" s="5" t="s">
        <v>11</v>
      </c>
      <c r="D971" s="6">
        <v>2500</v>
      </c>
      <c r="E971" s="61">
        <v>45998</v>
      </c>
      <c r="F971" s="63" t="s">
        <v>81</v>
      </c>
    </row>
    <row r="972" spans="1:6" x14ac:dyDescent="0.45">
      <c r="A972" s="57">
        <v>2020</v>
      </c>
      <c r="B972" s="3" t="s">
        <v>50</v>
      </c>
      <c r="C972" s="3" t="s">
        <v>12</v>
      </c>
      <c r="D972" s="4">
        <v>2785</v>
      </c>
      <c r="E972" s="60">
        <v>56101</v>
      </c>
      <c r="F972" s="63" t="s">
        <v>82</v>
      </c>
    </row>
    <row r="973" spans="1:6" x14ac:dyDescent="0.45">
      <c r="A973" s="58">
        <v>2020</v>
      </c>
      <c r="B973" s="5" t="s">
        <v>50</v>
      </c>
      <c r="C973" s="5" t="s">
        <v>13</v>
      </c>
      <c r="D973" s="6">
        <v>2217</v>
      </c>
      <c r="E973" s="61">
        <v>54605</v>
      </c>
      <c r="F973" s="63" t="s">
        <v>82</v>
      </c>
    </row>
    <row r="974" spans="1:6" x14ac:dyDescent="0.45">
      <c r="A974" s="57">
        <v>2020</v>
      </c>
      <c r="B974" s="3" t="s">
        <v>50</v>
      </c>
      <c r="C974" s="3" t="s">
        <v>14</v>
      </c>
      <c r="D974" s="4">
        <v>2830</v>
      </c>
      <c r="E974" s="60">
        <v>48989</v>
      </c>
      <c r="F974" s="63" t="s">
        <v>81</v>
      </c>
    </row>
    <row r="975" spans="1:6" x14ac:dyDescent="0.45">
      <c r="A975" s="58">
        <v>2020</v>
      </c>
      <c r="B975" s="5" t="s">
        <v>50</v>
      </c>
      <c r="C975" s="5" t="s">
        <v>15</v>
      </c>
      <c r="D975" s="6">
        <v>2658</v>
      </c>
      <c r="E975" s="61">
        <v>53004</v>
      </c>
      <c r="F975" s="63" t="s">
        <v>81</v>
      </c>
    </row>
    <row r="976" spans="1:6" x14ac:dyDescent="0.45">
      <c r="A976" s="57">
        <v>2020</v>
      </c>
      <c r="B976" s="3" t="s">
        <v>50</v>
      </c>
      <c r="C976" s="3" t="s">
        <v>16</v>
      </c>
      <c r="D976" s="4">
        <v>1559</v>
      </c>
      <c r="E976" s="60">
        <v>62223</v>
      </c>
      <c r="F976" s="63" t="s">
        <v>82</v>
      </c>
    </row>
    <row r="977" spans="1:6" x14ac:dyDescent="0.45">
      <c r="A977" s="58">
        <v>2020</v>
      </c>
      <c r="B977" s="5" t="s">
        <v>50</v>
      </c>
      <c r="C977" s="5" t="s">
        <v>17</v>
      </c>
      <c r="D977" s="6">
        <v>3089</v>
      </c>
      <c r="E977" s="61">
        <v>90277</v>
      </c>
      <c r="F977" s="63" t="s">
        <v>81</v>
      </c>
    </row>
    <row r="978" spans="1:6" x14ac:dyDescent="0.45">
      <c r="A978" s="57">
        <v>2020</v>
      </c>
      <c r="B978" s="3" t="s">
        <v>50</v>
      </c>
      <c r="C978" s="3" t="s">
        <v>18</v>
      </c>
      <c r="D978" s="4">
        <v>1372</v>
      </c>
      <c r="E978" s="60">
        <v>47187</v>
      </c>
      <c r="F978" s="63" t="s">
        <v>82</v>
      </c>
    </row>
    <row r="979" spans="1:6" x14ac:dyDescent="0.45">
      <c r="A979" s="58">
        <v>2020</v>
      </c>
      <c r="B979" s="5" t="s">
        <v>50</v>
      </c>
      <c r="C979" s="5" t="s">
        <v>19</v>
      </c>
      <c r="D979" s="5">
        <v>723</v>
      </c>
      <c r="E979" s="61">
        <v>49100</v>
      </c>
      <c r="F979" s="63" t="s">
        <v>81</v>
      </c>
    </row>
    <row r="980" spans="1:6" x14ac:dyDescent="0.45">
      <c r="A980" s="57">
        <v>2020</v>
      </c>
      <c r="B980" s="3" t="s">
        <v>50</v>
      </c>
      <c r="C980" s="3" t="s">
        <v>20</v>
      </c>
      <c r="D980" s="3">
        <v>985</v>
      </c>
      <c r="E980" s="60">
        <v>67244</v>
      </c>
      <c r="F980" s="63" t="s">
        <v>81</v>
      </c>
    </row>
    <row r="981" spans="1:6" x14ac:dyDescent="0.45">
      <c r="A981" s="58">
        <v>2020</v>
      </c>
      <c r="B981" s="5" t="s">
        <v>50</v>
      </c>
      <c r="C981" s="5" t="s">
        <v>21</v>
      </c>
      <c r="D981" s="6">
        <v>3282</v>
      </c>
      <c r="E981" s="61">
        <v>46516</v>
      </c>
      <c r="F981" s="63" t="s">
        <v>82</v>
      </c>
    </row>
    <row r="982" spans="1:6" x14ac:dyDescent="0.45">
      <c r="A982" s="57">
        <v>2020</v>
      </c>
      <c r="B982" s="3" t="s">
        <v>50</v>
      </c>
      <c r="C982" s="3" t="s">
        <v>22</v>
      </c>
      <c r="D982" s="4">
        <v>3071</v>
      </c>
      <c r="E982" s="60">
        <v>56521</v>
      </c>
      <c r="F982" s="63" t="s">
        <v>82</v>
      </c>
    </row>
    <row r="983" spans="1:6" x14ac:dyDescent="0.45">
      <c r="A983" s="58">
        <v>2020</v>
      </c>
      <c r="B983" s="5" t="s">
        <v>50</v>
      </c>
      <c r="C983" s="5" t="s">
        <v>23</v>
      </c>
      <c r="D983" s="6">
        <v>2153</v>
      </c>
      <c r="E983" s="61">
        <v>53028</v>
      </c>
      <c r="F983" s="63" t="s">
        <v>81</v>
      </c>
    </row>
    <row r="984" spans="1:6" x14ac:dyDescent="0.45">
      <c r="A984" s="57">
        <v>2020</v>
      </c>
      <c r="B984" s="3" t="s">
        <v>50</v>
      </c>
      <c r="C984" s="3" t="s">
        <v>24</v>
      </c>
      <c r="D984" s="4">
        <v>1935</v>
      </c>
      <c r="E984" s="60">
        <v>49331</v>
      </c>
      <c r="F984" s="63" t="s">
        <v>81</v>
      </c>
    </row>
    <row r="985" spans="1:6" x14ac:dyDescent="0.45">
      <c r="A985" s="58">
        <v>2020</v>
      </c>
      <c r="B985" s="5" t="s">
        <v>50</v>
      </c>
      <c r="C985" s="5" t="s">
        <v>25</v>
      </c>
      <c r="D985" s="6">
        <v>1771</v>
      </c>
      <c r="E985" s="61">
        <v>73090</v>
      </c>
      <c r="F985" s="63" t="s">
        <v>82</v>
      </c>
    </row>
    <row r="986" spans="1:6" x14ac:dyDescent="0.45">
      <c r="A986" s="57">
        <v>2020</v>
      </c>
      <c r="B986" s="3" t="s">
        <v>50</v>
      </c>
      <c r="C986" s="3" t="s">
        <v>26</v>
      </c>
      <c r="D986" s="4">
        <v>2378</v>
      </c>
      <c r="E986" s="60">
        <v>47084</v>
      </c>
      <c r="F986" s="63" t="s">
        <v>82</v>
      </c>
    </row>
    <row r="987" spans="1:6" x14ac:dyDescent="0.45">
      <c r="A987" s="58">
        <v>2020</v>
      </c>
      <c r="B987" s="5" t="s">
        <v>50</v>
      </c>
      <c r="C987" s="5" t="s">
        <v>27</v>
      </c>
      <c r="D987" s="5">
        <v>641</v>
      </c>
      <c r="E987" s="61">
        <v>88872</v>
      </c>
      <c r="F987" s="63" t="s">
        <v>82</v>
      </c>
    </row>
    <row r="988" spans="1:6" x14ac:dyDescent="0.45">
      <c r="A988" s="57">
        <v>2020</v>
      </c>
      <c r="B988" s="3" t="s">
        <v>50</v>
      </c>
      <c r="C988" s="3" t="s">
        <v>28</v>
      </c>
      <c r="D988" s="3">
        <v>344</v>
      </c>
      <c r="E988" s="60">
        <v>48081</v>
      </c>
      <c r="F988" s="63" t="s">
        <v>82</v>
      </c>
    </row>
    <row r="989" spans="1:6" x14ac:dyDescent="0.45">
      <c r="A989" s="58">
        <v>2020</v>
      </c>
      <c r="B989" s="5" t="s">
        <v>50</v>
      </c>
      <c r="C989" s="5" t="s">
        <v>29</v>
      </c>
      <c r="D989" s="6">
        <v>1003</v>
      </c>
      <c r="E989" s="61">
        <v>45981</v>
      </c>
      <c r="F989" s="63" t="s">
        <v>82</v>
      </c>
    </row>
    <row r="990" spans="1:6" x14ac:dyDescent="0.45">
      <c r="A990" s="57">
        <v>2020</v>
      </c>
      <c r="B990" s="3" t="s">
        <v>50</v>
      </c>
      <c r="C990" s="3" t="s">
        <v>30</v>
      </c>
      <c r="D990" s="4">
        <v>2007</v>
      </c>
      <c r="E990" s="60">
        <v>70393</v>
      </c>
      <c r="F990" s="63" t="s">
        <v>81</v>
      </c>
    </row>
    <row r="991" spans="1:6" x14ac:dyDescent="0.45">
      <c r="A991" s="58">
        <v>2020</v>
      </c>
      <c r="B991" s="5" t="s">
        <v>50</v>
      </c>
      <c r="C991" s="5" t="s">
        <v>31</v>
      </c>
      <c r="D991" s="6">
        <v>3062</v>
      </c>
      <c r="E991" s="61">
        <v>47230</v>
      </c>
      <c r="F991" s="63" t="s">
        <v>81</v>
      </c>
    </row>
    <row r="992" spans="1:6" x14ac:dyDescent="0.45">
      <c r="A992" s="57">
        <v>2020</v>
      </c>
      <c r="B992" s="3" t="s">
        <v>50</v>
      </c>
      <c r="C992" s="3" t="s">
        <v>32</v>
      </c>
      <c r="D992" s="4">
        <v>3330</v>
      </c>
      <c r="E992" s="60">
        <v>45062</v>
      </c>
      <c r="F992" s="63" t="s">
        <v>82</v>
      </c>
    </row>
    <row r="993" spans="1:6" x14ac:dyDescent="0.45">
      <c r="A993" s="58">
        <v>2020</v>
      </c>
      <c r="B993" s="5" t="s">
        <v>50</v>
      </c>
      <c r="C993" s="5" t="s">
        <v>33</v>
      </c>
      <c r="D993" s="6">
        <v>1766</v>
      </c>
      <c r="E993" s="61">
        <v>101073</v>
      </c>
      <c r="F993" s="63" t="s">
        <v>81</v>
      </c>
    </row>
    <row r="994" spans="1:6" x14ac:dyDescent="0.45">
      <c r="A994" s="57">
        <v>2020</v>
      </c>
      <c r="B994" s="3" t="s">
        <v>50</v>
      </c>
      <c r="C994" s="3" t="s">
        <v>34</v>
      </c>
      <c r="D994" s="4">
        <v>2470</v>
      </c>
      <c r="E994" s="60">
        <v>57145</v>
      </c>
      <c r="F994" s="63" t="s">
        <v>81</v>
      </c>
    </row>
    <row r="995" spans="1:6" x14ac:dyDescent="0.45">
      <c r="A995" s="58">
        <v>2020</v>
      </c>
      <c r="B995" s="5" t="s">
        <v>50</v>
      </c>
      <c r="C995" s="5" t="s">
        <v>35</v>
      </c>
      <c r="D995" s="6">
        <v>4348</v>
      </c>
      <c r="E995" s="61">
        <v>97135</v>
      </c>
      <c r="F995" s="63" t="s">
        <v>82</v>
      </c>
    </row>
    <row r="996" spans="1:6" x14ac:dyDescent="0.45">
      <c r="A996" s="57">
        <v>2020</v>
      </c>
      <c r="B996" s="3" t="s">
        <v>50</v>
      </c>
      <c r="C996" s="3" t="s">
        <v>36</v>
      </c>
      <c r="D996" s="4">
        <v>4560</v>
      </c>
      <c r="E996" s="60">
        <v>43495</v>
      </c>
      <c r="F996" s="63" t="s">
        <v>82</v>
      </c>
    </row>
    <row r="997" spans="1:6" x14ac:dyDescent="0.45">
      <c r="A997" s="58">
        <v>2020</v>
      </c>
      <c r="B997" s="5" t="s">
        <v>50</v>
      </c>
      <c r="C997" s="5" t="s">
        <v>37</v>
      </c>
      <c r="D997" s="6">
        <v>3585</v>
      </c>
      <c r="E997" s="61">
        <v>68951</v>
      </c>
      <c r="F997" s="63" t="s">
        <v>81</v>
      </c>
    </row>
    <row r="998" spans="1:6" x14ac:dyDescent="0.45">
      <c r="A998" s="57">
        <v>2020</v>
      </c>
      <c r="B998" s="3" t="s">
        <v>50</v>
      </c>
      <c r="C998" s="3" t="s">
        <v>38</v>
      </c>
      <c r="D998" s="3">
        <v>194</v>
      </c>
      <c r="E998" s="60">
        <v>45071</v>
      </c>
      <c r="F998" s="63" t="s">
        <v>81</v>
      </c>
    </row>
    <row r="999" spans="1:6" x14ac:dyDescent="0.45">
      <c r="A999" s="58">
        <v>2020</v>
      </c>
      <c r="B999" s="5" t="s">
        <v>50</v>
      </c>
      <c r="C999" s="5" t="s">
        <v>39</v>
      </c>
      <c r="D999" s="6">
        <v>1286</v>
      </c>
      <c r="E999" s="61">
        <v>46536</v>
      </c>
      <c r="F999" s="63" t="s">
        <v>82</v>
      </c>
    </row>
    <row r="1000" spans="1:6" x14ac:dyDescent="0.45">
      <c r="A1000" s="57">
        <v>2020</v>
      </c>
      <c r="B1000" s="3" t="s">
        <v>50</v>
      </c>
      <c r="C1000" s="3" t="s">
        <v>40</v>
      </c>
      <c r="D1000" s="4">
        <v>1047</v>
      </c>
      <c r="E1000" s="60">
        <v>48904</v>
      </c>
      <c r="F1000" s="63" t="s">
        <v>81</v>
      </c>
    </row>
    <row r="1001" spans="1:6" x14ac:dyDescent="0.45">
      <c r="A1001" s="58">
        <v>2020</v>
      </c>
      <c r="B1001" s="5" t="s">
        <v>50</v>
      </c>
      <c r="C1001" s="5" t="s">
        <v>41</v>
      </c>
      <c r="D1001" s="6">
        <v>1099</v>
      </c>
      <c r="E1001" s="61">
        <v>52634</v>
      </c>
      <c r="F1001" s="63" t="s">
        <v>82</v>
      </c>
    </row>
    <row r="1002" spans="1:6" x14ac:dyDescent="0.45">
      <c r="A1002" s="57">
        <v>2020</v>
      </c>
      <c r="B1002" s="3" t="s">
        <v>50</v>
      </c>
      <c r="C1002" s="3" t="s">
        <v>42</v>
      </c>
      <c r="D1002" s="4">
        <v>19761</v>
      </c>
      <c r="E1002" s="60">
        <v>115449</v>
      </c>
      <c r="F1002" s="63" t="s">
        <v>81</v>
      </c>
    </row>
    <row r="1003" spans="1:6" x14ac:dyDescent="0.45">
      <c r="A1003" s="58">
        <v>2020</v>
      </c>
      <c r="B1003" s="5" t="s">
        <v>50</v>
      </c>
      <c r="C1003" s="5" t="s">
        <v>43</v>
      </c>
      <c r="D1003" s="6">
        <v>1002</v>
      </c>
      <c r="E1003" s="61">
        <v>67171</v>
      </c>
      <c r="F1003" s="63" t="s">
        <v>81</v>
      </c>
    </row>
    <row r="1004" spans="1:6" x14ac:dyDescent="0.45">
      <c r="A1004" s="57">
        <v>2020</v>
      </c>
      <c r="B1004" s="3" t="s">
        <v>50</v>
      </c>
      <c r="C1004" s="3" t="s">
        <v>44</v>
      </c>
      <c r="D1004" s="3">
        <v>548</v>
      </c>
      <c r="E1004" s="60">
        <v>44605</v>
      </c>
      <c r="F1004" s="63" t="s">
        <v>82</v>
      </c>
    </row>
    <row r="1005" spans="1:6" x14ac:dyDescent="0.45">
      <c r="A1005" s="58">
        <v>2020</v>
      </c>
      <c r="B1005" s="5" t="s">
        <v>50</v>
      </c>
      <c r="C1005" s="5" t="s">
        <v>45</v>
      </c>
      <c r="D1005" s="6">
        <v>2101</v>
      </c>
      <c r="E1005" s="61">
        <v>53043</v>
      </c>
      <c r="F1005" s="63" t="s">
        <v>82</v>
      </c>
    </row>
    <row r="1006" spans="1:6" x14ac:dyDescent="0.45">
      <c r="A1006" s="57">
        <v>2020</v>
      </c>
      <c r="B1006" s="3" t="s">
        <v>50</v>
      </c>
      <c r="C1006" s="3" t="s">
        <v>46</v>
      </c>
      <c r="D1006" s="4">
        <v>7317</v>
      </c>
      <c r="E1006" s="60">
        <v>39346</v>
      </c>
      <c r="F1006" s="63" t="s">
        <v>81</v>
      </c>
    </row>
    <row r="1007" spans="1:6" x14ac:dyDescent="0.45">
      <c r="A1007" s="58">
        <v>2020</v>
      </c>
      <c r="B1007" s="5" t="s">
        <v>50</v>
      </c>
      <c r="C1007" s="5" t="s">
        <v>47</v>
      </c>
      <c r="D1007" s="6">
        <v>1199</v>
      </c>
      <c r="E1007" s="61">
        <v>86012</v>
      </c>
      <c r="F1007" s="63" t="s">
        <v>81</v>
      </c>
    </row>
    <row r="1008" spans="1:6" x14ac:dyDescent="0.45">
      <c r="A1008" s="57">
        <v>2020</v>
      </c>
      <c r="B1008" s="3" t="s">
        <v>50</v>
      </c>
      <c r="C1008" s="3" t="s">
        <v>48</v>
      </c>
      <c r="D1008" s="4">
        <v>2926</v>
      </c>
      <c r="E1008" s="60">
        <v>45437</v>
      </c>
      <c r="F1008" s="63" t="s">
        <v>82</v>
      </c>
    </row>
    <row r="1009" spans="1:6" x14ac:dyDescent="0.45">
      <c r="A1009" s="58">
        <v>2020</v>
      </c>
      <c r="B1009" s="5" t="s">
        <v>50</v>
      </c>
      <c r="C1009" s="5" t="s">
        <v>49</v>
      </c>
      <c r="D1009" s="6">
        <v>1438</v>
      </c>
      <c r="E1009" s="61">
        <v>89751</v>
      </c>
      <c r="F1009" s="63" t="s">
        <v>82</v>
      </c>
    </row>
    <row r="1010" spans="1:6" x14ac:dyDescent="0.45">
      <c r="A1010" s="57">
        <v>2020</v>
      </c>
      <c r="B1010" s="3" t="s">
        <v>51</v>
      </c>
      <c r="C1010" s="3" t="s">
        <v>2</v>
      </c>
      <c r="D1010" s="4">
        <v>9897</v>
      </c>
      <c r="E1010" s="60">
        <v>59957</v>
      </c>
      <c r="F1010" s="63" t="s">
        <v>82</v>
      </c>
    </row>
    <row r="1011" spans="1:6" x14ac:dyDescent="0.45">
      <c r="A1011" s="58">
        <v>2020</v>
      </c>
      <c r="B1011" s="5" t="s">
        <v>51</v>
      </c>
      <c r="C1011" s="5" t="s">
        <v>3</v>
      </c>
      <c r="D1011" s="6">
        <v>12867</v>
      </c>
      <c r="E1011" s="61">
        <v>61989</v>
      </c>
      <c r="F1011" s="63" t="s">
        <v>82</v>
      </c>
    </row>
    <row r="1012" spans="1:6" x14ac:dyDescent="0.45">
      <c r="A1012" s="57">
        <v>2020</v>
      </c>
      <c r="B1012" s="3" t="s">
        <v>51</v>
      </c>
      <c r="C1012" s="3" t="s">
        <v>4</v>
      </c>
      <c r="D1012" s="4">
        <v>6945</v>
      </c>
      <c r="E1012" s="60">
        <v>53988</v>
      </c>
      <c r="F1012" s="63" t="s">
        <v>82</v>
      </c>
    </row>
    <row r="1013" spans="1:6" x14ac:dyDescent="0.45">
      <c r="A1013" s="58">
        <v>2020</v>
      </c>
      <c r="B1013" s="5" t="s">
        <v>51</v>
      </c>
      <c r="C1013" s="5" t="s">
        <v>5</v>
      </c>
      <c r="D1013" s="6">
        <v>80657</v>
      </c>
      <c r="E1013" s="61">
        <v>76084</v>
      </c>
      <c r="F1013" s="63" t="s">
        <v>81</v>
      </c>
    </row>
    <row r="1014" spans="1:6" x14ac:dyDescent="0.45">
      <c r="A1014" s="57">
        <v>2020</v>
      </c>
      <c r="B1014" s="3" t="s">
        <v>51</v>
      </c>
      <c r="C1014" s="3" t="s">
        <v>6</v>
      </c>
      <c r="D1014" s="4">
        <v>19884</v>
      </c>
      <c r="E1014" s="60">
        <v>68414</v>
      </c>
      <c r="F1014" s="63" t="s">
        <v>81</v>
      </c>
    </row>
    <row r="1015" spans="1:6" x14ac:dyDescent="0.45">
      <c r="A1015" s="58">
        <v>2020</v>
      </c>
      <c r="B1015" s="5" t="s">
        <v>51</v>
      </c>
      <c r="C1015" s="5" t="s">
        <v>7</v>
      </c>
      <c r="D1015" s="6">
        <v>9399</v>
      </c>
      <c r="E1015" s="61">
        <v>75727</v>
      </c>
      <c r="F1015" s="63" t="s">
        <v>82</v>
      </c>
    </row>
    <row r="1016" spans="1:6" x14ac:dyDescent="0.45">
      <c r="A1016" s="57">
        <v>2020</v>
      </c>
      <c r="B1016" s="3" t="s">
        <v>51</v>
      </c>
      <c r="C1016" s="3" t="s">
        <v>8</v>
      </c>
      <c r="D1016" s="4">
        <v>2871</v>
      </c>
      <c r="E1016" s="60">
        <v>65797</v>
      </c>
      <c r="F1016" s="63" t="s">
        <v>81</v>
      </c>
    </row>
    <row r="1017" spans="1:6" x14ac:dyDescent="0.45">
      <c r="A1017" s="58">
        <v>2020</v>
      </c>
      <c r="B1017" s="5" t="s">
        <v>51</v>
      </c>
      <c r="C1017" s="5" t="s">
        <v>9</v>
      </c>
      <c r="D1017" s="6">
        <v>70819</v>
      </c>
      <c r="E1017" s="61">
        <v>57286</v>
      </c>
      <c r="F1017" s="63" t="s">
        <v>81</v>
      </c>
    </row>
    <row r="1018" spans="1:6" x14ac:dyDescent="0.45">
      <c r="A1018" s="57">
        <v>2020</v>
      </c>
      <c r="B1018" s="3" t="s">
        <v>51</v>
      </c>
      <c r="C1018" s="3" t="s">
        <v>10</v>
      </c>
      <c r="D1018" s="4">
        <v>20577</v>
      </c>
      <c r="E1018" s="60">
        <v>67018</v>
      </c>
      <c r="F1018" s="63" t="s">
        <v>82</v>
      </c>
    </row>
    <row r="1019" spans="1:6" x14ac:dyDescent="0.45">
      <c r="A1019" s="58">
        <v>2020</v>
      </c>
      <c r="B1019" s="5" t="s">
        <v>51</v>
      </c>
      <c r="C1019" s="5" t="s">
        <v>11</v>
      </c>
      <c r="D1019" s="6">
        <v>8174</v>
      </c>
      <c r="E1019" s="61">
        <v>50285</v>
      </c>
      <c r="F1019" s="63" t="s">
        <v>82</v>
      </c>
    </row>
    <row r="1020" spans="1:6" x14ac:dyDescent="0.45">
      <c r="A1020" s="57">
        <v>2020</v>
      </c>
      <c r="B1020" s="3" t="s">
        <v>51</v>
      </c>
      <c r="C1020" s="3" t="s">
        <v>12</v>
      </c>
      <c r="D1020" s="4">
        <v>32305</v>
      </c>
      <c r="E1020" s="60">
        <v>77957</v>
      </c>
      <c r="F1020" s="63" t="s">
        <v>81</v>
      </c>
    </row>
    <row r="1021" spans="1:6" x14ac:dyDescent="0.45">
      <c r="A1021" s="58">
        <v>2020</v>
      </c>
      <c r="B1021" s="5" t="s">
        <v>51</v>
      </c>
      <c r="C1021" s="5" t="s">
        <v>13</v>
      </c>
      <c r="D1021" s="6">
        <v>15176</v>
      </c>
      <c r="E1021" s="61">
        <v>64404</v>
      </c>
      <c r="F1021" s="63" t="s">
        <v>81</v>
      </c>
    </row>
    <row r="1022" spans="1:6" x14ac:dyDescent="0.45">
      <c r="A1022" s="57">
        <v>2020</v>
      </c>
      <c r="B1022" s="3" t="s">
        <v>51</v>
      </c>
      <c r="C1022" s="3" t="s">
        <v>14</v>
      </c>
      <c r="D1022" s="4">
        <v>9447</v>
      </c>
      <c r="E1022" s="60">
        <v>63435</v>
      </c>
      <c r="F1022" s="63" t="s">
        <v>82</v>
      </c>
    </row>
    <row r="1023" spans="1:6" x14ac:dyDescent="0.45">
      <c r="A1023" s="58">
        <v>2020</v>
      </c>
      <c r="B1023" s="5" t="s">
        <v>51</v>
      </c>
      <c r="C1023" s="5" t="s">
        <v>15</v>
      </c>
      <c r="D1023" s="6">
        <v>7555</v>
      </c>
      <c r="E1023" s="61">
        <v>60735</v>
      </c>
      <c r="F1023" s="63" t="s">
        <v>81</v>
      </c>
    </row>
    <row r="1024" spans="1:6" x14ac:dyDescent="0.45">
      <c r="A1024" s="57">
        <v>2020</v>
      </c>
      <c r="B1024" s="3" t="s">
        <v>51</v>
      </c>
      <c r="C1024" s="3" t="s">
        <v>16</v>
      </c>
      <c r="D1024" s="4">
        <v>9466</v>
      </c>
      <c r="E1024" s="60">
        <v>59957</v>
      </c>
      <c r="F1024" s="63" t="s">
        <v>82</v>
      </c>
    </row>
    <row r="1025" spans="1:6" x14ac:dyDescent="0.45">
      <c r="A1025" s="58">
        <v>2020</v>
      </c>
      <c r="B1025" s="5" t="s">
        <v>51</v>
      </c>
      <c r="C1025" s="5" t="s">
        <v>17</v>
      </c>
      <c r="D1025" s="6">
        <v>10844</v>
      </c>
      <c r="E1025" s="61">
        <v>69892</v>
      </c>
      <c r="F1025" s="63" t="s">
        <v>81</v>
      </c>
    </row>
    <row r="1026" spans="1:6" x14ac:dyDescent="0.45">
      <c r="A1026" s="57">
        <v>2020</v>
      </c>
      <c r="B1026" s="3" t="s">
        <v>51</v>
      </c>
      <c r="C1026" s="3" t="s">
        <v>18</v>
      </c>
      <c r="D1026" s="4">
        <v>5475</v>
      </c>
      <c r="E1026" s="60">
        <v>55575</v>
      </c>
      <c r="F1026" s="63" t="s">
        <v>81</v>
      </c>
    </row>
    <row r="1027" spans="1:6" x14ac:dyDescent="0.45">
      <c r="A1027" s="58">
        <v>2020</v>
      </c>
      <c r="B1027" s="5" t="s">
        <v>51</v>
      </c>
      <c r="C1027" s="5" t="s">
        <v>19</v>
      </c>
      <c r="D1027" s="6">
        <v>16487</v>
      </c>
      <c r="E1027" s="61">
        <v>71971</v>
      </c>
      <c r="F1027" s="63" t="s">
        <v>82</v>
      </c>
    </row>
    <row r="1028" spans="1:6" x14ac:dyDescent="0.45">
      <c r="A1028" s="57">
        <v>2020</v>
      </c>
      <c r="B1028" s="3" t="s">
        <v>51</v>
      </c>
      <c r="C1028" s="3" t="s">
        <v>20</v>
      </c>
      <c r="D1028" s="4">
        <v>21120</v>
      </c>
      <c r="E1028" s="60">
        <v>84802</v>
      </c>
      <c r="F1028" s="63" t="s">
        <v>82</v>
      </c>
    </row>
    <row r="1029" spans="1:6" x14ac:dyDescent="0.45">
      <c r="A1029" s="58">
        <v>2020</v>
      </c>
      <c r="B1029" s="5" t="s">
        <v>51</v>
      </c>
      <c r="C1029" s="5" t="s">
        <v>21</v>
      </c>
      <c r="D1029" s="6">
        <v>19952</v>
      </c>
      <c r="E1029" s="61">
        <v>68378</v>
      </c>
      <c r="F1029" s="63" t="s">
        <v>81</v>
      </c>
    </row>
    <row r="1030" spans="1:6" x14ac:dyDescent="0.45">
      <c r="A1030" s="57">
        <v>2020</v>
      </c>
      <c r="B1030" s="3" t="s">
        <v>51</v>
      </c>
      <c r="C1030" s="3" t="s">
        <v>22</v>
      </c>
      <c r="D1030" s="4">
        <v>16480</v>
      </c>
      <c r="E1030" s="60">
        <v>73248</v>
      </c>
      <c r="F1030" s="63" t="s">
        <v>81</v>
      </c>
    </row>
    <row r="1031" spans="1:6" x14ac:dyDescent="0.45">
      <c r="A1031" s="58">
        <v>2020</v>
      </c>
      <c r="B1031" s="5" t="s">
        <v>51</v>
      </c>
      <c r="C1031" s="5" t="s">
        <v>23</v>
      </c>
      <c r="D1031" s="6">
        <v>5760</v>
      </c>
      <c r="E1031" s="61">
        <v>56325</v>
      </c>
      <c r="F1031" s="63" t="s">
        <v>82</v>
      </c>
    </row>
    <row r="1032" spans="1:6" x14ac:dyDescent="0.45">
      <c r="A1032" s="57">
        <v>2020</v>
      </c>
      <c r="B1032" s="3" t="s">
        <v>51</v>
      </c>
      <c r="C1032" s="3" t="s">
        <v>24</v>
      </c>
      <c r="D1032" s="4">
        <v>14591</v>
      </c>
      <c r="E1032" s="60">
        <v>65442</v>
      </c>
      <c r="F1032" s="63" t="s">
        <v>82</v>
      </c>
    </row>
    <row r="1033" spans="1:6" x14ac:dyDescent="0.45">
      <c r="A1033" s="58">
        <v>2020</v>
      </c>
      <c r="B1033" s="5" t="s">
        <v>51</v>
      </c>
      <c r="C1033" s="5" t="s">
        <v>25</v>
      </c>
      <c r="D1033" s="6">
        <v>6514</v>
      </c>
      <c r="E1033" s="61">
        <v>58969</v>
      </c>
      <c r="F1033" s="63" t="s">
        <v>82</v>
      </c>
    </row>
    <row r="1034" spans="1:6" x14ac:dyDescent="0.45">
      <c r="A1034" s="57">
        <v>2020</v>
      </c>
      <c r="B1034" s="3" t="s">
        <v>51</v>
      </c>
      <c r="C1034" s="3" t="s">
        <v>26</v>
      </c>
      <c r="D1034" s="4">
        <v>7068</v>
      </c>
      <c r="E1034" s="60">
        <v>57657</v>
      </c>
      <c r="F1034" s="63" t="s">
        <v>82</v>
      </c>
    </row>
    <row r="1035" spans="1:6" x14ac:dyDescent="0.45">
      <c r="A1035" s="58">
        <v>2020</v>
      </c>
      <c r="B1035" s="5" t="s">
        <v>51</v>
      </c>
      <c r="C1035" s="5" t="s">
        <v>27</v>
      </c>
      <c r="D1035" s="6">
        <v>5898</v>
      </c>
      <c r="E1035" s="61">
        <v>67123</v>
      </c>
      <c r="F1035" s="63" t="s">
        <v>82</v>
      </c>
    </row>
    <row r="1036" spans="1:6" x14ac:dyDescent="0.45">
      <c r="A1036" s="57">
        <v>2020</v>
      </c>
      <c r="B1036" s="3" t="s">
        <v>51</v>
      </c>
      <c r="C1036" s="3" t="s">
        <v>28</v>
      </c>
      <c r="D1036" s="4">
        <v>4498</v>
      </c>
      <c r="E1036" s="60">
        <v>68661</v>
      </c>
      <c r="F1036" s="63" t="s">
        <v>81</v>
      </c>
    </row>
    <row r="1037" spans="1:6" x14ac:dyDescent="0.45">
      <c r="A1037" s="58">
        <v>2020</v>
      </c>
      <c r="B1037" s="5" t="s">
        <v>51</v>
      </c>
      <c r="C1037" s="5" t="s">
        <v>29</v>
      </c>
      <c r="D1037" s="6">
        <v>22416</v>
      </c>
      <c r="E1037" s="61">
        <v>78658</v>
      </c>
      <c r="F1037" s="63" t="s">
        <v>81</v>
      </c>
    </row>
    <row r="1038" spans="1:6" x14ac:dyDescent="0.45">
      <c r="A1038" s="57">
        <v>2020</v>
      </c>
      <c r="B1038" s="3" t="s">
        <v>51</v>
      </c>
      <c r="C1038" s="3" t="s">
        <v>30</v>
      </c>
      <c r="D1038" s="4">
        <v>5337</v>
      </c>
      <c r="E1038" s="60">
        <v>55350</v>
      </c>
      <c r="F1038" s="63" t="s">
        <v>82</v>
      </c>
    </row>
    <row r="1039" spans="1:6" x14ac:dyDescent="0.45">
      <c r="A1039" s="58">
        <v>2020</v>
      </c>
      <c r="B1039" s="5" t="s">
        <v>51</v>
      </c>
      <c r="C1039" s="5" t="s">
        <v>31</v>
      </c>
      <c r="D1039" s="6">
        <v>50281</v>
      </c>
      <c r="E1039" s="61">
        <v>79248</v>
      </c>
      <c r="F1039" s="63" t="s">
        <v>81</v>
      </c>
    </row>
    <row r="1040" spans="1:6" x14ac:dyDescent="0.45">
      <c r="A1040" s="57">
        <v>2020</v>
      </c>
      <c r="B1040" s="3" t="s">
        <v>51</v>
      </c>
      <c r="C1040" s="3" t="s">
        <v>32</v>
      </c>
      <c r="D1040" s="4">
        <v>26741</v>
      </c>
      <c r="E1040" s="60">
        <v>60587</v>
      </c>
      <c r="F1040" s="63" t="s">
        <v>81</v>
      </c>
    </row>
    <row r="1041" spans="1:6" x14ac:dyDescent="0.45">
      <c r="A1041" s="58">
        <v>2020</v>
      </c>
      <c r="B1041" s="5" t="s">
        <v>51</v>
      </c>
      <c r="C1041" s="5" t="s">
        <v>33</v>
      </c>
      <c r="D1041" s="6">
        <v>3798</v>
      </c>
      <c r="E1041" s="61">
        <v>70586</v>
      </c>
      <c r="F1041" s="63" t="s">
        <v>82</v>
      </c>
    </row>
    <row r="1042" spans="1:6" x14ac:dyDescent="0.45">
      <c r="A1042" s="57">
        <v>2020</v>
      </c>
      <c r="B1042" s="3" t="s">
        <v>51</v>
      </c>
      <c r="C1042" s="3" t="s">
        <v>34</v>
      </c>
      <c r="D1042" s="4">
        <v>23076</v>
      </c>
      <c r="E1042" s="60">
        <v>67194</v>
      </c>
      <c r="F1042" s="63" t="s">
        <v>82</v>
      </c>
    </row>
    <row r="1043" spans="1:6" x14ac:dyDescent="0.45">
      <c r="A1043" s="58">
        <v>2020</v>
      </c>
      <c r="B1043" s="5" t="s">
        <v>51</v>
      </c>
      <c r="C1043" s="5" t="s">
        <v>35</v>
      </c>
      <c r="D1043" s="6">
        <v>9765</v>
      </c>
      <c r="E1043" s="61">
        <v>58777</v>
      </c>
      <c r="F1043" s="63" t="s">
        <v>81</v>
      </c>
    </row>
    <row r="1044" spans="1:6" x14ac:dyDescent="0.45">
      <c r="A1044" s="57">
        <v>2020</v>
      </c>
      <c r="B1044" s="3" t="s">
        <v>51</v>
      </c>
      <c r="C1044" s="3" t="s">
        <v>36</v>
      </c>
      <c r="D1044" s="4">
        <v>14244</v>
      </c>
      <c r="E1044" s="60">
        <v>66523</v>
      </c>
      <c r="F1044" s="63" t="s">
        <v>81</v>
      </c>
    </row>
    <row r="1045" spans="1:6" x14ac:dyDescent="0.45">
      <c r="A1045" s="58">
        <v>2020</v>
      </c>
      <c r="B1045" s="5" t="s">
        <v>51</v>
      </c>
      <c r="C1045" s="5" t="s">
        <v>37</v>
      </c>
      <c r="D1045" s="6">
        <v>28749</v>
      </c>
      <c r="E1045" s="61">
        <v>72852</v>
      </c>
      <c r="F1045" s="63" t="s">
        <v>82</v>
      </c>
    </row>
    <row r="1046" spans="1:6" x14ac:dyDescent="0.45">
      <c r="A1046" s="57">
        <v>2020</v>
      </c>
      <c r="B1046" s="3" t="s">
        <v>51</v>
      </c>
      <c r="C1046" s="3" t="s">
        <v>38</v>
      </c>
      <c r="D1046" s="4">
        <v>3743</v>
      </c>
      <c r="E1046" s="60">
        <v>67579</v>
      </c>
      <c r="F1046" s="63" t="s">
        <v>81</v>
      </c>
    </row>
    <row r="1047" spans="1:6" x14ac:dyDescent="0.45">
      <c r="A1047" s="58">
        <v>2020</v>
      </c>
      <c r="B1047" s="5" t="s">
        <v>51</v>
      </c>
      <c r="C1047" s="5" t="s">
        <v>39</v>
      </c>
      <c r="D1047" s="6">
        <v>12124</v>
      </c>
      <c r="E1047" s="61">
        <v>58634</v>
      </c>
      <c r="F1047" s="63" t="s">
        <v>82</v>
      </c>
    </row>
    <row r="1048" spans="1:6" x14ac:dyDescent="0.45">
      <c r="A1048" s="57">
        <v>2020</v>
      </c>
      <c r="B1048" s="3" t="s">
        <v>51</v>
      </c>
      <c r="C1048" s="3" t="s">
        <v>40</v>
      </c>
      <c r="D1048" s="4">
        <v>3884</v>
      </c>
      <c r="E1048" s="60">
        <v>54981</v>
      </c>
      <c r="F1048" s="63" t="s">
        <v>81</v>
      </c>
    </row>
    <row r="1049" spans="1:6" x14ac:dyDescent="0.45">
      <c r="A1049" s="58">
        <v>2020</v>
      </c>
      <c r="B1049" s="5" t="s">
        <v>51</v>
      </c>
      <c r="C1049" s="5" t="s">
        <v>41</v>
      </c>
      <c r="D1049" s="6">
        <v>12110</v>
      </c>
      <c r="E1049" s="61">
        <v>63033</v>
      </c>
      <c r="F1049" s="63" t="s">
        <v>81</v>
      </c>
    </row>
    <row r="1050" spans="1:6" x14ac:dyDescent="0.45">
      <c r="A1050" s="57">
        <v>2020</v>
      </c>
      <c r="B1050" s="3" t="s">
        <v>51</v>
      </c>
      <c r="C1050" s="3" t="s">
        <v>42</v>
      </c>
      <c r="D1050" s="4">
        <v>51405</v>
      </c>
      <c r="E1050" s="60">
        <v>71554</v>
      </c>
      <c r="F1050" s="63" t="s">
        <v>82</v>
      </c>
    </row>
    <row r="1051" spans="1:6" x14ac:dyDescent="0.45">
      <c r="A1051" s="58">
        <v>2020</v>
      </c>
      <c r="B1051" s="5" t="s">
        <v>51</v>
      </c>
      <c r="C1051" s="5" t="s">
        <v>43</v>
      </c>
      <c r="D1051" s="6">
        <v>11572</v>
      </c>
      <c r="E1051" s="61">
        <v>57052</v>
      </c>
      <c r="F1051" s="63" t="s">
        <v>82</v>
      </c>
    </row>
    <row r="1052" spans="1:6" x14ac:dyDescent="0.45">
      <c r="A1052" s="57">
        <v>2020</v>
      </c>
      <c r="B1052" s="3" t="s">
        <v>51</v>
      </c>
      <c r="C1052" s="3" t="s">
        <v>44</v>
      </c>
      <c r="D1052" s="4">
        <v>2878</v>
      </c>
      <c r="E1052" s="60">
        <v>57025</v>
      </c>
      <c r="F1052" s="63" t="s">
        <v>81</v>
      </c>
    </row>
    <row r="1053" spans="1:6" x14ac:dyDescent="0.45">
      <c r="A1053" s="58">
        <v>2020</v>
      </c>
      <c r="B1053" s="5" t="s">
        <v>51</v>
      </c>
      <c r="C1053" s="5" t="s">
        <v>45</v>
      </c>
      <c r="D1053" s="6">
        <v>21508</v>
      </c>
      <c r="E1053" s="61">
        <v>64050</v>
      </c>
      <c r="F1053" s="63" t="s">
        <v>81</v>
      </c>
    </row>
    <row r="1054" spans="1:6" x14ac:dyDescent="0.45">
      <c r="A1054" s="57">
        <v>2020</v>
      </c>
      <c r="B1054" s="3" t="s">
        <v>51</v>
      </c>
      <c r="C1054" s="3" t="s">
        <v>46</v>
      </c>
      <c r="D1054" s="4">
        <v>26015</v>
      </c>
      <c r="E1054" s="60">
        <v>70432</v>
      </c>
      <c r="F1054" s="63" t="s">
        <v>82</v>
      </c>
    </row>
    <row r="1055" spans="1:6" x14ac:dyDescent="0.45">
      <c r="A1055" s="58">
        <v>2020</v>
      </c>
      <c r="B1055" s="5" t="s">
        <v>51</v>
      </c>
      <c r="C1055" s="5" t="s">
        <v>47</v>
      </c>
      <c r="D1055" s="6">
        <v>4435</v>
      </c>
      <c r="E1055" s="61">
        <v>78255</v>
      </c>
      <c r="F1055" s="63" t="s">
        <v>82</v>
      </c>
    </row>
    <row r="1056" spans="1:6" x14ac:dyDescent="0.45">
      <c r="A1056" s="57">
        <v>2020</v>
      </c>
      <c r="B1056" s="3" t="s">
        <v>51</v>
      </c>
      <c r="C1056" s="3" t="s">
        <v>48</v>
      </c>
      <c r="D1056" s="4">
        <v>14814</v>
      </c>
      <c r="E1056" s="60">
        <v>68063</v>
      </c>
      <c r="F1056" s="63" t="s">
        <v>82</v>
      </c>
    </row>
    <row r="1057" spans="1:6" x14ac:dyDescent="0.45">
      <c r="A1057" s="58">
        <v>2020</v>
      </c>
      <c r="B1057" s="5" t="s">
        <v>51</v>
      </c>
      <c r="C1057" s="5" t="s">
        <v>49</v>
      </c>
      <c r="D1057" s="6">
        <v>3375</v>
      </c>
      <c r="E1057" s="61">
        <v>59554</v>
      </c>
      <c r="F1057" s="63" t="s">
        <v>82</v>
      </c>
    </row>
    <row r="1058" spans="1:6" x14ac:dyDescent="0.45">
      <c r="A1058" s="57">
        <v>2020</v>
      </c>
      <c r="B1058" s="3" t="s">
        <v>52</v>
      </c>
      <c r="C1058" s="3" t="s">
        <v>2</v>
      </c>
      <c r="D1058" s="4">
        <v>5566</v>
      </c>
      <c r="E1058" s="60">
        <v>63068</v>
      </c>
      <c r="F1058" s="63" t="s">
        <v>82</v>
      </c>
    </row>
    <row r="1059" spans="1:6" x14ac:dyDescent="0.45">
      <c r="A1059" s="58">
        <v>2020</v>
      </c>
      <c r="B1059" s="5" t="s">
        <v>52</v>
      </c>
      <c r="C1059" s="5" t="s">
        <v>3</v>
      </c>
      <c r="D1059" s="6">
        <v>4926</v>
      </c>
      <c r="E1059" s="61">
        <v>82139</v>
      </c>
      <c r="F1059" s="63" t="s">
        <v>81</v>
      </c>
    </row>
    <row r="1060" spans="1:6" x14ac:dyDescent="0.45">
      <c r="A1060" s="57">
        <v>2020</v>
      </c>
      <c r="B1060" s="3" t="s">
        <v>52</v>
      </c>
      <c r="C1060" s="3" t="s">
        <v>4</v>
      </c>
      <c r="D1060" s="4">
        <v>2918</v>
      </c>
      <c r="E1060" s="60">
        <v>53984</v>
      </c>
      <c r="F1060" s="63" t="s">
        <v>81</v>
      </c>
    </row>
    <row r="1061" spans="1:6" x14ac:dyDescent="0.45">
      <c r="A1061" s="58">
        <v>2020</v>
      </c>
      <c r="B1061" s="5" t="s">
        <v>52</v>
      </c>
      <c r="C1061" s="5" t="s">
        <v>5</v>
      </c>
      <c r="D1061" s="6">
        <v>44706</v>
      </c>
      <c r="E1061" s="61">
        <v>101627</v>
      </c>
      <c r="F1061" s="63" t="s">
        <v>82</v>
      </c>
    </row>
    <row r="1062" spans="1:6" x14ac:dyDescent="0.45">
      <c r="A1062" s="57">
        <v>2020</v>
      </c>
      <c r="B1062" s="3" t="s">
        <v>52</v>
      </c>
      <c r="C1062" s="3" t="s">
        <v>6</v>
      </c>
      <c r="D1062" s="4">
        <v>5804</v>
      </c>
      <c r="E1062" s="60">
        <v>76677</v>
      </c>
      <c r="F1062" s="63" t="s">
        <v>81</v>
      </c>
    </row>
    <row r="1063" spans="1:6" x14ac:dyDescent="0.45">
      <c r="A1063" s="58">
        <v>2020</v>
      </c>
      <c r="B1063" s="5" t="s">
        <v>52</v>
      </c>
      <c r="C1063" s="5" t="s">
        <v>7</v>
      </c>
      <c r="D1063" s="6">
        <v>4408</v>
      </c>
      <c r="E1063" s="61">
        <v>88569</v>
      </c>
      <c r="F1063" s="63" t="s">
        <v>81</v>
      </c>
    </row>
    <row r="1064" spans="1:6" x14ac:dyDescent="0.45">
      <c r="A1064" s="57">
        <v>2020</v>
      </c>
      <c r="B1064" s="3" t="s">
        <v>52</v>
      </c>
      <c r="C1064" s="3" t="s">
        <v>8</v>
      </c>
      <c r="D1064" s="3">
        <v>661</v>
      </c>
      <c r="E1064" s="60">
        <v>70153</v>
      </c>
      <c r="F1064" s="63" t="s">
        <v>82</v>
      </c>
    </row>
    <row r="1065" spans="1:6" x14ac:dyDescent="0.45">
      <c r="A1065" s="58">
        <v>2020</v>
      </c>
      <c r="B1065" s="5" t="s">
        <v>52</v>
      </c>
      <c r="C1065" s="5" t="s">
        <v>9</v>
      </c>
      <c r="D1065" s="6">
        <v>20548</v>
      </c>
      <c r="E1065" s="61">
        <v>67740</v>
      </c>
      <c r="F1065" s="63" t="s">
        <v>82</v>
      </c>
    </row>
    <row r="1066" spans="1:6" x14ac:dyDescent="0.45">
      <c r="A1066" s="57">
        <v>2020</v>
      </c>
      <c r="B1066" s="3" t="s">
        <v>52</v>
      </c>
      <c r="C1066" s="3" t="s">
        <v>10</v>
      </c>
      <c r="D1066" s="4">
        <v>9884</v>
      </c>
      <c r="E1066" s="60">
        <v>65168</v>
      </c>
      <c r="F1066" s="63" t="s">
        <v>81</v>
      </c>
    </row>
    <row r="1067" spans="1:6" x14ac:dyDescent="0.45">
      <c r="A1067" s="58">
        <v>2020</v>
      </c>
      <c r="B1067" s="5" t="s">
        <v>52</v>
      </c>
      <c r="C1067" s="5" t="s">
        <v>11</v>
      </c>
      <c r="D1067" s="6">
        <v>2807</v>
      </c>
      <c r="E1067" s="61">
        <v>69932</v>
      </c>
      <c r="F1067" s="63" t="s">
        <v>81</v>
      </c>
    </row>
    <row r="1068" spans="1:6" x14ac:dyDescent="0.45">
      <c r="A1068" s="57">
        <v>2020</v>
      </c>
      <c r="B1068" s="3" t="s">
        <v>52</v>
      </c>
      <c r="C1068" s="3" t="s">
        <v>12</v>
      </c>
      <c r="D1068" s="4">
        <v>17883</v>
      </c>
      <c r="E1068" s="60">
        <v>77895</v>
      </c>
      <c r="F1068" s="63" t="s">
        <v>82</v>
      </c>
    </row>
    <row r="1069" spans="1:6" x14ac:dyDescent="0.45">
      <c r="A1069" s="58">
        <v>2020</v>
      </c>
      <c r="B1069" s="5" t="s">
        <v>52</v>
      </c>
      <c r="C1069" s="5" t="s">
        <v>13</v>
      </c>
      <c r="D1069" s="6">
        <v>8825</v>
      </c>
      <c r="E1069" s="61">
        <v>68680</v>
      </c>
      <c r="F1069" s="63" t="s">
        <v>81</v>
      </c>
    </row>
    <row r="1070" spans="1:6" x14ac:dyDescent="0.45">
      <c r="A1070" s="57">
        <v>2020</v>
      </c>
      <c r="B1070" s="3" t="s">
        <v>52</v>
      </c>
      <c r="C1070" s="3" t="s">
        <v>14</v>
      </c>
      <c r="D1070" s="4">
        <v>4142</v>
      </c>
      <c r="E1070" s="60">
        <v>66257</v>
      </c>
      <c r="F1070" s="63" t="s">
        <v>82</v>
      </c>
    </row>
    <row r="1071" spans="1:6" x14ac:dyDescent="0.45">
      <c r="A1071" s="58">
        <v>2020</v>
      </c>
      <c r="B1071" s="5" t="s">
        <v>52</v>
      </c>
      <c r="C1071" s="5" t="s">
        <v>15</v>
      </c>
      <c r="D1071" s="6">
        <v>3143</v>
      </c>
      <c r="E1071" s="61">
        <v>65206</v>
      </c>
      <c r="F1071" s="63" t="s">
        <v>81</v>
      </c>
    </row>
    <row r="1072" spans="1:6" x14ac:dyDescent="0.45">
      <c r="A1072" s="57">
        <v>2020</v>
      </c>
      <c r="B1072" s="3" t="s">
        <v>52</v>
      </c>
      <c r="C1072" s="3" t="s">
        <v>16</v>
      </c>
      <c r="D1072" s="4">
        <v>4443</v>
      </c>
      <c r="E1072" s="60">
        <v>65208</v>
      </c>
      <c r="F1072" s="63" t="s">
        <v>81</v>
      </c>
    </row>
    <row r="1073" spans="1:6" x14ac:dyDescent="0.45">
      <c r="A1073" s="58">
        <v>2020</v>
      </c>
      <c r="B1073" s="5" t="s">
        <v>52</v>
      </c>
      <c r="C1073" s="5" t="s">
        <v>17</v>
      </c>
      <c r="D1073" s="6">
        <v>4428</v>
      </c>
      <c r="E1073" s="61">
        <v>81881</v>
      </c>
      <c r="F1073" s="63" t="s">
        <v>82</v>
      </c>
    </row>
    <row r="1074" spans="1:6" x14ac:dyDescent="0.45">
      <c r="A1074" s="57">
        <v>2020</v>
      </c>
      <c r="B1074" s="3" t="s">
        <v>52</v>
      </c>
      <c r="C1074" s="3" t="s">
        <v>18</v>
      </c>
      <c r="D1074" s="4">
        <v>1856</v>
      </c>
      <c r="E1074" s="60">
        <v>61894</v>
      </c>
      <c r="F1074" s="63" t="s">
        <v>82</v>
      </c>
    </row>
    <row r="1075" spans="1:6" x14ac:dyDescent="0.45">
      <c r="A1075" s="58">
        <v>2020</v>
      </c>
      <c r="B1075" s="5" t="s">
        <v>52</v>
      </c>
      <c r="C1075" s="5" t="s">
        <v>19</v>
      </c>
      <c r="D1075" s="6">
        <v>4035</v>
      </c>
      <c r="E1075" s="61">
        <v>84350</v>
      </c>
      <c r="F1075" s="63" t="s">
        <v>81</v>
      </c>
    </row>
    <row r="1076" spans="1:6" x14ac:dyDescent="0.45">
      <c r="A1076" s="57">
        <v>2020</v>
      </c>
      <c r="B1076" s="3" t="s">
        <v>52</v>
      </c>
      <c r="C1076" s="3" t="s">
        <v>20</v>
      </c>
      <c r="D1076" s="4">
        <v>6711</v>
      </c>
      <c r="E1076" s="60">
        <v>94576</v>
      </c>
      <c r="F1076" s="63" t="s">
        <v>81</v>
      </c>
    </row>
    <row r="1077" spans="1:6" x14ac:dyDescent="0.45">
      <c r="A1077" s="58">
        <v>2020</v>
      </c>
      <c r="B1077" s="5" t="s">
        <v>52</v>
      </c>
      <c r="C1077" s="5" t="s">
        <v>21</v>
      </c>
      <c r="D1077" s="6">
        <v>16070</v>
      </c>
      <c r="E1077" s="61">
        <v>73537</v>
      </c>
      <c r="F1077" s="63" t="s">
        <v>82</v>
      </c>
    </row>
    <row r="1078" spans="1:6" x14ac:dyDescent="0.45">
      <c r="A1078" s="57">
        <v>2020</v>
      </c>
      <c r="B1078" s="3" t="s">
        <v>52</v>
      </c>
      <c r="C1078" s="3" t="s">
        <v>22</v>
      </c>
      <c r="D1078" s="4">
        <v>8487</v>
      </c>
      <c r="E1078" s="60">
        <v>73096</v>
      </c>
      <c r="F1078" s="63" t="s">
        <v>82</v>
      </c>
    </row>
    <row r="1079" spans="1:6" x14ac:dyDescent="0.45">
      <c r="A1079" s="58">
        <v>2020</v>
      </c>
      <c r="B1079" s="5" t="s">
        <v>52</v>
      </c>
      <c r="C1079" s="5" t="s">
        <v>23</v>
      </c>
      <c r="D1079" s="6">
        <v>2421</v>
      </c>
      <c r="E1079" s="61">
        <v>55254</v>
      </c>
      <c r="F1079" s="63" t="s">
        <v>82</v>
      </c>
    </row>
    <row r="1080" spans="1:6" x14ac:dyDescent="0.45">
      <c r="A1080" s="57">
        <v>2020</v>
      </c>
      <c r="B1080" s="3" t="s">
        <v>52</v>
      </c>
      <c r="C1080" s="3" t="s">
        <v>24</v>
      </c>
      <c r="D1080" s="4">
        <v>6476</v>
      </c>
      <c r="E1080" s="60">
        <v>64359</v>
      </c>
      <c r="F1080" s="63" t="s">
        <v>82</v>
      </c>
    </row>
    <row r="1081" spans="1:6" x14ac:dyDescent="0.45">
      <c r="A1081" s="58">
        <v>2020</v>
      </c>
      <c r="B1081" s="5" t="s">
        <v>52</v>
      </c>
      <c r="C1081" s="5" t="s">
        <v>25</v>
      </c>
      <c r="D1081" s="6">
        <v>1634</v>
      </c>
      <c r="E1081" s="61">
        <v>56194</v>
      </c>
      <c r="F1081" s="63" t="s">
        <v>82</v>
      </c>
    </row>
    <row r="1082" spans="1:6" x14ac:dyDescent="0.45">
      <c r="A1082" s="57">
        <v>2020</v>
      </c>
      <c r="B1082" s="3" t="s">
        <v>52</v>
      </c>
      <c r="C1082" s="3" t="s">
        <v>26</v>
      </c>
      <c r="D1082" s="4">
        <v>1988</v>
      </c>
      <c r="E1082" s="60">
        <v>57566</v>
      </c>
      <c r="F1082" s="63" t="s">
        <v>81</v>
      </c>
    </row>
    <row r="1083" spans="1:6" x14ac:dyDescent="0.45">
      <c r="A1083" s="58">
        <v>2020</v>
      </c>
      <c r="B1083" s="5" t="s">
        <v>52</v>
      </c>
      <c r="C1083" s="5" t="s">
        <v>27</v>
      </c>
      <c r="D1083" s="6">
        <v>2066</v>
      </c>
      <c r="E1083" s="61">
        <v>64543</v>
      </c>
      <c r="F1083" s="63" t="s">
        <v>81</v>
      </c>
    </row>
    <row r="1084" spans="1:6" x14ac:dyDescent="0.45">
      <c r="A1084" s="57">
        <v>2020</v>
      </c>
      <c r="B1084" s="3" t="s">
        <v>52</v>
      </c>
      <c r="C1084" s="3" t="s">
        <v>28</v>
      </c>
      <c r="D1084" s="4">
        <v>2032</v>
      </c>
      <c r="E1084" s="60">
        <v>77722</v>
      </c>
      <c r="F1084" s="63" t="s">
        <v>82</v>
      </c>
    </row>
    <row r="1085" spans="1:6" x14ac:dyDescent="0.45">
      <c r="A1085" s="58">
        <v>2020</v>
      </c>
      <c r="B1085" s="5" t="s">
        <v>52</v>
      </c>
      <c r="C1085" s="5" t="s">
        <v>29</v>
      </c>
      <c r="D1085" s="6">
        <v>8976</v>
      </c>
      <c r="E1085" s="61">
        <v>86088</v>
      </c>
      <c r="F1085" s="63" t="s">
        <v>81</v>
      </c>
    </row>
    <row r="1086" spans="1:6" x14ac:dyDescent="0.45">
      <c r="A1086" s="57">
        <v>2020</v>
      </c>
      <c r="B1086" s="3" t="s">
        <v>52</v>
      </c>
      <c r="C1086" s="3" t="s">
        <v>30</v>
      </c>
      <c r="D1086" s="4">
        <v>1768</v>
      </c>
      <c r="E1086" s="60">
        <v>59139</v>
      </c>
      <c r="F1086" s="63" t="s">
        <v>81</v>
      </c>
    </row>
    <row r="1087" spans="1:6" x14ac:dyDescent="0.45">
      <c r="A1087" s="58">
        <v>2020</v>
      </c>
      <c r="B1087" s="5" t="s">
        <v>52</v>
      </c>
      <c r="C1087" s="5" t="s">
        <v>31</v>
      </c>
      <c r="D1087" s="6">
        <v>16910</v>
      </c>
      <c r="E1087" s="61">
        <v>73614</v>
      </c>
      <c r="F1087" s="63" t="s">
        <v>82</v>
      </c>
    </row>
    <row r="1088" spans="1:6" x14ac:dyDescent="0.45">
      <c r="A1088" s="57">
        <v>2020</v>
      </c>
      <c r="B1088" s="3" t="s">
        <v>52</v>
      </c>
      <c r="C1088" s="3" t="s">
        <v>32</v>
      </c>
      <c r="D1088" s="4">
        <v>10219</v>
      </c>
      <c r="E1088" s="60">
        <v>65827</v>
      </c>
      <c r="F1088" s="63" t="s">
        <v>82</v>
      </c>
    </row>
    <row r="1089" spans="1:6" x14ac:dyDescent="0.45">
      <c r="A1089" s="58">
        <v>2020</v>
      </c>
      <c r="B1089" s="5" t="s">
        <v>52</v>
      </c>
      <c r="C1089" s="5" t="s">
        <v>33</v>
      </c>
      <c r="D1089" s="5">
        <v>807</v>
      </c>
      <c r="E1089" s="61">
        <v>59882</v>
      </c>
      <c r="F1089" s="63" t="s">
        <v>81</v>
      </c>
    </row>
    <row r="1090" spans="1:6" x14ac:dyDescent="0.45">
      <c r="A1090" s="57">
        <v>2020</v>
      </c>
      <c r="B1090" s="3" t="s">
        <v>52</v>
      </c>
      <c r="C1090" s="3" t="s">
        <v>34</v>
      </c>
      <c r="D1090" s="4">
        <v>15409</v>
      </c>
      <c r="E1090" s="60">
        <v>67487</v>
      </c>
      <c r="F1090" s="63" t="s">
        <v>81</v>
      </c>
    </row>
    <row r="1091" spans="1:6" x14ac:dyDescent="0.45">
      <c r="A1091" s="58">
        <v>2020</v>
      </c>
      <c r="B1091" s="5" t="s">
        <v>52</v>
      </c>
      <c r="C1091" s="5" t="s">
        <v>35</v>
      </c>
      <c r="D1091" s="6">
        <v>4164</v>
      </c>
      <c r="E1091" s="61">
        <v>64770</v>
      </c>
      <c r="F1091" s="63" t="s">
        <v>82</v>
      </c>
    </row>
    <row r="1092" spans="1:6" x14ac:dyDescent="0.45">
      <c r="A1092" s="57">
        <v>2020</v>
      </c>
      <c r="B1092" s="3" t="s">
        <v>52</v>
      </c>
      <c r="C1092" s="3" t="s">
        <v>36</v>
      </c>
      <c r="D1092" s="4">
        <v>6240</v>
      </c>
      <c r="E1092" s="60">
        <v>76641</v>
      </c>
      <c r="F1092" s="63" t="s">
        <v>81</v>
      </c>
    </row>
    <row r="1093" spans="1:6" x14ac:dyDescent="0.45">
      <c r="A1093" s="58">
        <v>2020</v>
      </c>
      <c r="B1093" s="5" t="s">
        <v>52</v>
      </c>
      <c r="C1093" s="5" t="s">
        <v>37</v>
      </c>
      <c r="D1093" s="6">
        <v>14407</v>
      </c>
      <c r="E1093" s="61">
        <v>68561</v>
      </c>
      <c r="F1093" s="63" t="s">
        <v>82</v>
      </c>
    </row>
    <row r="1094" spans="1:6" x14ac:dyDescent="0.45">
      <c r="A1094" s="57">
        <v>2020</v>
      </c>
      <c r="B1094" s="3" t="s">
        <v>52</v>
      </c>
      <c r="C1094" s="3" t="s">
        <v>38</v>
      </c>
      <c r="D1094" s="4">
        <v>1572</v>
      </c>
      <c r="E1094" s="60">
        <v>64468</v>
      </c>
      <c r="F1094" s="63" t="s">
        <v>81</v>
      </c>
    </row>
    <row r="1095" spans="1:6" x14ac:dyDescent="0.45">
      <c r="A1095" s="58">
        <v>2020</v>
      </c>
      <c r="B1095" s="5" t="s">
        <v>52</v>
      </c>
      <c r="C1095" s="5" t="s">
        <v>39</v>
      </c>
      <c r="D1095" s="6">
        <v>6087</v>
      </c>
      <c r="E1095" s="61">
        <v>65522</v>
      </c>
      <c r="F1095" s="63" t="s">
        <v>81</v>
      </c>
    </row>
    <row r="1096" spans="1:6" x14ac:dyDescent="0.45">
      <c r="A1096" s="57">
        <v>2020</v>
      </c>
      <c r="B1096" s="3" t="s">
        <v>52</v>
      </c>
      <c r="C1096" s="3" t="s">
        <v>40</v>
      </c>
      <c r="D1096" s="4">
        <v>1084</v>
      </c>
      <c r="E1096" s="60">
        <v>55320</v>
      </c>
      <c r="F1096" s="63" t="s">
        <v>82</v>
      </c>
    </row>
    <row r="1097" spans="1:6" x14ac:dyDescent="0.45">
      <c r="A1097" s="58">
        <v>2020</v>
      </c>
      <c r="B1097" s="5" t="s">
        <v>52</v>
      </c>
      <c r="C1097" s="5" t="s">
        <v>41</v>
      </c>
      <c r="D1097" s="6">
        <v>7051</v>
      </c>
      <c r="E1097" s="61">
        <v>65495</v>
      </c>
      <c r="F1097" s="63" t="s">
        <v>82</v>
      </c>
    </row>
    <row r="1098" spans="1:6" x14ac:dyDescent="0.45">
      <c r="A1098" s="57">
        <v>2020</v>
      </c>
      <c r="B1098" s="3" t="s">
        <v>52</v>
      </c>
      <c r="C1098" s="3" t="s">
        <v>42</v>
      </c>
      <c r="D1098" s="4">
        <v>24758</v>
      </c>
      <c r="E1098" s="60">
        <v>83648</v>
      </c>
      <c r="F1098" s="63" t="s">
        <v>81</v>
      </c>
    </row>
    <row r="1099" spans="1:6" x14ac:dyDescent="0.45">
      <c r="A1099" s="58">
        <v>2020</v>
      </c>
      <c r="B1099" s="5" t="s">
        <v>52</v>
      </c>
      <c r="C1099" s="5" t="s">
        <v>43</v>
      </c>
      <c r="D1099" s="6">
        <v>4386</v>
      </c>
      <c r="E1099" s="61">
        <v>64006</v>
      </c>
      <c r="F1099" s="63" t="s">
        <v>81</v>
      </c>
    </row>
    <row r="1100" spans="1:6" x14ac:dyDescent="0.45">
      <c r="A1100" s="57">
        <v>2020</v>
      </c>
      <c r="B1100" s="3" t="s">
        <v>52</v>
      </c>
      <c r="C1100" s="3" t="s">
        <v>44</v>
      </c>
      <c r="D1100" s="4">
        <v>1108</v>
      </c>
      <c r="E1100" s="60">
        <v>65390</v>
      </c>
      <c r="F1100" s="63" t="s">
        <v>82</v>
      </c>
    </row>
    <row r="1101" spans="1:6" x14ac:dyDescent="0.45">
      <c r="A1101" s="58">
        <v>2020</v>
      </c>
      <c r="B1101" s="5" t="s">
        <v>52</v>
      </c>
      <c r="C1101" s="5" t="s">
        <v>45</v>
      </c>
      <c r="D1101" s="6">
        <v>6750</v>
      </c>
      <c r="E1101" s="61">
        <v>65974</v>
      </c>
      <c r="F1101" s="63" t="s">
        <v>82</v>
      </c>
    </row>
    <row r="1102" spans="1:6" x14ac:dyDescent="0.45">
      <c r="A1102" s="57">
        <v>2020</v>
      </c>
      <c r="B1102" s="3" t="s">
        <v>52</v>
      </c>
      <c r="C1102" s="3" t="s">
        <v>46</v>
      </c>
      <c r="D1102" s="4">
        <v>7798</v>
      </c>
      <c r="E1102" s="60">
        <v>85321</v>
      </c>
      <c r="F1102" s="63" t="s">
        <v>82</v>
      </c>
    </row>
    <row r="1103" spans="1:6" x14ac:dyDescent="0.45">
      <c r="A1103" s="58">
        <v>2020</v>
      </c>
      <c r="B1103" s="5" t="s">
        <v>52</v>
      </c>
      <c r="C1103" s="5" t="s">
        <v>47</v>
      </c>
      <c r="D1103" s="6">
        <v>1268</v>
      </c>
      <c r="E1103" s="61">
        <v>66459</v>
      </c>
      <c r="F1103" s="63" t="s">
        <v>82</v>
      </c>
    </row>
    <row r="1104" spans="1:6" x14ac:dyDescent="0.45">
      <c r="A1104" s="57">
        <v>2020</v>
      </c>
      <c r="B1104" s="3" t="s">
        <v>52</v>
      </c>
      <c r="C1104" s="3" t="s">
        <v>48</v>
      </c>
      <c r="D1104" s="4">
        <v>9432</v>
      </c>
      <c r="E1104" s="60">
        <v>64047</v>
      </c>
      <c r="F1104" s="63" t="s">
        <v>82</v>
      </c>
    </row>
    <row r="1105" spans="1:6" x14ac:dyDescent="0.45">
      <c r="A1105" s="58">
        <v>2020</v>
      </c>
      <c r="B1105" s="5" t="s">
        <v>52</v>
      </c>
      <c r="C1105" s="5" t="s">
        <v>49</v>
      </c>
      <c r="D1105" s="5">
        <v>600</v>
      </c>
      <c r="E1105" s="61">
        <v>73060</v>
      </c>
      <c r="F1105" s="63" t="s">
        <v>81</v>
      </c>
    </row>
    <row r="1106" spans="1:6" x14ac:dyDescent="0.45">
      <c r="A1106" s="57">
        <v>2020</v>
      </c>
      <c r="B1106" s="3" t="s">
        <v>53</v>
      </c>
      <c r="C1106" s="3" t="s">
        <v>2</v>
      </c>
      <c r="D1106" s="4">
        <v>32481</v>
      </c>
      <c r="E1106" s="60">
        <v>47970</v>
      </c>
      <c r="F1106" s="63" t="s">
        <v>81</v>
      </c>
    </row>
    <row r="1107" spans="1:6" x14ac:dyDescent="0.45">
      <c r="A1107" s="58">
        <v>2020</v>
      </c>
      <c r="B1107" s="5" t="s">
        <v>53</v>
      </c>
      <c r="C1107" s="5" t="s">
        <v>3</v>
      </c>
      <c r="D1107" s="6">
        <v>31775</v>
      </c>
      <c r="E1107" s="61">
        <v>52734</v>
      </c>
      <c r="F1107" s="63" t="s">
        <v>82</v>
      </c>
    </row>
    <row r="1108" spans="1:6" x14ac:dyDescent="0.45">
      <c r="A1108" s="57">
        <v>2020</v>
      </c>
      <c r="B1108" s="3" t="s">
        <v>53</v>
      </c>
      <c r="C1108" s="3" t="s">
        <v>4</v>
      </c>
      <c r="D1108" s="4">
        <v>21642</v>
      </c>
      <c r="E1108" s="60">
        <v>47450</v>
      </c>
      <c r="F1108" s="63" t="s">
        <v>81</v>
      </c>
    </row>
    <row r="1109" spans="1:6" x14ac:dyDescent="0.45">
      <c r="A1109" s="58">
        <v>2020</v>
      </c>
      <c r="B1109" s="5" t="s">
        <v>53</v>
      </c>
      <c r="C1109" s="5" t="s">
        <v>5</v>
      </c>
      <c r="D1109" s="6">
        <v>196511</v>
      </c>
      <c r="E1109" s="61">
        <v>58020</v>
      </c>
      <c r="F1109" s="63" t="s">
        <v>81</v>
      </c>
    </row>
    <row r="1110" spans="1:6" x14ac:dyDescent="0.45">
      <c r="A1110" s="57">
        <v>2020</v>
      </c>
      <c r="B1110" s="3" t="s">
        <v>53</v>
      </c>
      <c r="C1110" s="3" t="s">
        <v>6</v>
      </c>
      <c r="D1110" s="4">
        <v>35891</v>
      </c>
      <c r="E1110" s="60">
        <v>56043</v>
      </c>
      <c r="F1110" s="63" t="s">
        <v>82</v>
      </c>
    </row>
    <row r="1111" spans="1:6" x14ac:dyDescent="0.45">
      <c r="A1111" s="58">
        <v>2020</v>
      </c>
      <c r="B1111" s="5" t="s">
        <v>53</v>
      </c>
      <c r="C1111" s="5" t="s">
        <v>7</v>
      </c>
      <c r="D1111" s="6">
        <v>24902</v>
      </c>
      <c r="E1111" s="61">
        <v>57041</v>
      </c>
      <c r="F1111" s="63" t="s">
        <v>82</v>
      </c>
    </row>
    <row r="1112" spans="1:6" x14ac:dyDescent="0.45">
      <c r="A1112" s="57">
        <v>2020</v>
      </c>
      <c r="B1112" s="3" t="s">
        <v>53</v>
      </c>
      <c r="C1112" s="3" t="s">
        <v>8</v>
      </c>
      <c r="D1112" s="4">
        <v>6850</v>
      </c>
      <c r="E1112" s="60">
        <v>46843</v>
      </c>
      <c r="F1112" s="63" t="s">
        <v>81</v>
      </c>
    </row>
    <row r="1113" spans="1:6" x14ac:dyDescent="0.45">
      <c r="A1113" s="58">
        <v>2020</v>
      </c>
      <c r="B1113" s="5" t="s">
        <v>53</v>
      </c>
      <c r="C1113" s="5" t="s">
        <v>9</v>
      </c>
      <c r="D1113" s="6">
        <v>139486</v>
      </c>
      <c r="E1113" s="61">
        <v>50766</v>
      </c>
      <c r="F1113" s="63" t="s">
        <v>81</v>
      </c>
    </row>
    <row r="1114" spans="1:6" x14ac:dyDescent="0.45">
      <c r="A1114" s="57">
        <v>2020</v>
      </c>
      <c r="B1114" s="3" t="s">
        <v>53</v>
      </c>
      <c r="C1114" s="3" t="s">
        <v>10</v>
      </c>
      <c r="D1114" s="4">
        <v>60996</v>
      </c>
      <c r="E1114" s="60">
        <v>55352</v>
      </c>
      <c r="F1114" s="63" t="s">
        <v>82</v>
      </c>
    </row>
    <row r="1115" spans="1:6" x14ac:dyDescent="0.45">
      <c r="A1115" s="58">
        <v>2020</v>
      </c>
      <c r="B1115" s="5" t="s">
        <v>53</v>
      </c>
      <c r="C1115" s="5" t="s">
        <v>11</v>
      </c>
      <c r="D1115" s="6">
        <v>11969</v>
      </c>
      <c r="E1115" s="61">
        <v>45972</v>
      </c>
      <c r="F1115" s="63" t="s">
        <v>81</v>
      </c>
    </row>
    <row r="1116" spans="1:6" x14ac:dyDescent="0.45">
      <c r="A1116" s="57">
        <v>2020</v>
      </c>
      <c r="B1116" s="3" t="s">
        <v>53</v>
      </c>
      <c r="C1116" s="3" t="s">
        <v>12</v>
      </c>
      <c r="D1116" s="4">
        <v>78063</v>
      </c>
      <c r="E1116" s="60">
        <v>57570</v>
      </c>
      <c r="F1116" s="63" t="s">
        <v>82</v>
      </c>
    </row>
    <row r="1117" spans="1:6" x14ac:dyDescent="0.45">
      <c r="A1117" s="58">
        <v>2020</v>
      </c>
      <c r="B1117" s="5" t="s">
        <v>53</v>
      </c>
      <c r="C1117" s="5" t="s">
        <v>13</v>
      </c>
      <c r="D1117" s="6">
        <v>40681</v>
      </c>
      <c r="E1117" s="61">
        <v>48092</v>
      </c>
      <c r="F1117" s="63" t="s">
        <v>81</v>
      </c>
    </row>
    <row r="1118" spans="1:6" x14ac:dyDescent="0.45">
      <c r="A1118" s="57">
        <v>2020</v>
      </c>
      <c r="B1118" s="3" t="s">
        <v>53</v>
      </c>
      <c r="C1118" s="3" t="s">
        <v>14</v>
      </c>
      <c r="D1118" s="4">
        <v>23521</v>
      </c>
      <c r="E1118" s="60">
        <v>46539</v>
      </c>
      <c r="F1118" s="63" t="s">
        <v>81</v>
      </c>
    </row>
    <row r="1119" spans="1:6" x14ac:dyDescent="0.45">
      <c r="A1119" s="58">
        <v>2020</v>
      </c>
      <c r="B1119" s="5" t="s">
        <v>53</v>
      </c>
      <c r="C1119" s="5" t="s">
        <v>15</v>
      </c>
      <c r="D1119" s="6">
        <v>20370</v>
      </c>
      <c r="E1119" s="61">
        <v>48235</v>
      </c>
      <c r="F1119" s="63" t="s">
        <v>82</v>
      </c>
    </row>
    <row r="1120" spans="1:6" x14ac:dyDescent="0.45">
      <c r="A1120" s="57">
        <v>2020</v>
      </c>
      <c r="B1120" s="3" t="s">
        <v>53</v>
      </c>
      <c r="C1120" s="3" t="s">
        <v>16</v>
      </c>
      <c r="D1120" s="4">
        <v>28056</v>
      </c>
      <c r="E1120" s="60">
        <v>48623</v>
      </c>
      <c r="F1120" s="63" t="s">
        <v>82</v>
      </c>
    </row>
    <row r="1121" spans="1:6" x14ac:dyDescent="0.45">
      <c r="A1121" s="58">
        <v>2020</v>
      </c>
      <c r="B1121" s="5" t="s">
        <v>53</v>
      </c>
      <c r="C1121" s="5" t="s">
        <v>17</v>
      </c>
      <c r="D1121" s="6">
        <v>30545</v>
      </c>
      <c r="E1121" s="61">
        <v>48196</v>
      </c>
      <c r="F1121" s="63" t="s">
        <v>81</v>
      </c>
    </row>
    <row r="1122" spans="1:6" x14ac:dyDescent="0.45">
      <c r="A1122" s="57">
        <v>2020</v>
      </c>
      <c r="B1122" s="3" t="s">
        <v>53</v>
      </c>
      <c r="C1122" s="3" t="s">
        <v>18</v>
      </c>
      <c r="D1122" s="4">
        <v>10761</v>
      </c>
      <c r="E1122" s="60">
        <v>43589</v>
      </c>
      <c r="F1122" s="63" t="s">
        <v>81</v>
      </c>
    </row>
    <row r="1123" spans="1:6" x14ac:dyDescent="0.45">
      <c r="A1123" s="58">
        <v>2020</v>
      </c>
      <c r="B1123" s="5" t="s">
        <v>53</v>
      </c>
      <c r="C1123" s="5" t="s">
        <v>19</v>
      </c>
      <c r="D1123" s="6">
        <v>32767</v>
      </c>
      <c r="E1123" s="61">
        <v>52648</v>
      </c>
      <c r="F1123" s="63" t="s">
        <v>82</v>
      </c>
    </row>
    <row r="1124" spans="1:6" x14ac:dyDescent="0.45">
      <c r="A1124" s="57">
        <v>2020</v>
      </c>
      <c r="B1124" s="3" t="s">
        <v>53</v>
      </c>
      <c r="C1124" s="3" t="s">
        <v>20</v>
      </c>
      <c r="D1124" s="4">
        <v>42171</v>
      </c>
      <c r="E1124" s="60">
        <v>58937</v>
      </c>
      <c r="F1124" s="63" t="s">
        <v>82</v>
      </c>
    </row>
    <row r="1125" spans="1:6" x14ac:dyDescent="0.45">
      <c r="A1125" s="58">
        <v>2020</v>
      </c>
      <c r="B1125" s="5" t="s">
        <v>53</v>
      </c>
      <c r="C1125" s="5" t="s">
        <v>21</v>
      </c>
      <c r="D1125" s="6">
        <v>52459</v>
      </c>
      <c r="E1125" s="61">
        <v>53200</v>
      </c>
      <c r="F1125" s="63" t="s">
        <v>82</v>
      </c>
    </row>
    <row r="1126" spans="1:6" x14ac:dyDescent="0.45">
      <c r="A1126" s="57">
        <v>2020</v>
      </c>
      <c r="B1126" s="3" t="s">
        <v>53</v>
      </c>
      <c r="C1126" s="3" t="s">
        <v>22</v>
      </c>
      <c r="D1126" s="4">
        <v>37272</v>
      </c>
      <c r="E1126" s="60">
        <v>55570</v>
      </c>
      <c r="F1126" s="63" t="s">
        <v>82</v>
      </c>
    </row>
    <row r="1127" spans="1:6" x14ac:dyDescent="0.45">
      <c r="A1127" s="58">
        <v>2020</v>
      </c>
      <c r="B1127" s="5" t="s">
        <v>53</v>
      </c>
      <c r="C1127" s="5" t="s">
        <v>23</v>
      </c>
      <c r="D1127" s="6">
        <v>19763</v>
      </c>
      <c r="E1127" s="61">
        <v>42497</v>
      </c>
      <c r="F1127" s="63" t="s">
        <v>82</v>
      </c>
    </row>
    <row r="1128" spans="1:6" x14ac:dyDescent="0.45">
      <c r="A1128" s="57">
        <v>2020</v>
      </c>
      <c r="B1128" s="3" t="s">
        <v>53</v>
      </c>
      <c r="C1128" s="3" t="s">
        <v>24</v>
      </c>
      <c r="D1128" s="4">
        <v>38808</v>
      </c>
      <c r="E1128" s="60">
        <v>48469</v>
      </c>
      <c r="F1128" s="63" t="s">
        <v>81</v>
      </c>
    </row>
    <row r="1129" spans="1:6" x14ac:dyDescent="0.45">
      <c r="A1129" s="58">
        <v>2020</v>
      </c>
      <c r="B1129" s="5" t="s">
        <v>53</v>
      </c>
      <c r="C1129" s="5" t="s">
        <v>25</v>
      </c>
      <c r="D1129" s="6">
        <v>9250</v>
      </c>
      <c r="E1129" s="61">
        <v>45170</v>
      </c>
      <c r="F1129" s="63" t="s">
        <v>81</v>
      </c>
    </row>
    <row r="1130" spans="1:6" x14ac:dyDescent="0.45">
      <c r="A1130" s="57">
        <v>2020</v>
      </c>
      <c r="B1130" s="3" t="s">
        <v>53</v>
      </c>
      <c r="C1130" s="3" t="s">
        <v>26</v>
      </c>
      <c r="D1130" s="4">
        <v>14923</v>
      </c>
      <c r="E1130" s="60">
        <v>45891</v>
      </c>
      <c r="F1130" s="63" t="s">
        <v>82</v>
      </c>
    </row>
    <row r="1131" spans="1:6" x14ac:dyDescent="0.45">
      <c r="A1131" s="58">
        <v>2020</v>
      </c>
      <c r="B1131" s="5" t="s">
        <v>53</v>
      </c>
      <c r="C1131" s="5" t="s">
        <v>27</v>
      </c>
      <c r="D1131" s="6">
        <v>15829</v>
      </c>
      <c r="E1131" s="61">
        <v>50190</v>
      </c>
      <c r="F1131" s="63" t="s">
        <v>81</v>
      </c>
    </row>
    <row r="1132" spans="1:6" x14ac:dyDescent="0.45">
      <c r="A1132" s="57">
        <v>2020</v>
      </c>
      <c r="B1132" s="3" t="s">
        <v>53</v>
      </c>
      <c r="C1132" s="3" t="s">
        <v>28</v>
      </c>
      <c r="D1132" s="4">
        <v>12509</v>
      </c>
      <c r="E1132" s="60">
        <v>53777</v>
      </c>
      <c r="F1132" s="63" t="s">
        <v>81</v>
      </c>
    </row>
    <row r="1133" spans="1:6" x14ac:dyDescent="0.45">
      <c r="A1133" s="58">
        <v>2020</v>
      </c>
      <c r="B1133" s="5" t="s">
        <v>53</v>
      </c>
      <c r="C1133" s="5" t="s">
        <v>29</v>
      </c>
      <c r="D1133" s="6">
        <v>54238</v>
      </c>
      <c r="E1133" s="61">
        <v>59723</v>
      </c>
      <c r="F1133" s="63" t="s">
        <v>82</v>
      </c>
    </row>
    <row r="1134" spans="1:6" x14ac:dyDescent="0.45">
      <c r="A1134" s="57">
        <v>2020</v>
      </c>
      <c r="B1134" s="3" t="s">
        <v>53</v>
      </c>
      <c r="C1134" s="3" t="s">
        <v>30</v>
      </c>
      <c r="D1134" s="4">
        <v>10758</v>
      </c>
      <c r="E1134" s="60">
        <v>44078</v>
      </c>
      <c r="F1134" s="63" t="s">
        <v>82</v>
      </c>
    </row>
    <row r="1135" spans="1:6" x14ac:dyDescent="0.45">
      <c r="A1135" s="58">
        <v>2020</v>
      </c>
      <c r="B1135" s="5" t="s">
        <v>53</v>
      </c>
      <c r="C1135" s="5" t="s">
        <v>31</v>
      </c>
      <c r="D1135" s="6">
        <v>123741</v>
      </c>
      <c r="E1135" s="61">
        <v>57832</v>
      </c>
      <c r="F1135" s="63" t="s">
        <v>81</v>
      </c>
    </row>
    <row r="1136" spans="1:6" x14ac:dyDescent="0.45">
      <c r="A1136" s="57">
        <v>2020</v>
      </c>
      <c r="B1136" s="3" t="s">
        <v>53</v>
      </c>
      <c r="C1136" s="3" t="s">
        <v>32</v>
      </c>
      <c r="D1136" s="4">
        <v>61525</v>
      </c>
      <c r="E1136" s="60">
        <v>49092</v>
      </c>
      <c r="F1136" s="63" t="s">
        <v>81</v>
      </c>
    </row>
    <row r="1137" spans="1:6" x14ac:dyDescent="0.45">
      <c r="A1137" s="58">
        <v>2020</v>
      </c>
      <c r="B1137" s="5" t="s">
        <v>53</v>
      </c>
      <c r="C1137" s="5" t="s">
        <v>33</v>
      </c>
      <c r="D1137" s="6">
        <v>7753</v>
      </c>
      <c r="E1137" s="61">
        <v>55819</v>
      </c>
      <c r="F1137" s="63" t="s">
        <v>82</v>
      </c>
    </row>
    <row r="1138" spans="1:6" x14ac:dyDescent="0.45">
      <c r="A1138" s="57">
        <v>2020</v>
      </c>
      <c r="B1138" s="3" t="s">
        <v>53</v>
      </c>
      <c r="C1138" s="3" t="s">
        <v>34</v>
      </c>
      <c r="D1138" s="4">
        <v>68615</v>
      </c>
      <c r="E1138" s="60">
        <v>50247</v>
      </c>
      <c r="F1138" s="63" t="s">
        <v>81</v>
      </c>
    </row>
    <row r="1139" spans="1:6" x14ac:dyDescent="0.45">
      <c r="A1139" s="58">
        <v>2020</v>
      </c>
      <c r="B1139" s="5" t="s">
        <v>53</v>
      </c>
      <c r="C1139" s="5" t="s">
        <v>35</v>
      </c>
      <c r="D1139" s="6">
        <v>23748</v>
      </c>
      <c r="E1139" s="61">
        <v>47554</v>
      </c>
      <c r="F1139" s="63" t="s">
        <v>82</v>
      </c>
    </row>
    <row r="1140" spans="1:6" x14ac:dyDescent="0.45">
      <c r="A1140" s="57">
        <v>2020</v>
      </c>
      <c r="B1140" s="3" t="s">
        <v>53</v>
      </c>
      <c r="C1140" s="3" t="s">
        <v>36</v>
      </c>
      <c r="D1140" s="4">
        <v>26503</v>
      </c>
      <c r="E1140" s="60">
        <v>50347</v>
      </c>
      <c r="F1140" s="63" t="s">
        <v>81</v>
      </c>
    </row>
    <row r="1141" spans="1:6" x14ac:dyDescent="0.45">
      <c r="A1141" s="58">
        <v>2020</v>
      </c>
      <c r="B1141" s="5" t="s">
        <v>53</v>
      </c>
      <c r="C1141" s="5" t="s">
        <v>37</v>
      </c>
      <c r="D1141" s="6">
        <v>74845</v>
      </c>
      <c r="E1141" s="61">
        <v>51000</v>
      </c>
      <c r="F1141" s="63" t="s">
        <v>81</v>
      </c>
    </row>
    <row r="1142" spans="1:6" x14ac:dyDescent="0.45">
      <c r="A1142" s="57">
        <v>2020</v>
      </c>
      <c r="B1142" s="3" t="s">
        <v>53</v>
      </c>
      <c r="C1142" s="3" t="s">
        <v>38</v>
      </c>
      <c r="D1142" s="4">
        <v>7658</v>
      </c>
      <c r="E1142" s="60">
        <v>49902</v>
      </c>
      <c r="F1142" s="63" t="s">
        <v>82</v>
      </c>
    </row>
    <row r="1143" spans="1:6" x14ac:dyDescent="0.45">
      <c r="A1143" s="58">
        <v>2020</v>
      </c>
      <c r="B1143" s="5" t="s">
        <v>53</v>
      </c>
      <c r="C1143" s="5" t="s">
        <v>39</v>
      </c>
      <c r="D1143" s="6">
        <v>30013</v>
      </c>
      <c r="E1143" s="61">
        <v>45429</v>
      </c>
      <c r="F1143" s="63" t="s">
        <v>82</v>
      </c>
    </row>
    <row r="1144" spans="1:6" x14ac:dyDescent="0.45">
      <c r="A1144" s="57">
        <v>2020</v>
      </c>
      <c r="B1144" s="3" t="s">
        <v>53</v>
      </c>
      <c r="C1144" s="3" t="s">
        <v>40</v>
      </c>
      <c r="D1144" s="4">
        <v>8059</v>
      </c>
      <c r="E1144" s="60">
        <v>45650</v>
      </c>
      <c r="F1144" s="63" t="s">
        <v>81</v>
      </c>
    </row>
    <row r="1145" spans="1:6" x14ac:dyDescent="0.45">
      <c r="A1145" s="58">
        <v>2020</v>
      </c>
      <c r="B1145" s="5" t="s">
        <v>53</v>
      </c>
      <c r="C1145" s="5" t="s">
        <v>41</v>
      </c>
      <c r="D1145" s="6">
        <v>40040</v>
      </c>
      <c r="E1145" s="61">
        <v>52137</v>
      </c>
      <c r="F1145" s="63" t="s">
        <v>81</v>
      </c>
    </row>
    <row r="1146" spans="1:6" x14ac:dyDescent="0.45">
      <c r="A1146" s="57">
        <v>2020</v>
      </c>
      <c r="B1146" s="3" t="s">
        <v>53</v>
      </c>
      <c r="C1146" s="3" t="s">
        <v>42</v>
      </c>
      <c r="D1146" s="4">
        <v>147447</v>
      </c>
      <c r="E1146" s="60">
        <v>58337</v>
      </c>
      <c r="F1146" s="63" t="s">
        <v>82</v>
      </c>
    </row>
    <row r="1147" spans="1:6" x14ac:dyDescent="0.45">
      <c r="A1147" s="58">
        <v>2020</v>
      </c>
      <c r="B1147" s="5" t="s">
        <v>53</v>
      </c>
      <c r="C1147" s="5" t="s">
        <v>43</v>
      </c>
      <c r="D1147" s="6">
        <v>19531</v>
      </c>
      <c r="E1147" s="61">
        <v>50163</v>
      </c>
      <c r="F1147" s="63" t="s">
        <v>81</v>
      </c>
    </row>
    <row r="1148" spans="1:6" x14ac:dyDescent="0.45">
      <c r="A1148" s="57">
        <v>2020</v>
      </c>
      <c r="B1148" s="3" t="s">
        <v>53</v>
      </c>
      <c r="C1148" s="3" t="s">
        <v>44</v>
      </c>
      <c r="D1148" s="4">
        <v>5084</v>
      </c>
      <c r="E1148" s="60">
        <v>46351</v>
      </c>
      <c r="F1148" s="63" t="s">
        <v>81</v>
      </c>
    </row>
    <row r="1149" spans="1:6" x14ac:dyDescent="0.45">
      <c r="A1149" s="58">
        <v>2020</v>
      </c>
      <c r="B1149" s="5" t="s">
        <v>53</v>
      </c>
      <c r="C1149" s="5" t="s">
        <v>45</v>
      </c>
      <c r="D1149" s="6">
        <v>43180</v>
      </c>
      <c r="E1149" s="61">
        <v>49886</v>
      </c>
      <c r="F1149" s="63" t="s">
        <v>82</v>
      </c>
    </row>
    <row r="1150" spans="1:6" x14ac:dyDescent="0.45">
      <c r="A1150" s="57">
        <v>2020</v>
      </c>
      <c r="B1150" s="3" t="s">
        <v>53</v>
      </c>
      <c r="C1150" s="3" t="s">
        <v>46</v>
      </c>
      <c r="D1150" s="4">
        <v>39324</v>
      </c>
      <c r="E1150" s="60">
        <v>69994</v>
      </c>
      <c r="F1150" s="63" t="s">
        <v>81</v>
      </c>
    </row>
    <row r="1151" spans="1:6" x14ac:dyDescent="0.45">
      <c r="A1151" s="58">
        <v>2020</v>
      </c>
      <c r="B1151" s="5" t="s">
        <v>53</v>
      </c>
      <c r="C1151" s="5" t="s">
        <v>47</v>
      </c>
      <c r="D1151" s="6">
        <v>10925</v>
      </c>
      <c r="E1151" s="61">
        <v>44698</v>
      </c>
      <c r="F1151" s="63" t="s">
        <v>81</v>
      </c>
    </row>
    <row r="1152" spans="1:6" x14ac:dyDescent="0.45">
      <c r="A1152" s="57">
        <v>2020</v>
      </c>
      <c r="B1152" s="3" t="s">
        <v>53</v>
      </c>
      <c r="C1152" s="3" t="s">
        <v>48</v>
      </c>
      <c r="D1152" s="4">
        <v>36496</v>
      </c>
      <c r="E1152" s="60">
        <v>47512</v>
      </c>
      <c r="F1152" s="63" t="s">
        <v>82</v>
      </c>
    </row>
    <row r="1153" spans="1:6" x14ac:dyDescent="0.45">
      <c r="A1153" s="58">
        <v>2020</v>
      </c>
      <c r="B1153" s="5" t="s">
        <v>53</v>
      </c>
      <c r="C1153" s="5" t="s">
        <v>49</v>
      </c>
      <c r="D1153" s="6">
        <v>4830</v>
      </c>
      <c r="E1153" s="61">
        <v>48737</v>
      </c>
      <c r="F1153" s="63" t="s">
        <v>81</v>
      </c>
    </row>
    <row r="1154" spans="1:6" x14ac:dyDescent="0.45">
      <c r="A1154" s="57">
        <v>2020</v>
      </c>
      <c r="B1154" s="3" t="s">
        <v>54</v>
      </c>
      <c r="C1154" s="3" t="s">
        <v>2</v>
      </c>
      <c r="D1154" s="4">
        <v>2168</v>
      </c>
      <c r="E1154" s="60">
        <v>66025</v>
      </c>
      <c r="F1154" s="63" t="s">
        <v>81</v>
      </c>
    </row>
    <row r="1155" spans="1:6" x14ac:dyDescent="0.45">
      <c r="A1155" s="58">
        <v>2020</v>
      </c>
      <c r="B1155" s="5" t="s">
        <v>54</v>
      </c>
      <c r="C1155" s="5" t="s">
        <v>3</v>
      </c>
      <c r="D1155" s="6">
        <v>3113</v>
      </c>
      <c r="E1155" s="61">
        <v>81499</v>
      </c>
      <c r="F1155" s="63" t="s">
        <v>82</v>
      </c>
    </row>
    <row r="1156" spans="1:6" x14ac:dyDescent="0.45">
      <c r="A1156" s="57">
        <v>2020</v>
      </c>
      <c r="B1156" s="3" t="s">
        <v>54</v>
      </c>
      <c r="C1156" s="3" t="s">
        <v>4</v>
      </c>
      <c r="D1156" s="4">
        <v>1210</v>
      </c>
      <c r="E1156" s="60">
        <v>59828</v>
      </c>
      <c r="F1156" s="63" t="s">
        <v>81</v>
      </c>
    </row>
    <row r="1157" spans="1:6" x14ac:dyDescent="0.45">
      <c r="A1157" s="58">
        <v>2020</v>
      </c>
      <c r="B1157" s="5" t="s">
        <v>54</v>
      </c>
      <c r="C1157" s="5" t="s">
        <v>5</v>
      </c>
      <c r="D1157" s="6">
        <v>26592</v>
      </c>
      <c r="E1157" s="61">
        <v>194173</v>
      </c>
      <c r="F1157" s="63" t="s">
        <v>81</v>
      </c>
    </row>
    <row r="1158" spans="1:6" x14ac:dyDescent="0.45">
      <c r="A1158" s="57">
        <v>2020</v>
      </c>
      <c r="B1158" s="3" t="s">
        <v>54</v>
      </c>
      <c r="C1158" s="3" t="s">
        <v>6</v>
      </c>
      <c r="D1158" s="4">
        <v>4173</v>
      </c>
      <c r="E1158" s="60">
        <v>106735</v>
      </c>
      <c r="F1158" s="63" t="s">
        <v>82</v>
      </c>
    </row>
    <row r="1159" spans="1:6" x14ac:dyDescent="0.45">
      <c r="A1159" s="58">
        <v>2020</v>
      </c>
      <c r="B1159" s="5" t="s">
        <v>54</v>
      </c>
      <c r="C1159" s="5" t="s">
        <v>7</v>
      </c>
      <c r="D1159" s="6">
        <v>2306</v>
      </c>
      <c r="E1159" s="61">
        <v>116642</v>
      </c>
      <c r="F1159" s="63" t="s">
        <v>81</v>
      </c>
    </row>
    <row r="1160" spans="1:6" x14ac:dyDescent="0.45">
      <c r="A1160" s="57">
        <v>2020</v>
      </c>
      <c r="B1160" s="3" t="s">
        <v>54</v>
      </c>
      <c r="C1160" s="3" t="s">
        <v>8</v>
      </c>
      <c r="D1160" s="3">
        <v>433</v>
      </c>
      <c r="E1160" s="60">
        <v>71782</v>
      </c>
      <c r="F1160" s="63" t="s">
        <v>81</v>
      </c>
    </row>
    <row r="1161" spans="1:6" x14ac:dyDescent="0.45">
      <c r="A1161" s="58">
        <v>2020</v>
      </c>
      <c r="B1161" s="5" t="s">
        <v>54</v>
      </c>
      <c r="C1161" s="5" t="s">
        <v>9</v>
      </c>
      <c r="D1161" s="6">
        <v>11205</v>
      </c>
      <c r="E1161" s="61">
        <v>87168</v>
      </c>
      <c r="F1161" s="63" t="s">
        <v>82</v>
      </c>
    </row>
    <row r="1162" spans="1:6" x14ac:dyDescent="0.45">
      <c r="A1162" s="57">
        <v>2020</v>
      </c>
      <c r="B1162" s="3" t="s">
        <v>54</v>
      </c>
      <c r="C1162" s="3" t="s">
        <v>10</v>
      </c>
      <c r="D1162" s="4">
        <v>5113</v>
      </c>
      <c r="E1162" s="60">
        <v>102613</v>
      </c>
      <c r="F1162" s="63" t="s">
        <v>81</v>
      </c>
    </row>
    <row r="1163" spans="1:6" x14ac:dyDescent="0.45">
      <c r="A1163" s="58">
        <v>2020</v>
      </c>
      <c r="B1163" s="5" t="s">
        <v>54</v>
      </c>
      <c r="C1163" s="5" t="s">
        <v>11</v>
      </c>
      <c r="D1163" s="6">
        <v>1223</v>
      </c>
      <c r="E1163" s="61">
        <v>58761</v>
      </c>
      <c r="F1163" s="63" t="s">
        <v>81</v>
      </c>
    </row>
    <row r="1164" spans="1:6" x14ac:dyDescent="0.45">
      <c r="A1164" s="57">
        <v>2020</v>
      </c>
      <c r="B1164" s="3" t="s">
        <v>54</v>
      </c>
      <c r="C1164" s="3" t="s">
        <v>12</v>
      </c>
      <c r="D1164" s="4">
        <v>6688</v>
      </c>
      <c r="E1164" s="60">
        <v>97164</v>
      </c>
      <c r="F1164" s="63" t="s">
        <v>82</v>
      </c>
    </row>
    <row r="1165" spans="1:6" x14ac:dyDescent="0.45">
      <c r="A1165" s="58">
        <v>2020</v>
      </c>
      <c r="B1165" s="5" t="s">
        <v>54</v>
      </c>
      <c r="C1165" s="5" t="s">
        <v>13</v>
      </c>
      <c r="D1165" s="6">
        <v>2123</v>
      </c>
      <c r="E1165" s="61">
        <v>66371</v>
      </c>
      <c r="F1165" s="63" t="s">
        <v>81</v>
      </c>
    </row>
    <row r="1166" spans="1:6" x14ac:dyDescent="0.45">
      <c r="A1166" s="57">
        <v>2020</v>
      </c>
      <c r="B1166" s="3" t="s">
        <v>54</v>
      </c>
      <c r="C1166" s="3" t="s">
        <v>14</v>
      </c>
      <c r="D1166" s="4">
        <v>1742</v>
      </c>
      <c r="E1166" s="60">
        <v>64519</v>
      </c>
      <c r="F1166" s="63" t="s">
        <v>81</v>
      </c>
    </row>
    <row r="1167" spans="1:6" x14ac:dyDescent="0.45">
      <c r="A1167" s="58">
        <v>2020</v>
      </c>
      <c r="B1167" s="5" t="s">
        <v>54</v>
      </c>
      <c r="C1167" s="5" t="s">
        <v>15</v>
      </c>
      <c r="D1167" s="6">
        <v>1308</v>
      </c>
      <c r="E1167" s="61">
        <v>69399</v>
      </c>
      <c r="F1167" s="63" t="s">
        <v>82</v>
      </c>
    </row>
    <row r="1168" spans="1:6" x14ac:dyDescent="0.45">
      <c r="A1168" s="57">
        <v>2020</v>
      </c>
      <c r="B1168" s="3" t="s">
        <v>54</v>
      </c>
      <c r="C1168" s="3" t="s">
        <v>16</v>
      </c>
      <c r="D1168" s="4">
        <v>1785</v>
      </c>
      <c r="E1168" s="60">
        <v>60629</v>
      </c>
      <c r="F1168" s="63" t="s">
        <v>81</v>
      </c>
    </row>
    <row r="1169" spans="1:6" x14ac:dyDescent="0.45">
      <c r="A1169" s="58">
        <v>2020</v>
      </c>
      <c r="B1169" s="5" t="s">
        <v>54</v>
      </c>
      <c r="C1169" s="5" t="s">
        <v>17</v>
      </c>
      <c r="D1169" s="6">
        <v>1716</v>
      </c>
      <c r="E1169" s="61">
        <v>64223</v>
      </c>
      <c r="F1169" s="63" t="s">
        <v>81</v>
      </c>
    </row>
    <row r="1170" spans="1:6" x14ac:dyDescent="0.45">
      <c r="A1170" s="57">
        <v>2020</v>
      </c>
      <c r="B1170" s="3" t="s">
        <v>54</v>
      </c>
      <c r="C1170" s="3" t="s">
        <v>18</v>
      </c>
      <c r="D1170" s="3">
        <v>849</v>
      </c>
      <c r="E1170" s="60">
        <v>60502</v>
      </c>
      <c r="F1170" s="63" t="s">
        <v>82</v>
      </c>
    </row>
    <row r="1171" spans="1:6" x14ac:dyDescent="0.45">
      <c r="A1171" s="58">
        <v>2020</v>
      </c>
      <c r="B1171" s="5" t="s">
        <v>54</v>
      </c>
      <c r="C1171" s="5" t="s">
        <v>19</v>
      </c>
      <c r="D1171" s="6">
        <v>2737</v>
      </c>
      <c r="E1171" s="61">
        <v>98844</v>
      </c>
      <c r="F1171" s="63" t="s">
        <v>81</v>
      </c>
    </row>
    <row r="1172" spans="1:6" x14ac:dyDescent="0.45">
      <c r="A1172" s="57">
        <v>2020</v>
      </c>
      <c r="B1172" s="3" t="s">
        <v>54</v>
      </c>
      <c r="C1172" s="3" t="s">
        <v>20</v>
      </c>
      <c r="D1172" s="4">
        <v>5379</v>
      </c>
      <c r="E1172" s="60">
        <v>129118</v>
      </c>
      <c r="F1172" s="63" t="s">
        <v>81</v>
      </c>
    </row>
    <row r="1173" spans="1:6" x14ac:dyDescent="0.45">
      <c r="A1173" s="58">
        <v>2020</v>
      </c>
      <c r="B1173" s="5" t="s">
        <v>54</v>
      </c>
      <c r="C1173" s="5" t="s">
        <v>21</v>
      </c>
      <c r="D1173" s="6">
        <v>6287</v>
      </c>
      <c r="E1173" s="61">
        <v>79556</v>
      </c>
      <c r="F1173" s="63" t="s">
        <v>82</v>
      </c>
    </row>
    <row r="1174" spans="1:6" x14ac:dyDescent="0.45">
      <c r="A1174" s="57">
        <v>2020</v>
      </c>
      <c r="B1174" s="3" t="s">
        <v>54</v>
      </c>
      <c r="C1174" s="3" t="s">
        <v>22</v>
      </c>
      <c r="D1174" s="4">
        <v>3977</v>
      </c>
      <c r="E1174" s="60">
        <v>84903</v>
      </c>
      <c r="F1174" s="63" t="s">
        <v>81</v>
      </c>
    </row>
    <row r="1175" spans="1:6" x14ac:dyDescent="0.45">
      <c r="A1175" s="58">
        <v>2020</v>
      </c>
      <c r="B1175" s="5" t="s">
        <v>54</v>
      </c>
      <c r="C1175" s="5" t="s">
        <v>23</v>
      </c>
      <c r="D1175" s="5">
        <v>940</v>
      </c>
      <c r="E1175" s="61">
        <v>55173</v>
      </c>
      <c r="F1175" s="63" t="s">
        <v>81</v>
      </c>
    </row>
    <row r="1176" spans="1:6" x14ac:dyDescent="0.45">
      <c r="A1176" s="57">
        <v>2020</v>
      </c>
      <c r="B1176" s="3" t="s">
        <v>54</v>
      </c>
      <c r="C1176" s="3" t="s">
        <v>24</v>
      </c>
      <c r="D1176" s="4">
        <v>3049</v>
      </c>
      <c r="E1176" s="60">
        <v>87842</v>
      </c>
      <c r="F1176" s="63" t="s">
        <v>82</v>
      </c>
    </row>
    <row r="1177" spans="1:6" x14ac:dyDescent="0.45">
      <c r="A1177" s="58">
        <v>2020</v>
      </c>
      <c r="B1177" s="5" t="s">
        <v>54</v>
      </c>
      <c r="C1177" s="5" t="s">
        <v>25</v>
      </c>
      <c r="D1177" s="5">
        <v>801</v>
      </c>
      <c r="E1177" s="61">
        <v>60475</v>
      </c>
      <c r="F1177" s="63" t="s">
        <v>81</v>
      </c>
    </row>
    <row r="1178" spans="1:6" x14ac:dyDescent="0.45">
      <c r="A1178" s="57">
        <v>2020</v>
      </c>
      <c r="B1178" s="3" t="s">
        <v>54</v>
      </c>
      <c r="C1178" s="3" t="s">
        <v>26</v>
      </c>
      <c r="D1178" s="3">
        <v>973</v>
      </c>
      <c r="E1178" s="60">
        <v>70407</v>
      </c>
      <c r="F1178" s="63" t="s">
        <v>81</v>
      </c>
    </row>
    <row r="1179" spans="1:6" x14ac:dyDescent="0.45">
      <c r="A1179" s="58">
        <v>2020</v>
      </c>
      <c r="B1179" s="5" t="s">
        <v>54</v>
      </c>
      <c r="C1179" s="5" t="s">
        <v>27</v>
      </c>
      <c r="D1179" s="6">
        <v>1541</v>
      </c>
      <c r="E1179" s="61">
        <v>76292</v>
      </c>
      <c r="F1179" s="63" t="s">
        <v>82</v>
      </c>
    </row>
    <row r="1180" spans="1:6" x14ac:dyDescent="0.45">
      <c r="A1180" s="57">
        <v>2020</v>
      </c>
      <c r="B1180" s="3" t="s">
        <v>54</v>
      </c>
      <c r="C1180" s="3" t="s">
        <v>28</v>
      </c>
      <c r="D1180" s="3">
        <v>892</v>
      </c>
      <c r="E1180" s="60">
        <v>99599</v>
      </c>
      <c r="F1180" s="63" t="s">
        <v>82</v>
      </c>
    </row>
    <row r="1181" spans="1:6" x14ac:dyDescent="0.45">
      <c r="A1181" s="58">
        <v>2020</v>
      </c>
      <c r="B1181" s="5" t="s">
        <v>54</v>
      </c>
      <c r="C1181" s="5" t="s">
        <v>29</v>
      </c>
      <c r="D1181" s="6">
        <v>3722</v>
      </c>
      <c r="E1181" s="61">
        <v>120630</v>
      </c>
      <c r="F1181" s="63" t="s">
        <v>81</v>
      </c>
    </row>
    <row r="1182" spans="1:6" x14ac:dyDescent="0.45">
      <c r="A1182" s="57">
        <v>2020</v>
      </c>
      <c r="B1182" s="3" t="s">
        <v>54</v>
      </c>
      <c r="C1182" s="3" t="s">
        <v>30</v>
      </c>
      <c r="D1182" s="3">
        <v>987</v>
      </c>
      <c r="E1182" s="60">
        <v>59204</v>
      </c>
      <c r="F1182" s="63" t="s">
        <v>81</v>
      </c>
    </row>
    <row r="1183" spans="1:6" x14ac:dyDescent="0.45">
      <c r="A1183" s="58">
        <v>2020</v>
      </c>
      <c r="B1183" s="5" t="s">
        <v>54</v>
      </c>
      <c r="C1183" s="5" t="s">
        <v>31</v>
      </c>
      <c r="D1183" s="6">
        <v>12672</v>
      </c>
      <c r="E1183" s="61">
        <v>135853</v>
      </c>
      <c r="F1183" s="63" t="s">
        <v>82</v>
      </c>
    </row>
    <row r="1184" spans="1:6" x14ac:dyDescent="0.45">
      <c r="A1184" s="57">
        <v>2020</v>
      </c>
      <c r="B1184" s="3" t="s">
        <v>54</v>
      </c>
      <c r="C1184" s="3" t="s">
        <v>32</v>
      </c>
      <c r="D1184" s="4">
        <v>5238</v>
      </c>
      <c r="E1184" s="60">
        <v>89920</v>
      </c>
      <c r="F1184" s="63" t="s">
        <v>81</v>
      </c>
    </row>
    <row r="1185" spans="1:6" x14ac:dyDescent="0.45">
      <c r="A1185" s="58">
        <v>2020</v>
      </c>
      <c r="B1185" s="5" t="s">
        <v>54</v>
      </c>
      <c r="C1185" s="5" t="s">
        <v>33</v>
      </c>
      <c r="D1185" s="5">
        <v>395</v>
      </c>
      <c r="E1185" s="61">
        <v>76208</v>
      </c>
      <c r="F1185" s="63" t="s">
        <v>82</v>
      </c>
    </row>
    <row r="1186" spans="1:6" x14ac:dyDescent="0.45">
      <c r="A1186" s="57">
        <v>2020</v>
      </c>
      <c r="B1186" s="3" t="s">
        <v>54</v>
      </c>
      <c r="C1186" s="3" t="s">
        <v>34</v>
      </c>
      <c r="D1186" s="4">
        <v>4616</v>
      </c>
      <c r="E1186" s="60">
        <v>76006</v>
      </c>
      <c r="F1186" s="63" t="s">
        <v>81</v>
      </c>
    </row>
    <row r="1187" spans="1:6" x14ac:dyDescent="0.45">
      <c r="A1187" s="58">
        <v>2020</v>
      </c>
      <c r="B1187" s="5" t="s">
        <v>54</v>
      </c>
      <c r="C1187" s="5" t="s">
        <v>35</v>
      </c>
      <c r="D1187" s="6">
        <v>1469</v>
      </c>
      <c r="E1187" s="61">
        <v>64997</v>
      </c>
      <c r="F1187" s="63" t="s">
        <v>81</v>
      </c>
    </row>
    <row r="1188" spans="1:6" x14ac:dyDescent="0.45">
      <c r="A1188" s="57">
        <v>2020</v>
      </c>
      <c r="B1188" s="3" t="s">
        <v>54</v>
      </c>
      <c r="C1188" s="3" t="s">
        <v>36</v>
      </c>
      <c r="D1188" s="4">
        <v>3768</v>
      </c>
      <c r="E1188" s="60">
        <v>93733</v>
      </c>
      <c r="F1188" s="63" t="s">
        <v>82</v>
      </c>
    </row>
    <row r="1189" spans="1:6" x14ac:dyDescent="0.45">
      <c r="A1189" s="58">
        <v>2020</v>
      </c>
      <c r="B1189" s="5" t="s">
        <v>54</v>
      </c>
      <c r="C1189" s="5" t="s">
        <v>37</v>
      </c>
      <c r="D1189" s="6">
        <v>4896</v>
      </c>
      <c r="E1189" s="61">
        <v>93091</v>
      </c>
      <c r="F1189" s="63" t="s">
        <v>82</v>
      </c>
    </row>
    <row r="1190" spans="1:6" x14ac:dyDescent="0.45">
      <c r="A1190" s="57">
        <v>2020</v>
      </c>
      <c r="B1190" s="3" t="s">
        <v>54</v>
      </c>
      <c r="C1190" s="3" t="s">
        <v>38</v>
      </c>
      <c r="D1190" s="3">
        <v>715</v>
      </c>
      <c r="E1190" s="60">
        <v>80327</v>
      </c>
      <c r="F1190" s="63" t="s">
        <v>81</v>
      </c>
    </row>
    <row r="1191" spans="1:6" x14ac:dyDescent="0.45">
      <c r="A1191" s="58">
        <v>2020</v>
      </c>
      <c r="B1191" s="5" t="s">
        <v>54</v>
      </c>
      <c r="C1191" s="5" t="s">
        <v>39</v>
      </c>
      <c r="D1191" s="6">
        <v>2548</v>
      </c>
      <c r="E1191" s="61">
        <v>67977</v>
      </c>
      <c r="F1191" s="63" t="s">
        <v>81</v>
      </c>
    </row>
    <row r="1192" spans="1:6" x14ac:dyDescent="0.45">
      <c r="A1192" s="57">
        <v>2020</v>
      </c>
      <c r="B1192" s="3" t="s">
        <v>54</v>
      </c>
      <c r="C1192" s="3" t="s">
        <v>40</v>
      </c>
      <c r="D1192" s="3">
        <v>561</v>
      </c>
      <c r="E1192" s="60">
        <v>55334</v>
      </c>
      <c r="F1192" s="63" t="s">
        <v>82</v>
      </c>
    </row>
    <row r="1193" spans="1:6" x14ac:dyDescent="0.45">
      <c r="A1193" s="58">
        <v>2020</v>
      </c>
      <c r="B1193" s="5" t="s">
        <v>54</v>
      </c>
      <c r="C1193" s="5" t="s">
        <v>41</v>
      </c>
      <c r="D1193" s="6">
        <v>3519</v>
      </c>
      <c r="E1193" s="61">
        <v>79821</v>
      </c>
      <c r="F1193" s="63" t="s">
        <v>82</v>
      </c>
    </row>
    <row r="1194" spans="1:6" x14ac:dyDescent="0.45">
      <c r="A1194" s="57">
        <v>2020</v>
      </c>
      <c r="B1194" s="3" t="s">
        <v>54</v>
      </c>
      <c r="C1194" s="3" t="s">
        <v>42</v>
      </c>
      <c r="D1194" s="4">
        <v>9828</v>
      </c>
      <c r="E1194" s="60">
        <v>93085</v>
      </c>
      <c r="F1194" s="63" t="s">
        <v>82</v>
      </c>
    </row>
    <row r="1195" spans="1:6" x14ac:dyDescent="0.45">
      <c r="A1195" s="58">
        <v>2020</v>
      </c>
      <c r="B1195" s="5" t="s">
        <v>54</v>
      </c>
      <c r="C1195" s="5" t="s">
        <v>43</v>
      </c>
      <c r="D1195" s="6">
        <v>2489</v>
      </c>
      <c r="E1195" s="61">
        <v>84404</v>
      </c>
      <c r="F1195" s="63" t="s">
        <v>82</v>
      </c>
    </row>
    <row r="1196" spans="1:6" x14ac:dyDescent="0.45">
      <c r="A1196" s="57">
        <v>2020</v>
      </c>
      <c r="B1196" s="3" t="s">
        <v>54</v>
      </c>
      <c r="C1196" s="3" t="s">
        <v>44</v>
      </c>
      <c r="D1196" s="3">
        <v>505</v>
      </c>
      <c r="E1196" s="60">
        <v>65800</v>
      </c>
      <c r="F1196" s="63" t="s">
        <v>82</v>
      </c>
    </row>
    <row r="1197" spans="1:6" x14ac:dyDescent="0.45">
      <c r="A1197" s="58">
        <v>2020</v>
      </c>
      <c r="B1197" s="5" t="s">
        <v>54</v>
      </c>
      <c r="C1197" s="5" t="s">
        <v>45</v>
      </c>
      <c r="D1197" s="6">
        <v>4379</v>
      </c>
      <c r="E1197" s="61">
        <v>106731</v>
      </c>
      <c r="F1197" s="63" t="s">
        <v>81</v>
      </c>
    </row>
    <row r="1198" spans="1:6" x14ac:dyDescent="0.45">
      <c r="A1198" s="57">
        <v>2020</v>
      </c>
      <c r="B1198" s="3" t="s">
        <v>54</v>
      </c>
      <c r="C1198" s="3" t="s">
        <v>46</v>
      </c>
      <c r="D1198" s="4">
        <v>4629</v>
      </c>
      <c r="E1198" s="60">
        <v>200631</v>
      </c>
      <c r="F1198" s="63" t="s">
        <v>81</v>
      </c>
    </row>
    <row r="1199" spans="1:6" x14ac:dyDescent="0.45">
      <c r="A1199" s="58">
        <v>2020</v>
      </c>
      <c r="B1199" s="5" t="s">
        <v>54</v>
      </c>
      <c r="C1199" s="5" t="s">
        <v>47</v>
      </c>
      <c r="D1199" s="5">
        <v>789</v>
      </c>
      <c r="E1199" s="61">
        <v>58508</v>
      </c>
      <c r="F1199" s="63" t="s">
        <v>82</v>
      </c>
    </row>
    <row r="1200" spans="1:6" x14ac:dyDescent="0.45">
      <c r="A1200" s="57">
        <v>2020</v>
      </c>
      <c r="B1200" s="3" t="s">
        <v>54</v>
      </c>
      <c r="C1200" s="3" t="s">
        <v>48</v>
      </c>
      <c r="D1200" s="4">
        <v>2298</v>
      </c>
      <c r="E1200" s="60">
        <v>81414</v>
      </c>
      <c r="F1200" s="63" t="s">
        <v>81</v>
      </c>
    </row>
    <row r="1201" spans="1:6" x14ac:dyDescent="0.45">
      <c r="A1201" s="58">
        <v>2020</v>
      </c>
      <c r="B1201" s="5" t="s">
        <v>54</v>
      </c>
      <c r="C1201" s="5" t="s">
        <v>49</v>
      </c>
      <c r="D1201" s="5">
        <v>398</v>
      </c>
      <c r="E1201" s="61">
        <v>53401</v>
      </c>
      <c r="F1201" s="63" t="s">
        <v>81</v>
      </c>
    </row>
    <row r="1202" spans="1:6" x14ac:dyDescent="0.45">
      <c r="A1202" s="57">
        <v>2020</v>
      </c>
      <c r="B1202" s="3" t="s">
        <v>55</v>
      </c>
      <c r="C1202" s="3" t="s">
        <v>2</v>
      </c>
      <c r="D1202" s="4">
        <v>13364</v>
      </c>
      <c r="E1202" s="60">
        <v>75240</v>
      </c>
      <c r="F1202" s="63" t="s">
        <v>82</v>
      </c>
    </row>
    <row r="1203" spans="1:6" x14ac:dyDescent="0.45">
      <c r="A1203" s="58">
        <v>2020</v>
      </c>
      <c r="B1203" s="5" t="s">
        <v>55</v>
      </c>
      <c r="C1203" s="5" t="s">
        <v>3</v>
      </c>
      <c r="D1203" s="6">
        <v>17978</v>
      </c>
      <c r="E1203" s="61">
        <v>76877</v>
      </c>
      <c r="F1203" s="63" t="s">
        <v>82</v>
      </c>
    </row>
    <row r="1204" spans="1:6" x14ac:dyDescent="0.45">
      <c r="A1204" s="57">
        <v>2020</v>
      </c>
      <c r="B1204" s="3" t="s">
        <v>55</v>
      </c>
      <c r="C1204" s="3" t="s">
        <v>4</v>
      </c>
      <c r="D1204" s="4">
        <v>8418</v>
      </c>
      <c r="E1204" s="60">
        <v>64119</v>
      </c>
      <c r="F1204" s="63" t="s">
        <v>81</v>
      </c>
    </row>
    <row r="1205" spans="1:6" x14ac:dyDescent="0.45">
      <c r="A1205" s="58">
        <v>2020</v>
      </c>
      <c r="B1205" s="5" t="s">
        <v>55</v>
      </c>
      <c r="C1205" s="5" t="s">
        <v>5</v>
      </c>
      <c r="D1205" s="6">
        <v>106953</v>
      </c>
      <c r="E1205" s="61">
        <v>113228</v>
      </c>
      <c r="F1205" s="63" t="s">
        <v>81</v>
      </c>
    </row>
    <row r="1206" spans="1:6" x14ac:dyDescent="0.45">
      <c r="A1206" s="57">
        <v>2020</v>
      </c>
      <c r="B1206" s="3" t="s">
        <v>55</v>
      </c>
      <c r="C1206" s="3" t="s">
        <v>6</v>
      </c>
      <c r="D1206" s="4">
        <v>23326</v>
      </c>
      <c r="E1206" s="60">
        <v>90615</v>
      </c>
      <c r="F1206" s="63" t="s">
        <v>82</v>
      </c>
    </row>
    <row r="1207" spans="1:6" x14ac:dyDescent="0.45">
      <c r="A1207" s="58">
        <v>2020</v>
      </c>
      <c r="B1207" s="5" t="s">
        <v>55</v>
      </c>
      <c r="C1207" s="5" t="s">
        <v>7</v>
      </c>
      <c r="D1207" s="6">
        <v>10879</v>
      </c>
      <c r="E1207" s="61">
        <v>161433</v>
      </c>
      <c r="F1207" s="63" t="s">
        <v>81</v>
      </c>
    </row>
    <row r="1208" spans="1:6" x14ac:dyDescent="0.45">
      <c r="A1208" s="57">
        <v>2020</v>
      </c>
      <c r="B1208" s="3" t="s">
        <v>55</v>
      </c>
      <c r="C1208" s="3" t="s">
        <v>8</v>
      </c>
      <c r="D1208" s="4">
        <v>2859</v>
      </c>
      <c r="E1208" s="60">
        <v>101574</v>
      </c>
      <c r="F1208" s="63" t="s">
        <v>82</v>
      </c>
    </row>
    <row r="1209" spans="1:6" x14ac:dyDescent="0.45">
      <c r="A1209" s="58">
        <v>2020</v>
      </c>
      <c r="B1209" s="5" t="s">
        <v>55</v>
      </c>
      <c r="C1209" s="5" t="s">
        <v>9</v>
      </c>
      <c r="D1209" s="6">
        <v>73412</v>
      </c>
      <c r="E1209" s="61">
        <v>81337</v>
      </c>
      <c r="F1209" s="63" t="s">
        <v>81</v>
      </c>
    </row>
    <row r="1210" spans="1:6" x14ac:dyDescent="0.45">
      <c r="A1210" s="57">
        <v>2020</v>
      </c>
      <c r="B1210" s="3" t="s">
        <v>55</v>
      </c>
      <c r="C1210" s="3" t="s">
        <v>10</v>
      </c>
      <c r="D1210" s="4">
        <v>26225</v>
      </c>
      <c r="E1210" s="60">
        <v>90587</v>
      </c>
      <c r="F1210" s="63" t="s">
        <v>81</v>
      </c>
    </row>
    <row r="1211" spans="1:6" x14ac:dyDescent="0.45">
      <c r="A1211" s="58">
        <v>2020</v>
      </c>
      <c r="B1211" s="5" t="s">
        <v>55</v>
      </c>
      <c r="C1211" s="5" t="s">
        <v>11</v>
      </c>
      <c r="D1211" s="6">
        <v>5824</v>
      </c>
      <c r="E1211" s="61">
        <v>62024</v>
      </c>
      <c r="F1211" s="63" t="s">
        <v>82</v>
      </c>
    </row>
    <row r="1212" spans="1:6" x14ac:dyDescent="0.45">
      <c r="A1212" s="57">
        <v>2020</v>
      </c>
      <c r="B1212" s="3" t="s">
        <v>55</v>
      </c>
      <c r="C1212" s="3" t="s">
        <v>12</v>
      </c>
      <c r="D1212" s="4">
        <v>32448</v>
      </c>
      <c r="E1212" s="60">
        <v>115598</v>
      </c>
      <c r="F1212" s="63" t="s">
        <v>82</v>
      </c>
    </row>
    <row r="1213" spans="1:6" x14ac:dyDescent="0.45">
      <c r="A1213" s="58">
        <v>2020</v>
      </c>
      <c r="B1213" s="5" t="s">
        <v>55</v>
      </c>
      <c r="C1213" s="5" t="s">
        <v>13</v>
      </c>
      <c r="D1213" s="6">
        <v>16542</v>
      </c>
      <c r="E1213" s="61">
        <v>71167</v>
      </c>
      <c r="F1213" s="63" t="s">
        <v>81</v>
      </c>
    </row>
    <row r="1214" spans="1:6" x14ac:dyDescent="0.45">
      <c r="A1214" s="57">
        <v>2020</v>
      </c>
      <c r="B1214" s="3" t="s">
        <v>55</v>
      </c>
      <c r="C1214" s="3" t="s">
        <v>14</v>
      </c>
      <c r="D1214" s="4">
        <v>10213</v>
      </c>
      <c r="E1214" s="60">
        <v>79894</v>
      </c>
      <c r="F1214" s="63" t="s">
        <v>81</v>
      </c>
    </row>
    <row r="1215" spans="1:6" x14ac:dyDescent="0.45">
      <c r="A1215" s="58">
        <v>2020</v>
      </c>
      <c r="B1215" s="5" t="s">
        <v>55</v>
      </c>
      <c r="C1215" s="5" t="s">
        <v>15</v>
      </c>
      <c r="D1215" s="6">
        <v>8870</v>
      </c>
      <c r="E1215" s="61">
        <v>73710</v>
      </c>
      <c r="F1215" s="63" t="s">
        <v>82</v>
      </c>
    </row>
    <row r="1216" spans="1:6" x14ac:dyDescent="0.45">
      <c r="A1216" s="57">
        <v>2020</v>
      </c>
      <c r="B1216" s="3" t="s">
        <v>55</v>
      </c>
      <c r="C1216" s="3" t="s">
        <v>16</v>
      </c>
      <c r="D1216" s="4">
        <v>11035</v>
      </c>
      <c r="E1216" s="60">
        <v>73733</v>
      </c>
      <c r="F1216" s="63" t="s">
        <v>82</v>
      </c>
    </row>
    <row r="1217" spans="1:6" x14ac:dyDescent="0.45">
      <c r="A1217" s="58">
        <v>2020</v>
      </c>
      <c r="B1217" s="5" t="s">
        <v>55</v>
      </c>
      <c r="C1217" s="5" t="s">
        <v>17</v>
      </c>
      <c r="D1217" s="6">
        <v>13754</v>
      </c>
      <c r="E1217" s="61">
        <v>68731</v>
      </c>
      <c r="F1217" s="63" t="s">
        <v>82</v>
      </c>
    </row>
    <row r="1218" spans="1:6" x14ac:dyDescent="0.45">
      <c r="A1218" s="57">
        <v>2020</v>
      </c>
      <c r="B1218" s="3" t="s">
        <v>55</v>
      </c>
      <c r="C1218" s="3" t="s">
        <v>18</v>
      </c>
      <c r="D1218" s="4">
        <v>3804</v>
      </c>
      <c r="E1218" s="60">
        <v>74174</v>
      </c>
      <c r="F1218" s="63" t="s">
        <v>82</v>
      </c>
    </row>
    <row r="1219" spans="1:6" x14ac:dyDescent="0.45">
      <c r="A1219" s="58">
        <v>2020</v>
      </c>
      <c r="B1219" s="5" t="s">
        <v>55</v>
      </c>
      <c r="C1219" s="5" t="s">
        <v>19</v>
      </c>
      <c r="D1219" s="6">
        <v>15277</v>
      </c>
      <c r="E1219" s="61">
        <v>100201</v>
      </c>
      <c r="F1219" s="63" t="s">
        <v>82</v>
      </c>
    </row>
    <row r="1220" spans="1:6" x14ac:dyDescent="0.45">
      <c r="A1220" s="57">
        <v>2020</v>
      </c>
      <c r="B1220" s="3" t="s">
        <v>55</v>
      </c>
      <c r="C1220" s="3" t="s">
        <v>20</v>
      </c>
      <c r="D1220" s="4">
        <v>17504</v>
      </c>
      <c r="E1220" s="60">
        <v>150514</v>
      </c>
      <c r="F1220" s="63" t="s">
        <v>81</v>
      </c>
    </row>
    <row r="1221" spans="1:6" x14ac:dyDescent="0.45">
      <c r="A1221" s="58">
        <v>2020</v>
      </c>
      <c r="B1221" s="5" t="s">
        <v>55</v>
      </c>
      <c r="C1221" s="5" t="s">
        <v>21</v>
      </c>
      <c r="D1221" s="6">
        <v>19082</v>
      </c>
      <c r="E1221" s="61">
        <v>77568</v>
      </c>
      <c r="F1221" s="63" t="s">
        <v>81</v>
      </c>
    </row>
    <row r="1222" spans="1:6" x14ac:dyDescent="0.45">
      <c r="A1222" s="57">
        <v>2020</v>
      </c>
      <c r="B1222" s="3" t="s">
        <v>55</v>
      </c>
      <c r="C1222" s="3" t="s">
        <v>22</v>
      </c>
      <c r="D1222" s="4">
        <v>15877</v>
      </c>
      <c r="E1222" s="60">
        <v>101604</v>
      </c>
      <c r="F1222" s="63" t="s">
        <v>82</v>
      </c>
    </row>
    <row r="1223" spans="1:6" x14ac:dyDescent="0.45">
      <c r="A1223" s="58">
        <v>2020</v>
      </c>
      <c r="B1223" s="5" t="s">
        <v>55</v>
      </c>
      <c r="C1223" s="5" t="s">
        <v>23</v>
      </c>
      <c r="D1223" s="6">
        <v>7959</v>
      </c>
      <c r="E1223" s="61">
        <v>59281</v>
      </c>
      <c r="F1223" s="63" t="s">
        <v>81</v>
      </c>
    </row>
    <row r="1224" spans="1:6" x14ac:dyDescent="0.45">
      <c r="A1224" s="57">
        <v>2020</v>
      </c>
      <c r="B1224" s="3" t="s">
        <v>55</v>
      </c>
      <c r="C1224" s="3" t="s">
        <v>24</v>
      </c>
      <c r="D1224" s="4">
        <v>17251</v>
      </c>
      <c r="E1224" s="60">
        <v>78947</v>
      </c>
      <c r="F1224" s="63" t="s">
        <v>81</v>
      </c>
    </row>
    <row r="1225" spans="1:6" x14ac:dyDescent="0.45">
      <c r="A1225" s="58">
        <v>2020</v>
      </c>
      <c r="B1225" s="5" t="s">
        <v>55</v>
      </c>
      <c r="C1225" s="5" t="s">
        <v>25</v>
      </c>
      <c r="D1225" s="6">
        <v>4297</v>
      </c>
      <c r="E1225" s="61">
        <v>65315</v>
      </c>
      <c r="F1225" s="63" t="s">
        <v>82</v>
      </c>
    </row>
    <row r="1226" spans="1:6" x14ac:dyDescent="0.45">
      <c r="A1226" s="57">
        <v>2020</v>
      </c>
      <c r="B1226" s="3" t="s">
        <v>55</v>
      </c>
      <c r="C1226" s="3" t="s">
        <v>26</v>
      </c>
      <c r="D1226" s="4">
        <v>6683</v>
      </c>
      <c r="E1226" s="60">
        <v>72817</v>
      </c>
      <c r="F1226" s="63" t="s">
        <v>82</v>
      </c>
    </row>
    <row r="1227" spans="1:6" x14ac:dyDescent="0.45">
      <c r="A1227" s="58">
        <v>2020</v>
      </c>
      <c r="B1227" s="5" t="s">
        <v>55</v>
      </c>
      <c r="C1227" s="5" t="s">
        <v>27</v>
      </c>
      <c r="D1227" s="6">
        <v>9082</v>
      </c>
      <c r="E1227" s="61">
        <v>72612</v>
      </c>
      <c r="F1227" s="63" t="s">
        <v>81</v>
      </c>
    </row>
    <row r="1228" spans="1:6" x14ac:dyDescent="0.45">
      <c r="A1228" s="57">
        <v>2020</v>
      </c>
      <c r="B1228" s="3" t="s">
        <v>55</v>
      </c>
      <c r="C1228" s="3" t="s">
        <v>28</v>
      </c>
      <c r="D1228" s="4">
        <v>3838</v>
      </c>
      <c r="E1228" s="60">
        <v>100889</v>
      </c>
      <c r="F1228" s="63" t="s">
        <v>81</v>
      </c>
    </row>
    <row r="1229" spans="1:6" x14ac:dyDescent="0.45">
      <c r="A1229" s="58">
        <v>2020</v>
      </c>
      <c r="B1229" s="5" t="s">
        <v>55</v>
      </c>
      <c r="C1229" s="5" t="s">
        <v>29</v>
      </c>
      <c r="D1229" s="6">
        <v>19963</v>
      </c>
      <c r="E1229" s="61">
        <v>121066</v>
      </c>
      <c r="F1229" s="63" t="s">
        <v>82</v>
      </c>
    </row>
    <row r="1230" spans="1:6" x14ac:dyDescent="0.45">
      <c r="A1230" s="57">
        <v>2020</v>
      </c>
      <c r="B1230" s="3" t="s">
        <v>55</v>
      </c>
      <c r="C1230" s="3" t="s">
        <v>30</v>
      </c>
      <c r="D1230" s="4">
        <v>5293</v>
      </c>
      <c r="E1230" s="60">
        <v>62048</v>
      </c>
      <c r="F1230" s="63" t="s">
        <v>81</v>
      </c>
    </row>
    <row r="1231" spans="1:6" x14ac:dyDescent="0.45">
      <c r="A1231" s="58">
        <v>2020</v>
      </c>
      <c r="B1231" s="5" t="s">
        <v>55</v>
      </c>
      <c r="C1231" s="5" t="s">
        <v>31</v>
      </c>
      <c r="D1231" s="6">
        <v>64317</v>
      </c>
      <c r="E1231" s="61">
        <v>192871</v>
      </c>
      <c r="F1231" s="63" t="s">
        <v>82</v>
      </c>
    </row>
    <row r="1232" spans="1:6" x14ac:dyDescent="0.45">
      <c r="A1232" s="57">
        <v>2020</v>
      </c>
      <c r="B1232" s="3" t="s">
        <v>55</v>
      </c>
      <c r="C1232" s="3" t="s">
        <v>32</v>
      </c>
      <c r="D1232" s="4">
        <v>27776</v>
      </c>
      <c r="E1232" s="60">
        <v>93311</v>
      </c>
      <c r="F1232" s="63" t="s">
        <v>81</v>
      </c>
    </row>
    <row r="1233" spans="1:6" x14ac:dyDescent="0.45">
      <c r="A1233" s="58">
        <v>2020</v>
      </c>
      <c r="B1233" s="5" t="s">
        <v>55</v>
      </c>
      <c r="C1233" s="5" t="s">
        <v>33</v>
      </c>
      <c r="D1233" s="6">
        <v>2995</v>
      </c>
      <c r="E1233" s="61">
        <v>69251</v>
      </c>
      <c r="F1233" s="63" t="s">
        <v>81</v>
      </c>
    </row>
    <row r="1234" spans="1:6" x14ac:dyDescent="0.45">
      <c r="A1234" s="57">
        <v>2020</v>
      </c>
      <c r="B1234" s="3" t="s">
        <v>55</v>
      </c>
      <c r="C1234" s="3" t="s">
        <v>34</v>
      </c>
      <c r="D1234" s="4">
        <v>28783</v>
      </c>
      <c r="E1234" s="60">
        <v>78736</v>
      </c>
      <c r="F1234" s="63" t="s">
        <v>82</v>
      </c>
    </row>
    <row r="1235" spans="1:6" x14ac:dyDescent="0.45">
      <c r="A1235" s="58">
        <v>2020</v>
      </c>
      <c r="B1235" s="5" t="s">
        <v>55</v>
      </c>
      <c r="C1235" s="5" t="s">
        <v>35</v>
      </c>
      <c r="D1235" s="6">
        <v>11458</v>
      </c>
      <c r="E1235" s="61">
        <v>64044</v>
      </c>
      <c r="F1235" s="63" t="s">
        <v>82</v>
      </c>
    </row>
    <row r="1236" spans="1:6" x14ac:dyDescent="0.45">
      <c r="A1236" s="57">
        <v>2020</v>
      </c>
      <c r="B1236" s="3" t="s">
        <v>55</v>
      </c>
      <c r="C1236" s="3" t="s">
        <v>36</v>
      </c>
      <c r="D1236" s="4">
        <v>13030</v>
      </c>
      <c r="E1236" s="60">
        <v>75649</v>
      </c>
      <c r="F1236" s="63" t="s">
        <v>81</v>
      </c>
    </row>
    <row r="1237" spans="1:6" x14ac:dyDescent="0.45">
      <c r="A1237" s="58">
        <v>2020</v>
      </c>
      <c r="B1237" s="5" t="s">
        <v>55</v>
      </c>
      <c r="C1237" s="5" t="s">
        <v>37</v>
      </c>
      <c r="D1237" s="6">
        <v>28823</v>
      </c>
      <c r="E1237" s="61">
        <v>94831</v>
      </c>
      <c r="F1237" s="63" t="s">
        <v>81</v>
      </c>
    </row>
    <row r="1238" spans="1:6" x14ac:dyDescent="0.45">
      <c r="A1238" s="57">
        <v>2020</v>
      </c>
      <c r="B1238" s="3" t="s">
        <v>55</v>
      </c>
      <c r="C1238" s="3" t="s">
        <v>38</v>
      </c>
      <c r="D1238" s="4">
        <v>2869</v>
      </c>
      <c r="E1238" s="60">
        <v>94061</v>
      </c>
      <c r="F1238" s="63" t="s">
        <v>82</v>
      </c>
    </row>
    <row r="1239" spans="1:6" x14ac:dyDescent="0.45">
      <c r="A1239" s="58">
        <v>2020</v>
      </c>
      <c r="B1239" s="5" t="s">
        <v>55</v>
      </c>
      <c r="C1239" s="5" t="s">
        <v>39</v>
      </c>
      <c r="D1239" s="6">
        <v>13166</v>
      </c>
      <c r="E1239" s="61">
        <v>67713</v>
      </c>
      <c r="F1239" s="63" t="s">
        <v>82</v>
      </c>
    </row>
    <row r="1240" spans="1:6" x14ac:dyDescent="0.45">
      <c r="A1240" s="57">
        <v>2020</v>
      </c>
      <c r="B1240" s="3" t="s">
        <v>55</v>
      </c>
      <c r="C1240" s="3" t="s">
        <v>40</v>
      </c>
      <c r="D1240" s="4">
        <v>3259</v>
      </c>
      <c r="E1240" s="60">
        <v>66160</v>
      </c>
      <c r="F1240" s="63" t="s">
        <v>82</v>
      </c>
    </row>
    <row r="1241" spans="1:6" x14ac:dyDescent="0.45">
      <c r="A1241" s="58">
        <v>2020</v>
      </c>
      <c r="B1241" s="5" t="s">
        <v>55</v>
      </c>
      <c r="C1241" s="5" t="s">
        <v>41</v>
      </c>
      <c r="D1241" s="6">
        <v>15698</v>
      </c>
      <c r="E1241" s="61">
        <v>82718</v>
      </c>
      <c r="F1241" s="63" t="s">
        <v>82</v>
      </c>
    </row>
    <row r="1242" spans="1:6" x14ac:dyDescent="0.45">
      <c r="A1242" s="57">
        <v>2020</v>
      </c>
      <c r="B1242" s="3" t="s">
        <v>55</v>
      </c>
      <c r="C1242" s="3" t="s">
        <v>42</v>
      </c>
      <c r="D1242" s="4">
        <v>73679</v>
      </c>
      <c r="E1242" s="60">
        <v>89356</v>
      </c>
      <c r="F1242" s="63" t="s">
        <v>82</v>
      </c>
    </row>
    <row r="1243" spans="1:6" x14ac:dyDescent="0.45">
      <c r="A1243" s="58">
        <v>2020</v>
      </c>
      <c r="B1243" s="5" t="s">
        <v>55</v>
      </c>
      <c r="C1243" s="5" t="s">
        <v>43</v>
      </c>
      <c r="D1243" s="6">
        <v>11520</v>
      </c>
      <c r="E1243" s="61">
        <v>73933</v>
      </c>
      <c r="F1243" s="63" t="s">
        <v>81</v>
      </c>
    </row>
    <row r="1244" spans="1:6" x14ac:dyDescent="0.45">
      <c r="A1244" s="57">
        <v>2020</v>
      </c>
      <c r="B1244" s="3" t="s">
        <v>55</v>
      </c>
      <c r="C1244" s="3" t="s">
        <v>44</v>
      </c>
      <c r="D1244" s="4">
        <v>1694</v>
      </c>
      <c r="E1244" s="60">
        <v>78078</v>
      </c>
      <c r="F1244" s="63" t="s">
        <v>81</v>
      </c>
    </row>
    <row r="1245" spans="1:6" x14ac:dyDescent="0.45">
      <c r="A1245" s="58">
        <v>2020</v>
      </c>
      <c r="B1245" s="5" t="s">
        <v>55</v>
      </c>
      <c r="C1245" s="5" t="s">
        <v>45</v>
      </c>
      <c r="D1245" s="6">
        <v>21938</v>
      </c>
      <c r="E1245" s="61">
        <v>91723</v>
      </c>
      <c r="F1245" s="63" t="s">
        <v>82</v>
      </c>
    </row>
    <row r="1246" spans="1:6" x14ac:dyDescent="0.45">
      <c r="A1246" s="57">
        <v>2020</v>
      </c>
      <c r="B1246" s="3" t="s">
        <v>55</v>
      </c>
      <c r="C1246" s="3" t="s">
        <v>46</v>
      </c>
      <c r="D1246" s="4">
        <v>17577</v>
      </c>
      <c r="E1246" s="60">
        <v>86466</v>
      </c>
      <c r="F1246" s="63" t="s">
        <v>81</v>
      </c>
    </row>
    <row r="1247" spans="1:6" x14ac:dyDescent="0.45">
      <c r="A1247" s="58">
        <v>2020</v>
      </c>
      <c r="B1247" s="5" t="s">
        <v>55</v>
      </c>
      <c r="C1247" s="5" t="s">
        <v>47</v>
      </c>
      <c r="D1247" s="6">
        <v>4029</v>
      </c>
      <c r="E1247" s="61">
        <v>59206</v>
      </c>
      <c r="F1247" s="63" t="s">
        <v>81</v>
      </c>
    </row>
    <row r="1248" spans="1:6" x14ac:dyDescent="0.45">
      <c r="A1248" s="57">
        <v>2020</v>
      </c>
      <c r="B1248" s="3" t="s">
        <v>55</v>
      </c>
      <c r="C1248" s="3" t="s">
        <v>48</v>
      </c>
      <c r="D1248" s="4">
        <v>13917</v>
      </c>
      <c r="E1248" s="60">
        <v>77561</v>
      </c>
      <c r="F1248" s="63" t="s">
        <v>82</v>
      </c>
    </row>
    <row r="1249" spans="1:6" x14ac:dyDescent="0.45">
      <c r="A1249" s="58">
        <v>2020</v>
      </c>
      <c r="B1249" s="5" t="s">
        <v>55</v>
      </c>
      <c r="C1249" s="5" t="s">
        <v>49</v>
      </c>
      <c r="D1249" s="6">
        <v>2283</v>
      </c>
      <c r="E1249" s="61">
        <v>63486</v>
      </c>
      <c r="F1249" s="63" t="s">
        <v>82</v>
      </c>
    </row>
    <row r="1250" spans="1:6" x14ac:dyDescent="0.45">
      <c r="A1250" s="57">
        <v>2020</v>
      </c>
      <c r="B1250" s="3" t="s">
        <v>56</v>
      </c>
      <c r="C1250" s="3" t="s">
        <v>2</v>
      </c>
      <c r="D1250" s="4">
        <v>21888</v>
      </c>
      <c r="E1250" s="60">
        <v>61653</v>
      </c>
      <c r="F1250" s="63" t="s">
        <v>81</v>
      </c>
    </row>
    <row r="1251" spans="1:6" x14ac:dyDescent="0.45">
      <c r="A1251" s="58">
        <v>2020</v>
      </c>
      <c r="B1251" s="5" t="s">
        <v>56</v>
      </c>
      <c r="C1251" s="5" t="s">
        <v>3</v>
      </c>
      <c r="D1251" s="6">
        <v>35993</v>
      </c>
      <c r="E1251" s="61">
        <v>62745</v>
      </c>
      <c r="F1251" s="63" t="s">
        <v>81</v>
      </c>
    </row>
    <row r="1252" spans="1:6" x14ac:dyDescent="0.45">
      <c r="A1252" s="57">
        <v>2020</v>
      </c>
      <c r="B1252" s="3" t="s">
        <v>56</v>
      </c>
      <c r="C1252" s="3" t="s">
        <v>4</v>
      </c>
      <c r="D1252" s="4">
        <v>14308</v>
      </c>
      <c r="E1252" s="60">
        <v>66316</v>
      </c>
      <c r="F1252" s="63" t="s">
        <v>82</v>
      </c>
    </row>
    <row r="1253" spans="1:6" x14ac:dyDescent="0.45">
      <c r="A1253" s="58">
        <v>2020</v>
      </c>
      <c r="B1253" s="5" t="s">
        <v>56</v>
      </c>
      <c r="C1253" s="5" t="s">
        <v>5</v>
      </c>
      <c r="D1253" s="6">
        <v>208425</v>
      </c>
      <c r="E1253" s="61">
        <v>97070</v>
      </c>
      <c r="F1253" s="63" t="s">
        <v>81</v>
      </c>
    </row>
    <row r="1254" spans="1:6" x14ac:dyDescent="0.45">
      <c r="A1254" s="57">
        <v>2020</v>
      </c>
      <c r="B1254" s="3" t="s">
        <v>56</v>
      </c>
      <c r="C1254" s="3" t="s">
        <v>6</v>
      </c>
      <c r="D1254" s="4">
        <v>52525</v>
      </c>
      <c r="E1254" s="60">
        <v>87401</v>
      </c>
      <c r="F1254" s="63" t="s">
        <v>82</v>
      </c>
    </row>
    <row r="1255" spans="1:6" x14ac:dyDescent="0.45">
      <c r="A1255" s="58">
        <v>2020</v>
      </c>
      <c r="B1255" s="5" t="s">
        <v>56</v>
      </c>
      <c r="C1255" s="5" t="s">
        <v>7</v>
      </c>
      <c r="D1255" s="6">
        <v>23279</v>
      </c>
      <c r="E1255" s="61">
        <v>93958</v>
      </c>
      <c r="F1255" s="63" t="s">
        <v>81</v>
      </c>
    </row>
    <row r="1256" spans="1:6" x14ac:dyDescent="0.45">
      <c r="A1256" s="57">
        <v>2020</v>
      </c>
      <c r="B1256" s="3" t="s">
        <v>56</v>
      </c>
      <c r="C1256" s="3" t="s">
        <v>8</v>
      </c>
      <c r="D1256" s="4">
        <v>8956</v>
      </c>
      <c r="E1256" s="60">
        <v>86066</v>
      </c>
      <c r="F1256" s="63" t="s">
        <v>81</v>
      </c>
    </row>
    <row r="1257" spans="1:6" x14ac:dyDescent="0.45">
      <c r="A1257" s="58">
        <v>2020</v>
      </c>
      <c r="B1257" s="5" t="s">
        <v>56</v>
      </c>
      <c r="C1257" s="5" t="s">
        <v>9</v>
      </c>
      <c r="D1257" s="6">
        <v>161890</v>
      </c>
      <c r="E1257" s="61">
        <v>66914</v>
      </c>
      <c r="F1257" s="63" t="s">
        <v>82</v>
      </c>
    </row>
    <row r="1258" spans="1:6" x14ac:dyDescent="0.45">
      <c r="A1258" s="57">
        <v>2020</v>
      </c>
      <c r="B1258" s="3" t="s">
        <v>56</v>
      </c>
      <c r="C1258" s="3" t="s">
        <v>10</v>
      </c>
      <c r="D1258" s="4">
        <v>54714</v>
      </c>
      <c r="E1258" s="60">
        <v>72989</v>
      </c>
      <c r="F1258" s="63" t="s">
        <v>82</v>
      </c>
    </row>
    <row r="1259" spans="1:6" x14ac:dyDescent="0.45">
      <c r="A1259" s="58">
        <v>2020</v>
      </c>
      <c r="B1259" s="5" t="s">
        <v>56</v>
      </c>
      <c r="C1259" s="5" t="s">
        <v>11</v>
      </c>
      <c r="D1259" s="6">
        <v>11562</v>
      </c>
      <c r="E1259" s="61">
        <v>57695</v>
      </c>
      <c r="F1259" s="63" t="s">
        <v>81</v>
      </c>
    </row>
    <row r="1260" spans="1:6" x14ac:dyDescent="0.45">
      <c r="A1260" s="57">
        <v>2020</v>
      </c>
      <c r="B1260" s="3" t="s">
        <v>56</v>
      </c>
      <c r="C1260" s="3" t="s">
        <v>12</v>
      </c>
      <c r="D1260" s="4">
        <v>74587</v>
      </c>
      <c r="E1260" s="60">
        <v>82586</v>
      </c>
      <c r="F1260" s="63" t="s">
        <v>81</v>
      </c>
    </row>
    <row r="1261" spans="1:6" x14ac:dyDescent="0.45">
      <c r="A1261" s="58">
        <v>2020</v>
      </c>
      <c r="B1261" s="5" t="s">
        <v>56</v>
      </c>
      <c r="C1261" s="5" t="s">
        <v>13</v>
      </c>
      <c r="D1261" s="6">
        <v>29755</v>
      </c>
      <c r="E1261" s="61">
        <v>58468</v>
      </c>
      <c r="F1261" s="63" t="s">
        <v>82</v>
      </c>
    </row>
    <row r="1262" spans="1:6" x14ac:dyDescent="0.45">
      <c r="A1262" s="57">
        <v>2020</v>
      </c>
      <c r="B1262" s="3" t="s">
        <v>56</v>
      </c>
      <c r="C1262" s="3" t="s">
        <v>14</v>
      </c>
      <c r="D1262" s="4">
        <v>15839</v>
      </c>
      <c r="E1262" s="60">
        <v>60071</v>
      </c>
      <c r="F1262" s="63" t="s">
        <v>82</v>
      </c>
    </row>
    <row r="1263" spans="1:6" x14ac:dyDescent="0.45">
      <c r="A1263" s="58">
        <v>2020</v>
      </c>
      <c r="B1263" s="5" t="s">
        <v>56</v>
      </c>
      <c r="C1263" s="5" t="s">
        <v>15</v>
      </c>
      <c r="D1263" s="6">
        <v>16731</v>
      </c>
      <c r="E1263" s="61">
        <v>67288</v>
      </c>
      <c r="F1263" s="63" t="s">
        <v>82</v>
      </c>
    </row>
    <row r="1264" spans="1:6" x14ac:dyDescent="0.45">
      <c r="A1264" s="57">
        <v>2020</v>
      </c>
      <c r="B1264" s="3" t="s">
        <v>56</v>
      </c>
      <c r="C1264" s="3" t="s">
        <v>16</v>
      </c>
      <c r="D1264" s="4">
        <v>20542</v>
      </c>
      <c r="E1264" s="60">
        <v>56087</v>
      </c>
      <c r="F1264" s="63" t="s">
        <v>82</v>
      </c>
    </row>
    <row r="1265" spans="1:6" x14ac:dyDescent="0.45">
      <c r="A1265" s="58">
        <v>2020</v>
      </c>
      <c r="B1265" s="5" t="s">
        <v>56</v>
      </c>
      <c r="C1265" s="5" t="s">
        <v>17</v>
      </c>
      <c r="D1265" s="6">
        <v>24537</v>
      </c>
      <c r="E1265" s="61">
        <v>62446</v>
      </c>
      <c r="F1265" s="63" t="s">
        <v>82</v>
      </c>
    </row>
    <row r="1266" spans="1:6" x14ac:dyDescent="0.45">
      <c r="A1266" s="57">
        <v>2020</v>
      </c>
      <c r="B1266" s="3" t="s">
        <v>56</v>
      </c>
      <c r="C1266" s="3" t="s">
        <v>18</v>
      </c>
      <c r="D1266" s="4">
        <v>9940</v>
      </c>
      <c r="E1266" s="60">
        <v>63328</v>
      </c>
      <c r="F1266" s="63" t="s">
        <v>81</v>
      </c>
    </row>
    <row r="1267" spans="1:6" x14ac:dyDescent="0.45">
      <c r="A1267" s="58">
        <v>2020</v>
      </c>
      <c r="B1267" s="5" t="s">
        <v>56</v>
      </c>
      <c r="C1267" s="5" t="s">
        <v>19</v>
      </c>
      <c r="D1267" s="6">
        <v>42809</v>
      </c>
      <c r="E1267" s="61">
        <v>85500</v>
      </c>
      <c r="F1267" s="63" t="s">
        <v>81</v>
      </c>
    </row>
    <row r="1268" spans="1:6" x14ac:dyDescent="0.45">
      <c r="A1268" s="57">
        <v>2020</v>
      </c>
      <c r="B1268" s="3" t="s">
        <v>56</v>
      </c>
      <c r="C1268" s="3" t="s">
        <v>20</v>
      </c>
      <c r="D1268" s="4">
        <v>47416</v>
      </c>
      <c r="E1268" s="60">
        <v>113875</v>
      </c>
      <c r="F1268" s="63" t="s">
        <v>82</v>
      </c>
    </row>
    <row r="1269" spans="1:6" x14ac:dyDescent="0.45">
      <c r="A1269" s="58">
        <v>2020</v>
      </c>
      <c r="B1269" s="5" t="s">
        <v>56</v>
      </c>
      <c r="C1269" s="5" t="s">
        <v>21</v>
      </c>
      <c r="D1269" s="6">
        <v>42545</v>
      </c>
      <c r="E1269" s="61">
        <v>75377</v>
      </c>
      <c r="F1269" s="63" t="s">
        <v>81</v>
      </c>
    </row>
    <row r="1270" spans="1:6" x14ac:dyDescent="0.45">
      <c r="A1270" s="57">
        <v>2020</v>
      </c>
      <c r="B1270" s="3" t="s">
        <v>56</v>
      </c>
      <c r="C1270" s="3" t="s">
        <v>22</v>
      </c>
      <c r="D1270" s="4">
        <v>32020</v>
      </c>
      <c r="E1270" s="60">
        <v>88535</v>
      </c>
      <c r="F1270" s="63" t="s">
        <v>81</v>
      </c>
    </row>
    <row r="1271" spans="1:6" x14ac:dyDescent="0.45">
      <c r="A1271" s="58">
        <v>2020</v>
      </c>
      <c r="B1271" s="5" t="s">
        <v>56</v>
      </c>
      <c r="C1271" s="5" t="s">
        <v>23</v>
      </c>
      <c r="D1271" s="6">
        <v>12259</v>
      </c>
      <c r="E1271" s="61">
        <v>48132</v>
      </c>
      <c r="F1271" s="63" t="s">
        <v>82</v>
      </c>
    </row>
    <row r="1272" spans="1:6" x14ac:dyDescent="0.45">
      <c r="A1272" s="57">
        <v>2020</v>
      </c>
      <c r="B1272" s="3" t="s">
        <v>56</v>
      </c>
      <c r="C1272" s="3" t="s">
        <v>24</v>
      </c>
      <c r="D1272" s="4">
        <v>32577</v>
      </c>
      <c r="E1272" s="60">
        <v>72429</v>
      </c>
      <c r="F1272" s="63" t="s">
        <v>82</v>
      </c>
    </row>
    <row r="1273" spans="1:6" x14ac:dyDescent="0.45">
      <c r="A1273" s="58">
        <v>2020</v>
      </c>
      <c r="B1273" s="5" t="s">
        <v>56</v>
      </c>
      <c r="C1273" s="5" t="s">
        <v>25</v>
      </c>
      <c r="D1273" s="6">
        <v>9359</v>
      </c>
      <c r="E1273" s="61">
        <v>58271</v>
      </c>
      <c r="F1273" s="63" t="s">
        <v>81</v>
      </c>
    </row>
    <row r="1274" spans="1:6" x14ac:dyDescent="0.45">
      <c r="A1274" s="57">
        <v>2020</v>
      </c>
      <c r="B1274" s="3" t="s">
        <v>56</v>
      </c>
      <c r="C1274" s="3" t="s">
        <v>26</v>
      </c>
      <c r="D1274" s="4">
        <v>11582</v>
      </c>
      <c r="E1274" s="60">
        <v>64836</v>
      </c>
      <c r="F1274" s="63" t="s">
        <v>81</v>
      </c>
    </row>
    <row r="1275" spans="1:6" x14ac:dyDescent="0.45">
      <c r="A1275" s="58">
        <v>2020</v>
      </c>
      <c r="B1275" s="5" t="s">
        <v>56</v>
      </c>
      <c r="C1275" s="5" t="s">
        <v>27</v>
      </c>
      <c r="D1275" s="6">
        <v>19970</v>
      </c>
      <c r="E1275" s="61">
        <v>67821</v>
      </c>
      <c r="F1275" s="63" t="s">
        <v>82</v>
      </c>
    </row>
    <row r="1276" spans="1:6" x14ac:dyDescent="0.45">
      <c r="A1276" s="57">
        <v>2020</v>
      </c>
      <c r="B1276" s="3" t="s">
        <v>56</v>
      </c>
      <c r="C1276" s="3" t="s">
        <v>28</v>
      </c>
      <c r="D1276" s="4">
        <v>12323</v>
      </c>
      <c r="E1276" s="60">
        <v>83486</v>
      </c>
      <c r="F1276" s="63" t="s">
        <v>81</v>
      </c>
    </row>
    <row r="1277" spans="1:6" x14ac:dyDescent="0.45">
      <c r="A1277" s="58">
        <v>2020</v>
      </c>
      <c r="B1277" s="5" t="s">
        <v>56</v>
      </c>
      <c r="C1277" s="5" t="s">
        <v>29</v>
      </c>
      <c r="D1277" s="6">
        <v>51837</v>
      </c>
      <c r="E1277" s="61">
        <v>96784</v>
      </c>
      <c r="F1277" s="63" t="s">
        <v>82</v>
      </c>
    </row>
    <row r="1278" spans="1:6" x14ac:dyDescent="0.45">
      <c r="A1278" s="57">
        <v>2020</v>
      </c>
      <c r="B1278" s="3" t="s">
        <v>56</v>
      </c>
      <c r="C1278" s="3" t="s">
        <v>30</v>
      </c>
      <c r="D1278" s="4">
        <v>10669</v>
      </c>
      <c r="E1278" s="60">
        <v>67899</v>
      </c>
      <c r="F1278" s="63" t="s">
        <v>81</v>
      </c>
    </row>
    <row r="1279" spans="1:6" x14ac:dyDescent="0.45">
      <c r="A1279" s="58">
        <v>2020</v>
      </c>
      <c r="B1279" s="5" t="s">
        <v>56</v>
      </c>
      <c r="C1279" s="5" t="s">
        <v>31</v>
      </c>
      <c r="D1279" s="6">
        <v>112471</v>
      </c>
      <c r="E1279" s="61">
        <v>101057</v>
      </c>
      <c r="F1279" s="63" t="s">
        <v>81</v>
      </c>
    </row>
    <row r="1280" spans="1:6" x14ac:dyDescent="0.45">
      <c r="A1280" s="57">
        <v>2020</v>
      </c>
      <c r="B1280" s="3" t="s">
        <v>56</v>
      </c>
      <c r="C1280" s="3" t="s">
        <v>32</v>
      </c>
      <c r="D1280" s="4">
        <v>58892</v>
      </c>
      <c r="E1280" s="60">
        <v>71609</v>
      </c>
      <c r="F1280" s="63" t="s">
        <v>82</v>
      </c>
    </row>
    <row r="1281" spans="1:6" x14ac:dyDescent="0.45">
      <c r="A1281" s="58">
        <v>2020</v>
      </c>
      <c r="B1281" s="5" t="s">
        <v>56</v>
      </c>
      <c r="C1281" s="5" t="s">
        <v>33</v>
      </c>
      <c r="D1281" s="6">
        <v>5130</v>
      </c>
      <c r="E1281" s="61">
        <v>67774</v>
      </c>
      <c r="F1281" s="63" t="s">
        <v>82</v>
      </c>
    </row>
    <row r="1282" spans="1:6" x14ac:dyDescent="0.45">
      <c r="A1282" s="57">
        <v>2020</v>
      </c>
      <c r="B1282" s="3" t="s">
        <v>56</v>
      </c>
      <c r="C1282" s="3" t="s">
        <v>34</v>
      </c>
      <c r="D1282" s="4">
        <v>53280</v>
      </c>
      <c r="E1282" s="60">
        <v>70006</v>
      </c>
      <c r="F1282" s="63" t="s">
        <v>81</v>
      </c>
    </row>
    <row r="1283" spans="1:6" x14ac:dyDescent="0.45">
      <c r="A1283" s="58">
        <v>2020</v>
      </c>
      <c r="B1283" s="5" t="s">
        <v>56</v>
      </c>
      <c r="C1283" s="5" t="s">
        <v>35</v>
      </c>
      <c r="D1283" s="6">
        <v>20594</v>
      </c>
      <c r="E1283" s="61">
        <v>58227</v>
      </c>
      <c r="F1283" s="63" t="s">
        <v>81</v>
      </c>
    </row>
    <row r="1284" spans="1:6" x14ac:dyDescent="0.45">
      <c r="A1284" s="57">
        <v>2020</v>
      </c>
      <c r="B1284" s="3" t="s">
        <v>56</v>
      </c>
      <c r="C1284" s="3" t="s">
        <v>36</v>
      </c>
      <c r="D1284" s="4">
        <v>25462</v>
      </c>
      <c r="E1284" s="60">
        <v>75806</v>
      </c>
      <c r="F1284" s="63" t="s">
        <v>82</v>
      </c>
    </row>
    <row r="1285" spans="1:6" x14ac:dyDescent="0.45">
      <c r="A1285" s="58">
        <v>2020</v>
      </c>
      <c r="B1285" s="5" t="s">
        <v>56</v>
      </c>
      <c r="C1285" s="5" t="s">
        <v>37</v>
      </c>
      <c r="D1285" s="6">
        <v>63415</v>
      </c>
      <c r="E1285" s="61">
        <v>84092</v>
      </c>
      <c r="F1285" s="63" t="s">
        <v>82</v>
      </c>
    </row>
    <row r="1286" spans="1:6" x14ac:dyDescent="0.45">
      <c r="A1286" s="57">
        <v>2020</v>
      </c>
      <c r="B1286" s="3" t="s">
        <v>56</v>
      </c>
      <c r="C1286" s="3" t="s">
        <v>38</v>
      </c>
      <c r="D1286" s="4">
        <v>8651</v>
      </c>
      <c r="E1286" s="60">
        <v>74957</v>
      </c>
      <c r="F1286" s="63" t="s">
        <v>82</v>
      </c>
    </row>
    <row r="1287" spans="1:6" x14ac:dyDescent="0.45">
      <c r="A1287" s="58">
        <v>2020</v>
      </c>
      <c r="B1287" s="5" t="s">
        <v>56</v>
      </c>
      <c r="C1287" s="5" t="s">
        <v>39</v>
      </c>
      <c r="D1287" s="6">
        <v>26993</v>
      </c>
      <c r="E1287" s="61">
        <v>56391</v>
      </c>
      <c r="F1287" s="63" t="s">
        <v>82</v>
      </c>
    </row>
    <row r="1288" spans="1:6" x14ac:dyDescent="0.45">
      <c r="A1288" s="57">
        <v>2020</v>
      </c>
      <c r="B1288" s="3" t="s">
        <v>56</v>
      </c>
      <c r="C1288" s="3" t="s">
        <v>40</v>
      </c>
      <c r="D1288" s="4">
        <v>5205</v>
      </c>
      <c r="E1288" s="60">
        <v>62384</v>
      </c>
      <c r="F1288" s="63" t="s">
        <v>82</v>
      </c>
    </row>
    <row r="1289" spans="1:6" x14ac:dyDescent="0.45">
      <c r="A1289" s="58">
        <v>2020</v>
      </c>
      <c r="B1289" s="5" t="s">
        <v>56</v>
      </c>
      <c r="C1289" s="5" t="s">
        <v>41</v>
      </c>
      <c r="D1289" s="6">
        <v>29519</v>
      </c>
      <c r="E1289" s="61">
        <v>65851</v>
      </c>
      <c r="F1289" s="63" t="s">
        <v>81</v>
      </c>
    </row>
    <row r="1290" spans="1:6" x14ac:dyDescent="0.45">
      <c r="A1290" s="57">
        <v>2020</v>
      </c>
      <c r="B1290" s="3" t="s">
        <v>56</v>
      </c>
      <c r="C1290" s="3" t="s">
        <v>42</v>
      </c>
      <c r="D1290" s="4">
        <v>134025</v>
      </c>
      <c r="E1290" s="60">
        <v>80443</v>
      </c>
      <c r="F1290" s="63" t="s">
        <v>81</v>
      </c>
    </row>
    <row r="1291" spans="1:6" x14ac:dyDescent="0.45">
      <c r="A1291" s="58">
        <v>2020</v>
      </c>
      <c r="B1291" s="5" t="s">
        <v>56</v>
      </c>
      <c r="C1291" s="5" t="s">
        <v>43</v>
      </c>
      <c r="D1291" s="6">
        <v>23036</v>
      </c>
      <c r="E1291" s="61">
        <v>65543</v>
      </c>
      <c r="F1291" s="63" t="s">
        <v>82</v>
      </c>
    </row>
    <row r="1292" spans="1:6" x14ac:dyDescent="0.45">
      <c r="A1292" s="57">
        <v>2020</v>
      </c>
      <c r="B1292" s="3" t="s">
        <v>56</v>
      </c>
      <c r="C1292" s="3" t="s">
        <v>44</v>
      </c>
      <c r="D1292" s="4">
        <v>5661</v>
      </c>
      <c r="E1292" s="60">
        <v>70917</v>
      </c>
      <c r="F1292" s="63" t="s">
        <v>81</v>
      </c>
    </row>
    <row r="1293" spans="1:6" x14ac:dyDescent="0.45">
      <c r="A1293" s="58">
        <v>2020</v>
      </c>
      <c r="B1293" s="5" t="s">
        <v>56</v>
      </c>
      <c r="C1293" s="5" t="s">
        <v>45</v>
      </c>
      <c r="D1293" s="6">
        <v>58849</v>
      </c>
      <c r="E1293" s="61">
        <v>93511</v>
      </c>
      <c r="F1293" s="63" t="s">
        <v>81</v>
      </c>
    </row>
    <row r="1294" spans="1:6" x14ac:dyDescent="0.45">
      <c r="A1294" s="57">
        <v>2020</v>
      </c>
      <c r="B1294" s="3" t="s">
        <v>56</v>
      </c>
      <c r="C1294" s="3" t="s">
        <v>46</v>
      </c>
      <c r="D1294" s="4">
        <v>40209</v>
      </c>
      <c r="E1294" s="60">
        <v>88245</v>
      </c>
      <c r="F1294" s="63" t="s">
        <v>82</v>
      </c>
    </row>
    <row r="1295" spans="1:6" x14ac:dyDescent="0.45">
      <c r="A1295" s="58">
        <v>2020</v>
      </c>
      <c r="B1295" s="5" t="s">
        <v>56</v>
      </c>
      <c r="C1295" s="5" t="s">
        <v>47</v>
      </c>
      <c r="D1295" s="6">
        <v>8323</v>
      </c>
      <c r="E1295" s="61">
        <v>57745</v>
      </c>
      <c r="F1295" s="63" t="s">
        <v>82</v>
      </c>
    </row>
    <row r="1296" spans="1:6" x14ac:dyDescent="0.45">
      <c r="A1296" s="57">
        <v>2020</v>
      </c>
      <c r="B1296" s="3" t="s">
        <v>56</v>
      </c>
      <c r="C1296" s="3" t="s">
        <v>48</v>
      </c>
      <c r="D1296" s="4">
        <v>25856</v>
      </c>
      <c r="E1296" s="60">
        <v>66773</v>
      </c>
      <c r="F1296" s="63" t="s">
        <v>81</v>
      </c>
    </row>
    <row r="1297" spans="1:6" x14ac:dyDescent="0.45">
      <c r="A1297" s="58">
        <v>2020</v>
      </c>
      <c r="B1297" s="5" t="s">
        <v>56</v>
      </c>
      <c r="C1297" s="5" t="s">
        <v>49</v>
      </c>
      <c r="D1297" s="6">
        <v>4559</v>
      </c>
      <c r="E1297" s="61">
        <v>58783</v>
      </c>
      <c r="F1297" s="63" t="s">
        <v>81</v>
      </c>
    </row>
    <row r="1298" spans="1:6" x14ac:dyDescent="0.45">
      <c r="A1298" s="57">
        <v>2020</v>
      </c>
      <c r="B1298" s="3" t="s">
        <v>57</v>
      </c>
      <c r="C1298" s="3" t="s">
        <v>2</v>
      </c>
      <c r="D1298" s="4">
        <v>12678</v>
      </c>
      <c r="E1298" s="60">
        <v>52432</v>
      </c>
      <c r="F1298" s="63" t="s">
        <v>82</v>
      </c>
    </row>
    <row r="1299" spans="1:6" x14ac:dyDescent="0.45">
      <c r="A1299" s="58">
        <v>2020</v>
      </c>
      <c r="B1299" s="5" t="s">
        <v>57</v>
      </c>
      <c r="C1299" s="5" t="s">
        <v>3</v>
      </c>
      <c r="D1299" s="6">
        <v>18037</v>
      </c>
      <c r="E1299" s="61">
        <v>57125</v>
      </c>
      <c r="F1299" s="63" t="s">
        <v>81</v>
      </c>
    </row>
    <row r="1300" spans="1:6" x14ac:dyDescent="0.45">
      <c r="A1300" s="57">
        <v>2020</v>
      </c>
      <c r="B1300" s="3" t="s">
        <v>57</v>
      </c>
      <c r="C1300" s="3" t="s">
        <v>4</v>
      </c>
      <c r="D1300" s="4">
        <v>15788</v>
      </c>
      <c r="E1300" s="60">
        <v>48468</v>
      </c>
      <c r="F1300" s="63" t="s">
        <v>82</v>
      </c>
    </row>
    <row r="1301" spans="1:6" x14ac:dyDescent="0.45">
      <c r="A1301" s="58">
        <v>2020</v>
      </c>
      <c r="B1301" s="5" t="s">
        <v>57</v>
      </c>
      <c r="C1301" s="5" t="s">
        <v>5</v>
      </c>
      <c r="D1301" s="6">
        <v>618901</v>
      </c>
      <c r="E1301" s="61">
        <v>58187</v>
      </c>
      <c r="F1301" s="63" t="s">
        <v>81</v>
      </c>
    </row>
    <row r="1302" spans="1:6" x14ac:dyDescent="0.45">
      <c r="A1302" s="57">
        <v>2020</v>
      </c>
      <c r="B1302" s="3" t="s">
        <v>57</v>
      </c>
      <c r="C1302" s="3" t="s">
        <v>6</v>
      </c>
      <c r="D1302" s="4">
        <v>21666</v>
      </c>
      <c r="E1302" s="60">
        <v>56156</v>
      </c>
      <c r="F1302" s="63" t="s">
        <v>81</v>
      </c>
    </row>
    <row r="1303" spans="1:6" x14ac:dyDescent="0.45">
      <c r="A1303" s="58">
        <v>2020</v>
      </c>
      <c r="B1303" s="5" t="s">
        <v>57</v>
      </c>
      <c r="C1303" s="5" t="s">
        <v>7</v>
      </c>
      <c r="D1303" s="6">
        <v>13090</v>
      </c>
      <c r="E1303" s="61">
        <v>61369</v>
      </c>
      <c r="F1303" s="63" t="s">
        <v>82</v>
      </c>
    </row>
    <row r="1304" spans="1:6" x14ac:dyDescent="0.45">
      <c r="A1304" s="57">
        <v>2020</v>
      </c>
      <c r="B1304" s="3" t="s">
        <v>57</v>
      </c>
      <c r="C1304" s="3" t="s">
        <v>8</v>
      </c>
      <c r="D1304" s="4">
        <v>5063</v>
      </c>
      <c r="E1304" s="60">
        <v>59795</v>
      </c>
      <c r="F1304" s="63" t="s">
        <v>82</v>
      </c>
    </row>
    <row r="1305" spans="1:6" x14ac:dyDescent="0.45">
      <c r="A1305" s="58">
        <v>2020</v>
      </c>
      <c r="B1305" s="5" t="s">
        <v>57</v>
      </c>
      <c r="C1305" s="5" t="s">
        <v>9</v>
      </c>
      <c r="D1305" s="6">
        <v>73761</v>
      </c>
      <c r="E1305" s="61">
        <v>56781</v>
      </c>
      <c r="F1305" s="63" t="s">
        <v>81</v>
      </c>
    </row>
    <row r="1306" spans="1:6" x14ac:dyDescent="0.45">
      <c r="A1306" s="57">
        <v>2020</v>
      </c>
      <c r="B1306" s="3" t="s">
        <v>57</v>
      </c>
      <c r="C1306" s="3" t="s">
        <v>10</v>
      </c>
      <c r="D1306" s="4">
        <v>28952</v>
      </c>
      <c r="E1306" s="60">
        <v>58062</v>
      </c>
      <c r="F1306" s="63" t="s">
        <v>81</v>
      </c>
    </row>
    <row r="1307" spans="1:6" x14ac:dyDescent="0.45">
      <c r="A1307" s="58">
        <v>2020</v>
      </c>
      <c r="B1307" s="5" t="s">
        <v>57</v>
      </c>
      <c r="C1307" s="5" t="s">
        <v>11</v>
      </c>
      <c r="D1307" s="6">
        <v>7824</v>
      </c>
      <c r="E1307" s="61">
        <v>48047</v>
      </c>
      <c r="F1307" s="63" t="s">
        <v>82</v>
      </c>
    </row>
    <row r="1308" spans="1:6" x14ac:dyDescent="0.45">
      <c r="A1308" s="57">
        <v>2020</v>
      </c>
      <c r="B1308" s="3" t="s">
        <v>57</v>
      </c>
      <c r="C1308" s="3" t="s">
        <v>12</v>
      </c>
      <c r="D1308" s="4">
        <v>34720</v>
      </c>
      <c r="E1308" s="60">
        <v>56959</v>
      </c>
      <c r="F1308" s="63" t="s">
        <v>82</v>
      </c>
    </row>
    <row r="1309" spans="1:6" x14ac:dyDescent="0.45">
      <c r="A1309" s="58">
        <v>2020</v>
      </c>
      <c r="B1309" s="5" t="s">
        <v>57</v>
      </c>
      <c r="C1309" s="5" t="s">
        <v>13</v>
      </c>
      <c r="D1309" s="6">
        <v>15692</v>
      </c>
      <c r="E1309" s="61">
        <v>53681</v>
      </c>
      <c r="F1309" s="63" t="s">
        <v>82</v>
      </c>
    </row>
    <row r="1310" spans="1:6" x14ac:dyDescent="0.45">
      <c r="A1310" s="57">
        <v>2020</v>
      </c>
      <c r="B1310" s="3" t="s">
        <v>57</v>
      </c>
      <c r="C1310" s="3" t="s">
        <v>14</v>
      </c>
      <c r="D1310" s="4">
        <v>11589</v>
      </c>
      <c r="E1310" s="60">
        <v>49022</v>
      </c>
      <c r="F1310" s="63" t="s">
        <v>82</v>
      </c>
    </row>
    <row r="1311" spans="1:6" x14ac:dyDescent="0.45">
      <c r="A1311" s="58">
        <v>2020</v>
      </c>
      <c r="B1311" s="5" t="s">
        <v>57</v>
      </c>
      <c r="C1311" s="5" t="s">
        <v>15</v>
      </c>
      <c r="D1311" s="6">
        <v>10277</v>
      </c>
      <c r="E1311" s="61">
        <v>48586</v>
      </c>
      <c r="F1311" s="63" t="s">
        <v>82</v>
      </c>
    </row>
    <row r="1312" spans="1:6" x14ac:dyDescent="0.45">
      <c r="A1312" s="57">
        <v>2020</v>
      </c>
      <c r="B1312" s="3" t="s">
        <v>57</v>
      </c>
      <c r="C1312" s="3" t="s">
        <v>16</v>
      </c>
      <c r="D1312" s="4">
        <v>18161</v>
      </c>
      <c r="E1312" s="60">
        <v>54210</v>
      </c>
      <c r="F1312" s="63" t="s">
        <v>81</v>
      </c>
    </row>
    <row r="1313" spans="1:6" x14ac:dyDescent="0.45">
      <c r="A1313" s="58">
        <v>2020</v>
      </c>
      <c r="B1313" s="5" t="s">
        <v>57</v>
      </c>
      <c r="C1313" s="5" t="s">
        <v>17</v>
      </c>
      <c r="D1313" s="6">
        <v>15480</v>
      </c>
      <c r="E1313" s="61">
        <v>49339</v>
      </c>
      <c r="F1313" s="63" t="s">
        <v>81</v>
      </c>
    </row>
    <row r="1314" spans="1:6" x14ac:dyDescent="0.45">
      <c r="A1314" s="57">
        <v>2020</v>
      </c>
      <c r="B1314" s="3" t="s">
        <v>57</v>
      </c>
      <c r="C1314" s="3" t="s">
        <v>18</v>
      </c>
      <c r="D1314" s="4">
        <v>5483</v>
      </c>
      <c r="E1314" s="60">
        <v>53535</v>
      </c>
      <c r="F1314" s="63" t="s">
        <v>82</v>
      </c>
    </row>
    <row r="1315" spans="1:6" x14ac:dyDescent="0.45">
      <c r="A1315" s="58">
        <v>2020</v>
      </c>
      <c r="B1315" s="5" t="s">
        <v>57</v>
      </c>
      <c r="C1315" s="5" t="s">
        <v>19</v>
      </c>
      <c r="D1315" s="6">
        <v>20856</v>
      </c>
      <c r="E1315" s="61">
        <v>60310</v>
      </c>
      <c r="F1315" s="63" t="s">
        <v>81</v>
      </c>
    </row>
    <row r="1316" spans="1:6" x14ac:dyDescent="0.45">
      <c r="A1316" s="57">
        <v>2020</v>
      </c>
      <c r="B1316" s="3" t="s">
        <v>57</v>
      </c>
      <c r="C1316" s="3" t="s">
        <v>20</v>
      </c>
      <c r="D1316" s="4">
        <v>66364</v>
      </c>
      <c r="E1316" s="60">
        <v>64448</v>
      </c>
      <c r="F1316" s="63" t="s">
        <v>81</v>
      </c>
    </row>
    <row r="1317" spans="1:6" x14ac:dyDescent="0.45">
      <c r="A1317" s="58">
        <v>2020</v>
      </c>
      <c r="B1317" s="5" t="s">
        <v>57</v>
      </c>
      <c r="C1317" s="5" t="s">
        <v>21</v>
      </c>
      <c r="D1317" s="6">
        <v>24822</v>
      </c>
      <c r="E1317" s="61">
        <v>55739</v>
      </c>
      <c r="F1317" s="63" t="s">
        <v>82</v>
      </c>
    </row>
    <row r="1318" spans="1:6" x14ac:dyDescent="0.45">
      <c r="A1318" s="57">
        <v>2020</v>
      </c>
      <c r="B1318" s="3" t="s">
        <v>57</v>
      </c>
      <c r="C1318" s="3" t="s">
        <v>22</v>
      </c>
      <c r="D1318" s="4">
        <v>19210</v>
      </c>
      <c r="E1318" s="60">
        <v>57469</v>
      </c>
      <c r="F1318" s="63" t="s">
        <v>82</v>
      </c>
    </row>
    <row r="1319" spans="1:6" x14ac:dyDescent="0.45">
      <c r="A1319" s="58">
        <v>2020</v>
      </c>
      <c r="B1319" s="5" t="s">
        <v>57</v>
      </c>
      <c r="C1319" s="5" t="s">
        <v>23</v>
      </c>
      <c r="D1319" s="6">
        <v>7531</v>
      </c>
      <c r="E1319" s="61">
        <v>47620</v>
      </c>
      <c r="F1319" s="63" t="s">
        <v>81</v>
      </c>
    </row>
    <row r="1320" spans="1:6" x14ac:dyDescent="0.45">
      <c r="A1320" s="57">
        <v>2020</v>
      </c>
      <c r="B1320" s="3" t="s">
        <v>57</v>
      </c>
      <c r="C1320" s="3" t="s">
        <v>24</v>
      </c>
      <c r="D1320" s="4">
        <v>48555</v>
      </c>
      <c r="E1320" s="60">
        <v>52127</v>
      </c>
      <c r="F1320" s="63" t="s">
        <v>81</v>
      </c>
    </row>
    <row r="1321" spans="1:6" x14ac:dyDescent="0.45">
      <c r="A1321" s="58">
        <v>2020</v>
      </c>
      <c r="B1321" s="5" t="s">
        <v>57</v>
      </c>
      <c r="C1321" s="5" t="s">
        <v>25</v>
      </c>
      <c r="D1321" s="6">
        <v>4637</v>
      </c>
      <c r="E1321" s="61">
        <v>53539</v>
      </c>
      <c r="F1321" s="63" t="s">
        <v>82</v>
      </c>
    </row>
    <row r="1322" spans="1:6" x14ac:dyDescent="0.45">
      <c r="A1322" s="57">
        <v>2020</v>
      </c>
      <c r="B1322" s="3" t="s">
        <v>57</v>
      </c>
      <c r="C1322" s="3" t="s">
        <v>26</v>
      </c>
      <c r="D1322" s="4">
        <v>12205</v>
      </c>
      <c r="E1322" s="60">
        <v>52678</v>
      </c>
      <c r="F1322" s="63" t="s">
        <v>81</v>
      </c>
    </row>
    <row r="1323" spans="1:6" x14ac:dyDescent="0.45">
      <c r="A1323" s="58">
        <v>2020</v>
      </c>
      <c r="B1323" s="5" t="s">
        <v>57</v>
      </c>
      <c r="C1323" s="5" t="s">
        <v>27</v>
      </c>
      <c r="D1323" s="6">
        <v>8913</v>
      </c>
      <c r="E1323" s="61">
        <v>60167</v>
      </c>
      <c r="F1323" s="63" t="s">
        <v>82</v>
      </c>
    </row>
    <row r="1324" spans="1:6" x14ac:dyDescent="0.45">
      <c r="A1324" s="57">
        <v>2020</v>
      </c>
      <c r="B1324" s="3" t="s">
        <v>57</v>
      </c>
      <c r="C1324" s="3" t="s">
        <v>28</v>
      </c>
      <c r="D1324" s="4">
        <v>4700</v>
      </c>
      <c r="E1324" s="60">
        <v>62317</v>
      </c>
      <c r="F1324" s="63" t="s">
        <v>81</v>
      </c>
    </row>
    <row r="1325" spans="1:6" x14ac:dyDescent="0.45">
      <c r="A1325" s="58">
        <v>2020</v>
      </c>
      <c r="B1325" s="5" t="s">
        <v>57</v>
      </c>
      <c r="C1325" s="5" t="s">
        <v>29</v>
      </c>
      <c r="D1325" s="6">
        <v>37328</v>
      </c>
      <c r="E1325" s="61">
        <v>59402</v>
      </c>
      <c r="F1325" s="63" t="s">
        <v>81</v>
      </c>
    </row>
    <row r="1326" spans="1:6" x14ac:dyDescent="0.45">
      <c r="A1326" s="57">
        <v>2020</v>
      </c>
      <c r="B1326" s="3" t="s">
        <v>57</v>
      </c>
      <c r="C1326" s="3" t="s">
        <v>30</v>
      </c>
      <c r="D1326" s="4">
        <v>10221</v>
      </c>
      <c r="E1326" s="60">
        <v>47645</v>
      </c>
      <c r="F1326" s="63" t="s">
        <v>82</v>
      </c>
    </row>
    <row r="1327" spans="1:6" x14ac:dyDescent="0.45">
      <c r="A1327" s="58">
        <v>2020</v>
      </c>
      <c r="B1327" s="5" t="s">
        <v>57</v>
      </c>
      <c r="C1327" s="5" t="s">
        <v>31</v>
      </c>
      <c r="D1327" s="6">
        <v>67399</v>
      </c>
      <c r="E1327" s="61">
        <v>59467</v>
      </c>
      <c r="F1327" s="63" t="s">
        <v>82</v>
      </c>
    </row>
    <row r="1328" spans="1:6" x14ac:dyDescent="0.45">
      <c r="A1328" s="57">
        <v>2020</v>
      </c>
      <c r="B1328" s="3" t="s">
        <v>57</v>
      </c>
      <c r="C1328" s="3" t="s">
        <v>32</v>
      </c>
      <c r="D1328" s="4">
        <v>27210</v>
      </c>
      <c r="E1328" s="60">
        <v>54381</v>
      </c>
      <c r="F1328" s="63" t="s">
        <v>81</v>
      </c>
    </row>
    <row r="1329" spans="1:6" x14ac:dyDescent="0.45">
      <c r="A1329" s="58">
        <v>2020</v>
      </c>
      <c r="B1329" s="5" t="s">
        <v>57</v>
      </c>
      <c r="C1329" s="5" t="s">
        <v>33</v>
      </c>
      <c r="D1329" s="6">
        <v>2558</v>
      </c>
      <c r="E1329" s="61">
        <v>57404</v>
      </c>
      <c r="F1329" s="63" t="s">
        <v>81</v>
      </c>
    </row>
    <row r="1330" spans="1:6" x14ac:dyDescent="0.45">
      <c r="A1330" s="57">
        <v>2020</v>
      </c>
      <c r="B1330" s="3" t="s">
        <v>57</v>
      </c>
      <c r="C1330" s="3" t="s">
        <v>34</v>
      </c>
      <c r="D1330" s="4">
        <v>34508</v>
      </c>
      <c r="E1330" s="60">
        <v>52408</v>
      </c>
      <c r="F1330" s="63" t="s">
        <v>82</v>
      </c>
    </row>
    <row r="1331" spans="1:6" x14ac:dyDescent="0.45">
      <c r="A1331" s="58">
        <v>2020</v>
      </c>
      <c r="B1331" s="5" t="s">
        <v>57</v>
      </c>
      <c r="C1331" s="5" t="s">
        <v>35</v>
      </c>
      <c r="D1331" s="6">
        <v>13563</v>
      </c>
      <c r="E1331" s="61">
        <v>51570</v>
      </c>
      <c r="F1331" s="63" t="s">
        <v>82</v>
      </c>
    </row>
    <row r="1332" spans="1:6" x14ac:dyDescent="0.45">
      <c r="A1332" s="57">
        <v>2020</v>
      </c>
      <c r="B1332" s="3" t="s">
        <v>57</v>
      </c>
      <c r="C1332" s="3" t="s">
        <v>36</v>
      </c>
      <c r="D1332" s="4">
        <v>15708</v>
      </c>
      <c r="E1332" s="60">
        <v>56107</v>
      </c>
      <c r="F1332" s="63" t="s">
        <v>82</v>
      </c>
    </row>
    <row r="1333" spans="1:6" x14ac:dyDescent="0.45">
      <c r="A1333" s="58">
        <v>2020</v>
      </c>
      <c r="B1333" s="5" t="s">
        <v>57</v>
      </c>
      <c r="C1333" s="5" t="s">
        <v>37</v>
      </c>
      <c r="D1333" s="6">
        <v>57768</v>
      </c>
      <c r="E1333" s="61">
        <v>57808</v>
      </c>
      <c r="F1333" s="63" t="s">
        <v>82</v>
      </c>
    </row>
    <row r="1334" spans="1:6" x14ac:dyDescent="0.45">
      <c r="A1334" s="57">
        <v>2020</v>
      </c>
      <c r="B1334" s="3" t="s">
        <v>57</v>
      </c>
      <c r="C1334" s="3" t="s">
        <v>38</v>
      </c>
      <c r="D1334" s="4">
        <v>4545</v>
      </c>
      <c r="E1334" s="60">
        <v>54716</v>
      </c>
      <c r="F1334" s="63" t="s">
        <v>82</v>
      </c>
    </row>
    <row r="1335" spans="1:6" x14ac:dyDescent="0.45">
      <c r="A1335" s="58">
        <v>2020</v>
      </c>
      <c r="B1335" s="5" t="s">
        <v>57</v>
      </c>
      <c r="C1335" s="5" t="s">
        <v>39</v>
      </c>
      <c r="D1335" s="6">
        <v>11971</v>
      </c>
      <c r="E1335" s="61">
        <v>51993</v>
      </c>
      <c r="F1335" s="63" t="s">
        <v>81</v>
      </c>
    </row>
    <row r="1336" spans="1:6" x14ac:dyDescent="0.45">
      <c r="A1336" s="57">
        <v>2020</v>
      </c>
      <c r="B1336" s="3" t="s">
        <v>57</v>
      </c>
      <c r="C1336" s="3" t="s">
        <v>40</v>
      </c>
      <c r="D1336" s="4">
        <v>2839</v>
      </c>
      <c r="E1336" s="60">
        <v>56399</v>
      </c>
      <c r="F1336" s="63" t="s">
        <v>81</v>
      </c>
    </row>
    <row r="1337" spans="1:6" x14ac:dyDescent="0.45">
      <c r="A1337" s="58">
        <v>2020</v>
      </c>
      <c r="B1337" s="5" t="s">
        <v>57</v>
      </c>
      <c r="C1337" s="5" t="s">
        <v>41</v>
      </c>
      <c r="D1337" s="6">
        <v>16127</v>
      </c>
      <c r="E1337" s="61">
        <v>58099</v>
      </c>
      <c r="F1337" s="63" t="s">
        <v>82</v>
      </c>
    </row>
    <row r="1338" spans="1:6" x14ac:dyDescent="0.45">
      <c r="A1338" s="57">
        <v>2020</v>
      </c>
      <c r="B1338" s="3" t="s">
        <v>57</v>
      </c>
      <c r="C1338" s="3" t="s">
        <v>42</v>
      </c>
      <c r="D1338" s="4">
        <v>90552</v>
      </c>
      <c r="E1338" s="60">
        <v>54036</v>
      </c>
      <c r="F1338" s="63" t="s">
        <v>81</v>
      </c>
    </row>
    <row r="1339" spans="1:6" x14ac:dyDescent="0.45">
      <c r="A1339" s="58">
        <v>2020</v>
      </c>
      <c r="B1339" s="5" t="s">
        <v>57</v>
      </c>
      <c r="C1339" s="5" t="s">
        <v>43</v>
      </c>
      <c r="D1339" s="6">
        <v>12264</v>
      </c>
      <c r="E1339" s="61">
        <v>49696</v>
      </c>
      <c r="F1339" s="63" t="s">
        <v>81</v>
      </c>
    </row>
    <row r="1340" spans="1:6" x14ac:dyDescent="0.45">
      <c r="A1340" s="57">
        <v>2020</v>
      </c>
      <c r="B1340" s="3" t="s">
        <v>57</v>
      </c>
      <c r="C1340" s="3" t="s">
        <v>44</v>
      </c>
      <c r="D1340" s="4">
        <v>2463</v>
      </c>
      <c r="E1340" s="60">
        <v>52699</v>
      </c>
      <c r="F1340" s="63" t="s">
        <v>82</v>
      </c>
    </row>
    <row r="1341" spans="1:6" x14ac:dyDescent="0.45">
      <c r="A1341" s="58">
        <v>2020</v>
      </c>
      <c r="B1341" s="5" t="s">
        <v>57</v>
      </c>
      <c r="C1341" s="5" t="s">
        <v>45</v>
      </c>
      <c r="D1341" s="6">
        <v>43566</v>
      </c>
      <c r="E1341" s="61">
        <v>55627</v>
      </c>
      <c r="F1341" s="63" t="s">
        <v>82</v>
      </c>
    </row>
    <row r="1342" spans="1:6" x14ac:dyDescent="0.45">
      <c r="A1342" s="57">
        <v>2020</v>
      </c>
      <c r="B1342" s="3" t="s">
        <v>57</v>
      </c>
      <c r="C1342" s="3" t="s">
        <v>46</v>
      </c>
      <c r="D1342" s="4">
        <v>61026</v>
      </c>
      <c r="E1342" s="60">
        <v>57354</v>
      </c>
      <c r="F1342" s="63" t="s">
        <v>81</v>
      </c>
    </row>
    <row r="1343" spans="1:6" x14ac:dyDescent="0.45">
      <c r="A1343" s="58">
        <v>2020</v>
      </c>
      <c r="B1343" s="5" t="s">
        <v>57</v>
      </c>
      <c r="C1343" s="5" t="s">
        <v>47</v>
      </c>
      <c r="D1343" s="6">
        <v>5765</v>
      </c>
      <c r="E1343" s="61">
        <v>52182</v>
      </c>
      <c r="F1343" s="63" t="s">
        <v>81</v>
      </c>
    </row>
    <row r="1344" spans="1:6" x14ac:dyDescent="0.45">
      <c r="A1344" s="57">
        <v>2020</v>
      </c>
      <c r="B1344" s="3" t="s">
        <v>57</v>
      </c>
      <c r="C1344" s="3" t="s">
        <v>48</v>
      </c>
      <c r="D1344" s="4">
        <v>28013</v>
      </c>
      <c r="E1344" s="60">
        <v>55195</v>
      </c>
      <c r="F1344" s="63" t="s">
        <v>82</v>
      </c>
    </row>
    <row r="1345" spans="1:6" x14ac:dyDescent="0.45">
      <c r="A1345" s="58">
        <v>2020</v>
      </c>
      <c r="B1345" s="5" t="s">
        <v>57</v>
      </c>
      <c r="C1345" s="5" t="s">
        <v>49</v>
      </c>
      <c r="D1345" s="6">
        <v>3338</v>
      </c>
      <c r="E1345" s="61">
        <v>48906</v>
      </c>
      <c r="F1345" s="63" t="s">
        <v>81</v>
      </c>
    </row>
    <row r="1346" spans="1:6" x14ac:dyDescent="0.45">
      <c r="A1346" s="57">
        <v>2020</v>
      </c>
      <c r="B1346" s="3" t="s">
        <v>58</v>
      </c>
      <c r="C1346" s="3" t="s">
        <v>2</v>
      </c>
      <c r="D1346" s="4">
        <v>10993</v>
      </c>
      <c r="E1346" s="60">
        <v>22798</v>
      </c>
      <c r="F1346" s="63" t="s">
        <v>82</v>
      </c>
    </row>
    <row r="1347" spans="1:6" x14ac:dyDescent="0.45">
      <c r="A1347" s="58">
        <v>2020</v>
      </c>
      <c r="B1347" s="5" t="s">
        <v>58</v>
      </c>
      <c r="C1347" s="5" t="s">
        <v>3</v>
      </c>
      <c r="D1347" s="6">
        <v>13627</v>
      </c>
      <c r="E1347" s="61">
        <v>30580</v>
      </c>
      <c r="F1347" s="63" t="s">
        <v>81</v>
      </c>
    </row>
    <row r="1348" spans="1:6" x14ac:dyDescent="0.45">
      <c r="A1348" s="57">
        <v>2020</v>
      </c>
      <c r="B1348" s="3" t="s">
        <v>58</v>
      </c>
      <c r="C1348" s="3" t="s">
        <v>4</v>
      </c>
      <c r="D1348" s="4">
        <v>7168</v>
      </c>
      <c r="E1348" s="60">
        <v>22536</v>
      </c>
      <c r="F1348" s="63" t="s">
        <v>81</v>
      </c>
    </row>
    <row r="1349" spans="1:6" x14ac:dyDescent="0.45">
      <c r="A1349" s="58">
        <v>2020</v>
      </c>
      <c r="B1349" s="5" t="s">
        <v>58</v>
      </c>
      <c r="C1349" s="5" t="s">
        <v>5</v>
      </c>
      <c r="D1349" s="6">
        <v>111455</v>
      </c>
      <c r="E1349" s="61">
        <v>36527</v>
      </c>
      <c r="F1349" s="63" t="s">
        <v>82</v>
      </c>
    </row>
    <row r="1350" spans="1:6" x14ac:dyDescent="0.45">
      <c r="A1350" s="57">
        <v>2020</v>
      </c>
      <c r="B1350" s="3" t="s">
        <v>58</v>
      </c>
      <c r="C1350" s="3" t="s">
        <v>6</v>
      </c>
      <c r="D1350" s="4">
        <v>16939</v>
      </c>
      <c r="E1350" s="60">
        <v>31878</v>
      </c>
      <c r="F1350" s="63" t="s">
        <v>82</v>
      </c>
    </row>
    <row r="1351" spans="1:6" x14ac:dyDescent="0.45">
      <c r="A1351" s="58">
        <v>2020</v>
      </c>
      <c r="B1351" s="5" t="s">
        <v>58</v>
      </c>
      <c r="C1351" s="5" t="s">
        <v>7</v>
      </c>
      <c r="D1351" s="6">
        <v>10668</v>
      </c>
      <c r="E1351" s="61">
        <v>29705</v>
      </c>
      <c r="F1351" s="63" t="s">
        <v>81</v>
      </c>
    </row>
    <row r="1352" spans="1:6" x14ac:dyDescent="0.45">
      <c r="A1352" s="57">
        <v>2020</v>
      </c>
      <c r="B1352" s="3" t="s">
        <v>58</v>
      </c>
      <c r="C1352" s="3" t="s">
        <v>8</v>
      </c>
      <c r="D1352" s="4">
        <v>2637</v>
      </c>
      <c r="E1352" s="60">
        <v>26414</v>
      </c>
      <c r="F1352" s="63" t="s">
        <v>81</v>
      </c>
    </row>
    <row r="1353" spans="1:6" x14ac:dyDescent="0.45">
      <c r="A1353" s="58">
        <v>2020</v>
      </c>
      <c r="B1353" s="5" t="s">
        <v>58</v>
      </c>
      <c r="C1353" s="5" t="s">
        <v>9</v>
      </c>
      <c r="D1353" s="6">
        <v>56587</v>
      </c>
      <c r="E1353" s="61">
        <v>31881</v>
      </c>
      <c r="F1353" s="63" t="s">
        <v>82</v>
      </c>
    </row>
    <row r="1354" spans="1:6" x14ac:dyDescent="0.45">
      <c r="A1354" s="57">
        <v>2020</v>
      </c>
      <c r="B1354" s="3" t="s">
        <v>58</v>
      </c>
      <c r="C1354" s="3" t="s">
        <v>10</v>
      </c>
      <c r="D1354" s="4">
        <v>24275</v>
      </c>
      <c r="E1354" s="60">
        <v>26604</v>
      </c>
      <c r="F1354" s="63" t="s">
        <v>82</v>
      </c>
    </row>
    <row r="1355" spans="1:6" x14ac:dyDescent="0.45">
      <c r="A1355" s="58">
        <v>2020</v>
      </c>
      <c r="B1355" s="5" t="s">
        <v>58</v>
      </c>
      <c r="C1355" s="5" t="s">
        <v>11</v>
      </c>
      <c r="D1355" s="6">
        <v>5008</v>
      </c>
      <c r="E1355" s="61">
        <v>23141</v>
      </c>
      <c r="F1355" s="63" t="s">
        <v>82</v>
      </c>
    </row>
    <row r="1356" spans="1:6" x14ac:dyDescent="0.45">
      <c r="A1356" s="57">
        <v>2020</v>
      </c>
      <c r="B1356" s="3" t="s">
        <v>58</v>
      </c>
      <c r="C1356" s="3" t="s">
        <v>12</v>
      </c>
      <c r="D1356" s="4">
        <v>32619</v>
      </c>
      <c r="E1356" s="60">
        <v>29765</v>
      </c>
      <c r="F1356" s="63" t="s">
        <v>82</v>
      </c>
    </row>
    <row r="1357" spans="1:6" x14ac:dyDescent="0.45">
      <c r="A1357" s="58">
        <v>2020</v>
      </c>
      <c r="B1357" s="5" t="s">
        <v>58</v>
      </c>
      <c r="C1357" s="5" t="s">
        <v>13</v>
      </c>
      <c r="D1357" s="6">
        <v>15564</v>
      </c>
      <c r="E1357" s="61">
        <v>24981</v>
      </c>
      <c r="F1357" s="63" t="s">
        <v>82</v>
      </c>
    </row>
    <row r="1358" spans="1:6" x14ac:dyDescent="0.45">
      <c r="A1358" s="57">
        <v>2020</v>
      </c>
      <c r="B1358" s="3" t="s">
        <v>58</v>
      </c>
      <c r="C1358" s="3" t="s">
        <v>14</v>
      </c>
      <c r="D1358" s="4">
        <v>8670</v>
      </c>
      <c r="E1358" s="60">
        <v>22799</v>
      </c>
      <c r="F1358" s="63" t="s">
        <v>81</v>
      </c>
    </row>
    <row r="1359" spans="1:6" x14ac:dyDescent="0.45">
      <c r="A1359" s="58">
        <v>2020</v>
      </c>
      <c r="B1359" s="5" t="s">
        <v>58</v>
      </c>
      <c r="C1359" s="5" t="s">
        <v>15</v>
      </c>
      <c r="D1359" s="6">
        <v>6895</v>
      </c>
      <c r="E1359" s="61">
        <v>22764</v>
      </c>
      <c r="F1359" s="63" t="s">
        <v>81</v>
      </c>
    </row>
    <row r="1360" spans="1:6" x14ac:dyDescent="0.45">
      <c r="A1360" s="57">
        <v>2020</v>
      </c>
      <c r="B1360" s="3" t="s">
        <v>58</v>
      </c>
      <c r="C1360" s="3" t="s">
        <v>16</v>
      </c>
      <c r="D1360" s="4">
        <v>10080</v>
      </c>
      <c r="E1360" s="60">
        <v>23719</v>
      </c>
      <c r="F1360" s="63" t="s">
        <v>82</v>
      </c>
    </row>
    <row r="1361" spans="1:6" x14ac:dyDescent="0.45">
      <c r="A1361" s="58">
        <v>2020</v>
      </c>
      <c r="B1361" s="5" t="s">
        <v>58</v>
      </c>
      <c r="C1361" s="5" t="s">
        <v>17</v>
      </c>
      <c r="D1361" s="6">
        <v>12415</v>
      </c>
      <c r="E1361" s="61">
        <v>27264</v>
      </c>
      <c r="F1361" s="63" t="s">
        <v>81</v>
      </c>
    </row>
    <row r="1362" spans="1:6" x14ac:dyDescent="0.45">
      <c r="A1362" s="57">
        <v>2020</v>
      </c>
      <c r="B1362" s="3" t="s">
        <v>58</v>
      </c>
      <c r="C1362" s="3" t="s">
        <v>18</v>
      </c>
      <c r="D1362" s="4">
        <v>5047</v>
      </c>
      <c r="E1362" s="60">
        <v>28087</v>
      </c>
      <c r="F1362" s="63" t="s">
        <v>81</v>
      </c>
    </row>
    <row r="1363" spans="1:6" x14ac:dyDescent="0.45">
      <c r="A1363" s="58">
        <v>2020</v>
      </c>
      <c r="B1363" s="5" t="s">
        <v>58</v>
      </c>
      <c r="C1363" s="5" t="s">
        <v>19</v>
      </c>
      <c r="D1363" s="6">
        <v>14772</v>
      </c>
      <c r="E1363" s="61">
        <v>30012</v>
      </c>
      <c r="F1363" s="63" t="s">
        <v>82</v>
      </c>
    </row>
    <row r="1364" spans="1:6" x14ac:dyDescent="0.45">
      <c r="A1364" s="57">
        <v>2020</v>
      </c>
      <c r="B1364" s="3" t="s">
        <v>58</v>
      </c>
      <c r="C1364" s="3" t="s">
        <v>20</v>
      </c>
      <c r="D1364" s="4">
        <v>20642</v>
      </c>
      <c r="E1364" s="60">
        <v>33758</v>
      </c>
      <c r="F1364" s="63" t="s">
        <v>82</v>
      </c>
    </row>
    <row r="1365" spans="1:6" x14ac:dyDescent="0.45">
      <c r="A1365" s="58">
        <v>2020</v>
      </c>
      <c r="B1365" s="5" t="s">
        <v>58</v>
      </c>
      <c r="C1365" s="5" t="s">
        <v>21</v>
      </c>
      <c r="D1365" s="6">
        <v>22025</v>
      </c>
      <c r="E1365" s="61">
        <v>26566</v>
      </c>
      <c r="F1365" s="63" t="s">
        <v>81</v>
      </c>
    </row>
    <row r="1366" spans="1:6" x14ac:dyDescent="0.45">
      <c r="A1366" s="57">
        <v>2020</v>
      </c>
      <c r="B1366" s="3" t="s">
        <v>58</v>
      </c>
      <c r="C1366" s="3" t="s">
        <v>22</v>
      </c>
      <c r="D1366" s="4">
        <v>15294</v>
      </c>
      <c r="E1366" s="60">
        <v>28507</v>
      </c>
      <c r="F1366" s="63" t="s">
        <v>81</v>
      </c>
    </row>
    <row r="1367" spans="1:6" x14ac:dyDescent="0.45">
      <c r="A1367" s="58">
        <v>2020</v>
      </c>
      <c r="B1367" s="5" t="s">
        <v>58</v>
      </c>
      <c r="C1367" s="5" t="s">
        <v>23</v>
      </c>
      <c r="D1367" s="6">
        <v>6464</v>
      </c>
      <c r="E1367" s="61">
        <v>23523</v>
      </c>
      <c r="F1367" s="63" t="s">
        <v>82</v>
      </c>
    </row>
    <row r="1368" spans="1:6" x14ac:dyDescent="0.45">
      <c r="A1368" s="57">
        <v>2020</v>
      </c>
      <c r="B1368" s="3" t="s">
        <v>58</v>
      </c>
      <c r="C1368" s="3" t="s">
        <v>24</v>
      </c>
      <c r="D1368" s="4">
        <v>14797</v>
      </c>
      <c r="E1368" s="60">
        <v>26892</v>
      </c>
      <c r="F1368" s="63" t="s">
        <v>81</v>
      </c>
    </row>
    <row r="1369" spans="1:6" x14ac:dyDescent="0.45">
      <c r="A1369" s="58">
        <v>2020</v>
      </c>
      <c r="B1369" s="5" t="s">
        <v>58</v>
      </c>
      <c r="C1369" s="5" t="s">
        <v>25</v>
      </c>
      <c r="D1369" s="6">
        <v>5071</v>
      </c>
      <c r="E1369" s="61">
        <v>25150</v>
      </c>
      <c r="F1369" s="63" t="s">
        <v>82</v>
      </c>
    </row>
    <row r="1370" spans="1:6" x14ac:dyDescent="0.45">
      <c r="A1370" s="57">
        <v>2020</v>
      </c>
      <c r="B1370" s="3" t="s">
        <v>58</v>
      </c>
      <c r="C1370" s="3" t="s">
        <v>26</v>
      </c>
      <c r="D1370" s="4">
        <v>5561</v>
      </c>
      <c r="E1370" s="60">
        <v>22715</v>
      </c>
      <c r="F1370" s="63" t="s">
        <v>81</v>
      </c>
    </row>
    <row r="1371" spans="1:6" x14ac:dyDescent="0.45">
      <c r="A1371" s="58">
        <v>2020</v>
      </c>
      <c r="B1371" s="5" t="s">
        <v>58</v>
      </c>
      <c r="C1371" s="5" t="s">
        <v>27</v>
      </c>
      <c r="D1371" s="6">
        <v>8499</v>
      </c>
      <c r="E1371" s="61">
        <v>39688</v>
      </c>
      <c r="F1371" s="63" t="s">
        <v>81</v>
      </c>
    </row>
    <row r="1372" spans="1:6" x14ac:dyDescent="0.45">
      <c r="A1372" s="57">
        <v>2020</v>
      </c>
      <c r="B1372" s="3" t="s">
        <v>58</v>
      </c>
      <c r="C1372" s="3" t="s">
        <v>28</v>
      </c>
      <c r="D1372" s="4">
        <v>4595</v>
      </c>
      <c r="E1372" s="60">
        <v>27945</v>
      </c>
      <c r="F1372" s="63" t="s">
        <v>82</v>
      </c>
    </row>
    <row r="1373" spans="1:6" x14ac:dyDescent="0.45">
      <c r="A1373" s="58">
        <v>2020</v>
      </c>
      <c r="B1373" s="5" t="s">
        <v>58</v>
      </c>
      <c r="C1373" s="5" t="s">
        <v>29</v>
      </c>
      <c r="D1373" s="6">
        <v>24132</v>
      </c>
      <c r="E1373" s="61">
        <v>32316</v>
      </c>
      <c r="F1373" s="63" t="s">
        <v>82</v>
      </c>
    </row>
    <row r="1374" spans="1:6" x14ac:dyDescent="0.45">
      <c r="A1374" s="57">
        <v>2020</v>
      </c>
      <c r="B1374" s="3" t="s">
        <v>58</v>
      </c>
      <c r="C1374" s="3" t="s">
        <v>30</v>
      </c>
      <c r="D1374" s="4">
        <v>5107</v>
      </c>
      <c r="E1374" s="60">
        <v>24651</v>
      </c>
      <c r="F1374" s="63" t="s">
        <v>81</v>
      </c>
    </row>
    <row r="1375" spans="1:6" x14ac:dyDescent="0.45">
      <c r="A1375" s="58">
        <v>2020</v>
      </c>
      <c r="B1375" s="5" t="s">
        <v>58</v>
      </c>
      <c r="C1375" s="5" t="s">
        <v>31</v>
      </c>
      <c r="D1375" s="6">
        <v>66285</v>
      </c>
      <c r="E1375" s="61">
        <v>39850</v>
      </c>
      <c r="F1375" s="63" t="s">
        <v>81</v>
      </c>
    </row>
    <row r="1376" spans="1:6" x14ac:dyDescent="0.45">
      <c r="A1376" s="57">
        <v>2020</v>
      </c>
      <c r="B1376" s="3" t="s">
        <v>58</v>
      </c>
      <c r="C1376" s="3" t="s">
        <v>32</v>
      </c>
      <c r="D1376" s="4">
        <v>25859</v>
      </c>
      <c r="E1376" s="60">
        <v>25767</v>
      </c>
      <c r="F1376" s="63" t="s">
        <v>82</v>
      </c>
    </row>
    <row r="1377" spans="1:6" x14ac:dyDescent="0.45">
      <c r="A1377" s="58">
        <v>2020</v>
      </c>
      <c r="B1377" s="5" t="s">
        <v>58</v>
      </c>
      <c r="C1377" s="5" t="s">
        <v>33</v>
      </c>
      <c r="D1377" s="6">
        <v>2627</v>
      </c>
      <c r="E1377" s="61">
        <v>23889</v>
      </c>
      <c r="F1377" s="63" t="s">
        <v>82</v>
      </c>
    </row>
    <row r="1378" spans="1:6" x14ac:dyDescent="0.45">
      <c r="A1378" s="57">
        <v>2020</v>
      </c>
      <c r="B1378" s="3" t="s">
        <v>58</v>
      </c>
      <c r="C1378" s="3" t="s">
        <v>34</v>
      </c>
      <c r="D1378" s="4">
        <v>28523</v>
      </c>
      <c r="E1378" s="60">
        <v>25459</v>
      </c>
      <c r="F1378" s="63" t="s">
        <v>82</v>
      </c>
    </row>
    <row r="1379" spans="1:6" x14ac:dyDescent="0.45">
      <c r="A1379" s="58">
        <v>2020</v>
      </c>
      <c r="B1379" s="5" t="s">
        <v>58</v>
      </c>
      <c r="C1379" s="5" t="s">
        <v>35</v>
      </c>
      <c r="D1379" s="6">
        <v>9140</v>
      </c>
      <c r="E1379" s="61">
        <v>24204</v>
      </c>
      <c r="F1379" s="63" t="s">
        <v>82</v>
      </c>
    </row>
    <row r="1380" spans="1:6" x14ac:dyDescent="0.45">
      <c r="A1380" s="57">
        <v>2020</v>
      </c>
      <c r="B1380" s="3" t="s">
        <v>58</v>
      </c>
      <c r="C1380" s="3" t="s">
        <v>36</v>
      </c>
      <c r="D1380" s="4">
        <v>13794</v>
      </c>
      <c r="E1380" s="60">
        <v>28754</v>
      </c>
      <c r="F1380" s="63" t="s">
        <v>82</v>
      </c>
    </row>
    <row r="1381" spans="1:6" x14ac:dyDescent="0.45">
      <c r="A1381" s="58">
        <v>2020</v>
      </c>
      <c r="B1381" s="5" t="s">
        <v>58</v>
      </c>
      <c r="C1381" s="5" t="s">
        <v>37</v>
      </c>
      <c r="D1381" s="6">
        <v>33471</v>
      </c>
      <c r="E1381" s="61">
        <v>27102</v>
      </c>
      <c r="F1381" s="63" t="s">
        <v>81</v>
      </c>
    </row>
    <row r="1382" spans="1:6" x14ac:dyDescent="0.45">
      <c r="A1382" s="57">
        <v>2020</v>
      </c>
      <c r="B1382" s="3" t="s">
        <v>58</v>
      </c>
      <c r="C1382" s="3" t="s">
        <v>38</v>
      </c>
      <c r="D1382" s="4">
        <v>3748</v>
      </c>
      <c r="E1382" s="60">
        <v>28818</v>
      </c>
      <c r="F1382" s="63" t="s">
        <v>81</v>
      </c>
    </row>
    <row r="1383" spans="1:6" x14ac:dyDescent="0.45">
      <c r="A1383" s="58">
        <v>2020</v>
      </c>
      <c r="B1383" s="5" t="s">
        <v>58</v>
      </c>
      <c r="C1383" s="5" t="s">
        <v>39</v>
      </c>
      <c r="D1383" s="6">
        <v>12841</v>
      </c>
      <c r="E1383" s="61">
        <v>23991</v>
      </c>
      <c r="F1383" s="63" t="s">
        <v>82</v>
      </c>
    </row>
    <row r="1384" spans="1:6" x14ac:dyDescent="0.45">
      <c r="A1384" s="57">
        <v>2020</v>
      </c>
      <c r="B1384" s="3" t="s">
        <v>58</v>
      </c>
      <c r="C1384" s="3" t="s">
        <v>40</v>
      </c>
      <c r="D1384" s="4">
        <v>3149</v>
      </c>
      <c r="E1384" s="60">
        <v>22954</v>
      </c>
      <c r="F1384" s="63" t="s">
        <v>81</v>
      </c>
    </row>
    <row r="1385" spans="1:6" x14ac:dyDescent="0.45">
      <c r="A1385" s="58">
        <v>2020</v>
      </c>
      <c r="B1385" s="5" t="s">
        <v>58</v>
      </c>
      <c r="C1385" s="5" t="s">
        <v>41</v>
      </c>
      <c r="D1385" s="6">
        <v>16427</v>
      </c>
      <c r="E1385" s="61">
        <v>29524</v>
      </c>
      <c r="F1385" s="63" t="s">
        <v>81</v>
      </c>
    </row>
    <row r="1386" spans="1:6" x14ac:dyDescent="0.45">
      <c r="A1386" s="57">
        <v>2020</v>
      </c>
      <c r="B1386" s="3" t="s">
        <v>58</v>
      </c>
      <c r="C1386" s="3" t="s">
        <v>42</v>
      </c>
      <c r="D1386" s="4">
        <v>62760</v>
      </c>
      <c r="E1386" s="60">
        <v>27861</v>
      </c>
      <c r="F1386" s="63" t="s">
        <v>82</v>
      </c>
    </row>
    <row r="1387" spans="1:6" x14ac:dyDescent="0.45">
      <c r="A1387" s="58">
        <v>2020</v>
      </c>
      <c r="B1387" s="5" t="s">
        <v>58</v>
      </c>
      <c r="C1387" s="5" t="s">
        <v>43</v>
      </c>
      <c r="D1387" s="6">
        <v>7374</v>
      </c>
      <c r="E1387" s="61">
        <v>26121</v>
      </c>
      <c r="F1387" s="63" t="s">
        <v>82</v>
      </c>
    </row>
    <row r="1388" spans="1:6" x14ac:dyDescent="0.45">
      <c r="A1388" s="57">
        <v>2020</v>
      </c>
      <c r="B1388" s="3" t="s">
        <v>58</v>
      </c>
      <c r="C1388" s="3" t="s">
        <v>44</v>
      </c>
      <c r="D1388" s="4">
        <v>2279</v>
      </c>
      <c r="E1388" s="60">
        <v>29107</v>
      </c>
      <c r="F1388" s="63" t="s">
        <v>81</v>
      </c>
    </row>
    <row r="1389" spans="1:6" x14ac:dyDescent="0.45">
      <c r="A1389" s="58">
        <v>2020</v>
      </c>
      <c r="B1389" s="5" t="s">
        <v>58</v>
      </c>
      <c r="C1389" s="5" t="s">
        <v>45</v>
      </c>
      <c r="D1389" s="6">
        <v>20479</v>
      </c>
      <c r="E1389" s="61">
        <v>26678</v>
      </c>
      <c r="F1389" s="63" t="s">
        <v>81</v>
      </c>
    </row>
    <row r="1390" spans="1:6" x14ac:dyDescent="0.45">
      <c r="A1390" s="57">
        <v>2020</v>
      </c>
      <c r="B1390" s="3" t="s">
        <v>58</v>
      </c>
      <c r="C1390" s="3" t="s">
        <v>46</v>
      </c>
      <c r="D1390" s="4">
        <v>20431</v>
      </c>
      <c r="E1390" s="60">
        <v>31357</v>
      </c>
      <c r="F1390" s="63" t="s">
        <v>82</v>
      </c>
    </row>
    <row r="1391" spans="1:6" x14ac:dyDescent="0.45">
      <c r="A1391" s="58">
        <v>2020</v>
      </c>
      <c r="B1391" s="5" t="s">
        <v>58</v>
      </c>
      <c r="C1391" s="5" t="s">
        <v>47</v>
      </c>
      <c r="D1391" s="6">
        <v>4722</v>
      </c>
      <c r="E1391" s="61">
        <v>23916</v>
      </c>
      <c r="F1391" s="63" t="s">
        <v>81</v>
      </c>
    </row>
    <row r="1392" spans="1:6" x14ac:dyDescent="0.45">
      <c r="A1392" s="57">
        <v>2020</v>
      </c>
      <c r="B1392" s="3" t="s">
        <v>58</v>
      </c>
      <c r="C1392" s="3" t="s">
        <v>48</v>
      </c>
      <c r="D1392" s="4">
        <v>16931</v>
      </c>
      <c r="E1392" s="60">
        <v>24305</v>
      </c>
      <c r="F1392" s="63" t="s">
        <v>82</v>
      </c>
    </row>
    <row r="1393" spans="1:6" x14ac:dyDescent="0.45">
      <c r="A1393" s="58">
        <v>2020</v>
      </c>
      <c r="B1393" s="5" t="s">
        <v>58</v>
      </c>
      <c r="C1393" s="5" t="s">
        <v>49</v>
      </c>
      <c r="D1393" s="6">
        <v>2383</v>
      </c>
      <c r="E1393" s="61">
        <v>27270</v>
      </c>
      <c r="F1393" s="63" t="s">
        <v>81</v>
      </c>
    </row>
    <row r="1394" spans="1:6" x14ac:dyDescent="0.45">
      <c r="A1394" s="57">
        <v>2020</v>
      </c>
      <c r="B1394" s="3" t="s">
        <v>59</v>
      </c>
      <c r="C1394" s="3" t="s">
        <v>2</v>
      </c>
      <c r="D1394" s="4">
        <v>10102</v>
      </c>
      <c r="E1394" s="60">
        <v>43839</v>
      </c>
      <c r="F1394" s="63" t="s">
        <v>81</v>
      </c>
    </row>
    <row r="1395" spans="1:6" x14ac:dyDescent="0.45">
      <c r="A1395" s="58">
        <v>2020</v>
      </c>
      <c r="B1395" s="5" t="s">
        <v>59</v>
      </c>
      <c r="C1395" s="5" t="s">
        <v>3</v>
      </c>
      <c r="D1395" s="6">
        <v>11119</v>
      </c>
      <c r="E1395" s="61">
        <v>43697</v>
      </c>
      <c r="F1395" s="63" t="s">
        <v>82</v>
      </c>
    </row>
    <row r="1396" spans="1:6" x14ac:dyDescent="0.45">
      <c r="A1396" s="57">
        <v>2020</v>
      </c>
      <c r="B1396" s="3" t="s">
        <v>59</v>
      </c>
      <c r="C1396" s="3" t="s">
        <v>4</v>
      </c>
      <c r="D1396" s="4">
        <v>5345</v>
      </c>
      <c r="E1396" s="60">
        <v>40843</v>
      </c>
      <c r="F1396" s="63" t="s">
        <v>82</v>
      </c>
    </row>
    <row r="1397" spans="1:6" x14ac:dyDescent="0.45">
      <c r="A1397" s="58">
        <v>2020</v>
      </c>
      <c r="B1397" s="5" t="s">
        <v>59</v>
      </c>
      <c r="C1397" s="5" t="s">
        <v>5</v>
      </c>
      <c r="D1397" s="6">
        <v>95398</v>
      </c>
      <c r="E1397" s="61">
        <v>46668</v>
      </c>
      <c r="F1397" s="63" t="s">
        <v>81</v>
      </c>
    </row>
    <row r="1398" spans="1:6" x14ac:dyDescent="0.45">
      <c r="A1398" s="57">
        <v>2020</v>
      </c>
      <c r="B1398" s="3" t="s">
        <v>59</v>
      </c>
      <c r="C1398" s="3" t="s">
        <v>6</v>
      </c>
      <c r="D1398" s="4">
        <v>16405</v>
      </c>
      <c r="E1398" s="60">
        <v>46987</v>
      </c>
      <c r="F1398" s="63" t="s">
        <v>81</v>
      </c>
    </row>
    <row r="1399" spans="1:6" x14ac:dyDescent="0.45">
      <c r="A1399" s="58">
        <v>2020</v>
      </c>
      <c r="B1399" s="5" t="s">
        <v>59</v>
      </c>
      <c r="C1399" s="5" t="s">
        <v>7</v>
      </c>
      <c r="D1399" s="6">
        <v>17517</v>
      </c>
      <c r="E1399" s="61">
        <v>39615</v>
      </c>
      <c r="F1399" s="63" t="s">
        <v>82</v>
      </c>
    </row>
    <row r="1400" spans="1:6" x14ac:dyDescent="0.45">
      <c r="A1400" s="57">
        <v>2020</v>
      </c>
      <c r="B1400" s="3" t="s">
        <v>59</v>
      </c>
      <c r="C1400" s="3" t="s">
        <v>8</v>
      </c>
      <c r="D1400" s="4">
        <v>2054</v>
      </c>
      <c r="E1400" s="60">
        <v>40259</v>
      </c>
      <c r="F1400" s="63" t="s">
        <v>82</v>
      </c>
    </row>
    <row r="1401" spans="1:6" x14ac:dyDescent="0.45">
      <c r="A1401" s="58">
        <v>2020</v>
      </c>
      <c r="B1401" s="5" t="s">
        <v>59</v>
      </c>
      <c r="C1401" s="5" t="s">
        <v>9</v>
      </c>
      <c r="D1401" s="6">
        <v>55687</v>
      </c>
      <c r="E1401" s="61">
        <v>42402</v>
      </c>
      <c r="F1401" s="63" t="s">
        <v>82</v>
      </c>
    </row>
    <row r="1402" spans="1:6" x14ac:dyDescent="0.45">
      <c r="A1402" s="57">
        <v>2020</v>
      </c>
      <c r="B1402" s="3" t="s">
        <v>59</v>
      </c>
      <c r="C1402" s="3" t="s">
        <v>10</v>
      </c>
      <c r="D1402" s="4">
        <v>17999</v>
      </c>
      <c r="E1402" s="60">
        <v>42377</v>
      </c>
      <c r="F1402" s="63" t="s">
        <v>82</v>
      </c>
    </row>
    <row r="1403" spans="1:6" x14ac:dyDescent="0.45">
      <c r="A1403" s="58">
        <v>2020</v>
      </c>
      <c r="B1403" s="5" t="s">
        <v>59</v>
      </c>
      <c r="C1403" s="5" t="s">
        <v>11</v>
      </c>
      <c r="D1403" s="6">
        <v>3985</v>
      </c>
      <c r="E1403" s="61">
        <v>37284</v>
      </c>
      <c r="F1403" s="63" t="s">
        <v>82</v>
      </c>
    </row>
    <row r="1404" spans="1:6" x14ac:dyDescent="0.45">
      <c r="A1404" s="57">
        <v>2020</v>
      </c>
      <c r="B1404" s="3" t="s">
        <v>59</v>
      </c>
      <c r="C1404" s="3" t="s">
        <v>12</v>
      </c>
      <c r="D1404" s="4">
        <v>39449</v>
      </c>
      <c r="E1404" s="60">
        <v>48392</v>
      </c>
      <c r="F1404" s="63" t="s">
        <v>81</v>
      </c>
    </row>
    <row r="1405" spans="1:6" x14ac:dyDescent="0.45">
      <c r="A1405" s="58">
        <v>2020</v>
      </c>
      <c r="B1405" s="5" t="s">
        <v>59</v>
      </c>
      <c r="C1405" s="5" t="s">
        <v>13</v>
      </c>
      <c r="D1405" s="6">
        <v>13122</v>
      </c>
      <c r="E1405" s="61">
        <v>38900</v>
      </c>
      <c r="F1405" s="63" t="s">
        <v>81</v>
      </c>
    </row>
    <row r="1406" spans="1:6" x14ac:dyDescent="0.45">
      <c r="A1406" s="57">
        <v>2020</v>
      </c>
      <c r="B1406" s="3" t="s">
        <v>59</v>
      </c>
      <c r="C1406" s="3" t="s">
        <v>14</v>
      </c>
      <c r="D1406" s="4">
        <v>8669</v>
      </c>
      <c r="E1406" s="60">
        <v>40313</v>
      </c>
      <c r="F1406" s="63" t="s">
        <v>82</v>
      </c>
    </row>
    <row r="1407" spans="1:6" x14ac:dyDescent="0.45">
      <c r="A1407" s="58">
        <v>2020</v>
      </c>
      <c r="B1407" s="5" t="s">
        <v>59</v>
      </c>
      <c r="C1407" s="5" t="s">
        <v>15</v>
      </c>
      <c r="D1407" s="6">
        <v>5983</v>
      </c>
      <c r="E1407" s="61">
        <v>40478</v>
      </c>
      <c r="F1407" s="63" t="s">
        <v>81</v>
      </c>
    </row>
    <row r="1408" spans="1:6" x14ac:dyDescent="0.45">
      <c r="A1408" s="57">
        <v>2020</v>
      </c>
      <c r="B1408" s="3" t="s">
        <v>59</v>
      </c>
      <c r="C1408" s="3" t="s">
        <v>16</v>
      </c>
      <c r="D1408" s="4">
        <v>10697</v>
      </c>
      <c r="E1408" s="60">
        <v>39616</v>
      </c>
      <c r="F1408" s="63" t="s">
        <v>81</v>
      </c>
    </row>
    <row r="1409" spans="1:6" x14ac:dyDescent="0.45">
      <c r="A1409" s="58">
        <v>2020</v>
      </c>
      <c r="B1409" s="5" t="s">
        <v>59</v>
      </c>
      <c r="C1409" s="5" t="s">
        <v>17</v>
      </c>
      <c r="D1409" s="6">
        <v>9230</v>
      </c>
      <c r="E1409" s="61">
        <v>43854</v>
      </c>
      <c r="F1409" s="63" t="s">
        <v>82</v>
      </c>
    </row>
    <row r="1410" spans="1:6" x14ac:dyDescent="0.45">
      <c r="A1410" s="57">
        <v>2020</v>
      </c>
      <c r="B1410" s="3" t="s">
        <v>59</v>
      </c>
      <c r="C1410" s="3" t="s">
        <v>18</v>
      </c>
      <c r="D1410" s="4">
        <v>3832</v>
      </c>
      <c r="E1410" s="60">
        <v>39967</v>
      </c>
      <c r="F1410" s="63" t="s">
        <v>82</v>
      </c>
    </row>
    <row r="1411" spans="1:6" x14ac:dyDescent="0.45">
      <c r="A1411" s="58">
        <v>2020</v>
      </c>
      <c r="B1411" s="5" t="s">
        <v>59</v>
      </c>
      <c r="C1411" s="5" t="s">
        <v>19</v>
      </c>
      <c r="D1411" s="6">
        <v>19354</v>
      </c>
      <c r="E1411" s="61">
        <v>49222</v>
      </c>
      <c r="F1411" s="63" t="s">
        <v>81</v>
      </c>
    </row>
    <row r="1412" spans="1:6" x14ac:dyDescent="0.45">
      <c r="A1412" s="57">
        <v>2020</v>
      </c>
      <c r="B1412" s="3" t="s">
        <v>59</v>
      </c>
      <c r="C1412" s="3" t="s">
        <v>20</v>
      </c>
      <c r="D1412" s="4">
        <v>21621</v>
      </c>
      <c r="E1412" s="60">
        <v>44569</v>
      </c>
      <c r="F1412" s="63" t="s">
        <v>81</v>
      </c>
    </row>
    <row r="1413" spans="1:6" x14ac:dyDescent="0.45">
      <c r="A1413" s="58">
        <v>2020</v>
      </c>
      <c r="B1413" s="5" t="s">
        <v>59</v>
      </c>
      <c r="C1413" s="5" t="s">
        <v>21</v>
      </c>
      <c r="D1413" s="6">
        <v>31024</v>
      </c>
      <c r="E1413" s="61">
        <v>39275</v>
      </c>
      <c r="F1413" s="63" t="s">
        <v>82</v>
      </c>
    </row>
    <row r="1414" spans="1:6" x14ac:dyDescent="0.45">
      <c r="A1414" s="57">
        <v>2020</v>
      </c>
      <c r="B1414" s="3" t="s">
        <v>59</v>
      </c>
      <c r="C1414" s="3" t="s">
        <v>22</v>
      </c>
      <c r="D1414" s="4">
        <v>17099</v>
      </c>
      <c r="E1414" s="60">
        <v>40221</v>
      </c>
      <c r="F1414" s="63" t="s">
        <v>81</v>
      </c>
    </row>
    <row r="1415" spans="1:6" x14ac:dyDescent="0.45">
      <c r="A1415" s="58">
        <v>2020</v>
      </c>
      <c r="B1415" s="5" t="s">
        <v>59</v>
      </c>
      <c r="C1415" s="5" t="s">
        <v>23</v>
      </c>
      <c r="D1415" s="6">
        <v>4645</v>
      </c>
      <c r="E1415" s="61">
        <v>40491</v>
      </c>
      <c r="F1415" s="63" t="s">
        <v>82</v>
      </c>
    </row>
    <row r="1416" spans="1:6" x14ac:dyDescent="0.45">
      <c r="A1416" s="57">
        <v>2020</v>
      </c>
      <c r="B1416" s="3" t="s">
        <v>59</v>
      </c>
      <c r="C1416" s="3" t="s">
        <v>24</v>
      </c>
      <c r="D1416" s="4">
        <v>12996</v>
      </c>
      <c r="E1416" s="60">
        <v>40075</v>
      </c>
      <c r="F1416" s="63" t="s">
        <v>81</v>
      </c>
    </row>
    <row r="1417" spans="1:6" x14ac:dyDescent="0.45">
      <c r="A1417" s="58">
        <v>2020</v>
      </c>
      <c r="B1417" s="5" t="s">
        <v>59</v>
      </c>
      <c r="C1417" s="5" t="s">
        <v>25</v>
      </c>
      <c r="D1417" s="6">
        <v>4285</v>
      </c>
      <c r="E1417" s="61">
        <v>36293</v>
      </c>
      <c r="F1417" s="63" t="s">
        <v>81</v>
      </c>
    </row>
    <row r="1418" spans="1:6" x14ac:dyDescent="0.45">
      <c r="A1418" s="57">
        <v>2020</v>
      </c>
      <c r="B1418" s="3" t="s">
        <v>59</v>
      </c>
      <c r="C1418" s="3" t="s">
        <v>26</v>
      </c>
      <c r="D1418" s="4">
        <v>4614</v>
      </c>
      <c r="E1418" s="60">
        <v>38212</v>
      </c>
      <c r="F1418" s="63" t="s">
        <v>82</v>
      </c>
    </row>
    <row r="1419" spans="1:6" x14ac:dyDescent="0.45">
      <c r="A1419" s="58">
        <v>2020</v>
      </c>
      <c r="B1419" s="5" t="s">
        <v>59</v>
      </c>
      <c r="C1419" s="5" t="s">
        <v>27</v>
      </c>
      <c r="D1419" s="6">
        <v>5080</v>
      </c>
      <c r="E1419" s="61">
        <v>43484</v>
      </c>
      <c r="F1419" s="63" t="s">
        <v>82</v>
      </c>
    </row>
    <row r="1420" spans="1:6" x14ac:dyDescent="0.45">
      <c r="A1420" s="57">
        <v>2020</v>
      </c>
      <c r="B1420" s="3" t="s">
        <v>59</v>
      </c>
      <c r="C1420" s="3" t="s">
        <v>28</v>
      </c>
      <c r="D1420" s="4">
        <v>3934</v>
      </c>
      <c r="E1420" s="60">
        <v>43927</v>
      </c>
      <c r="F1420" s="63" t="s">
        <v>81</v>
      </c>
    </row>
    <row r="1421" spans="1:6" x14ac:dyDescent="0.45">
      <c r="A1421" s="58">
        <v>2020</v>
      </c>
      <c r="B1421" s="5" t="s">
        <v>59</v>
      </c>
      <c r="C1421" s="5" t="s">
        <v>29</v>
      </c>
      <c r="D1421" s="6">
        <v>24105</v>
      </c>
      <c r="E1421" s="61">
        <v>42518</v>
      </c>
      <c r="F1421" s="63" t="s">
        <v>81</v>
      </c>
    </row>
    <row r="1422" spans="1:6" x14ac:dyDescent="0.45">
      <c r="A1422" s="57">
        <v>2020</v>
      </c>
      <c r="B1422" s="3" t="s">
        <v>59</v>
      </c>
      <c r="C1422" s="3" t="s">
        <v>30</v>
      </c>
      <c r="D1422" s="4">
        <v>4073</v>
      </c>
      <c r="E1422" s="60">
        <v>40365</v>
      </c>
      <c r="F1422" s="63" t="s">
        <v>82</v>
      </c>
    </row>
    <row r="1423" spans="1:6" x14ac:dyDescent="0.45">
      <c r="A1423" s="58">
        <v>2020</v>
      </c>
      <c r="B1423" s="5" t="s">
        <v>59</v>
      </c>
      <c r="C1423" s="5" t="s">
        <v>31</v>
      </c>
      <c r="D1423" s="6">
        <v>73275</v>
      </c>
      <c r="E1423" s="61">
        <v>47910</v>
      </c>
      <c r="F1423" s="63" t="s">
        <v>82</v>
      </c>
    </row>
    <row r="1424" spans="1:6" x14ac:dyDescent="0.45">
      <c r="A1424" s="57">
        <v>2020</v>
      </c>
      <c r="B1424" s="3" t="s">
        <v>59</v>
      </c>
      <c r="C1424" s="3" t="s">
        <v>32</v>
      </c>
      <c r="D1424" s="4">
        <v>23444</v>
      </c>
      <c r="E1424" s="60">
        <v>41102</v>
      </c>
      <c r="F1424" s="63" t="s">
        <v>82</v>
      </c>
    </row>
    <row r="1425" spans="1:6" x14ac:dyDescent="0.45">
      <c r="A1425" s="58">
        <v>2020</v>
      </c>
      <c r="B1425" s="5" t="s">
        <v>59</v>
      </c>
      <c r="C1425" s="5" t="s">
        <v>33</v>
      </c>
      <c r="D1425" s="6">
        <v>2051</v>
      </c>
      <c r="E1425" s="61">
        <v>43216</v>
      </c>
      <c r="F1425" s="63" t="s">
        <v>82</v>
      </c>
    </row>
    <row r="1426" spans="1:6" x14ac:dyDescent="0.45">
      <c r="A1426" s="57">
        <v>2020</v>
      </c>
      <c r="B1426" s="3" t="s">
        <v>59</v>
      </c>
      <c r="C1426" s="3" t="s">
        <v>34</v>
      </c>
      <c r="D1426" s="4">
        <v>23542</v>
      </c>
      <c r="E1426" s="60">
        <v>40001</v>
      </c>
      <c r="F1426" s="63" t="s">
        <v>82</v>
      </c>
    </row>
    <row r="1427" spans="1:6" x14ac:dyDescent="0.45">
      <c r="A1427" s="58">
        <v>2020</v>
      </c>
      <c r="B1427" s="5" t="s">
        <v>59</v>
      </c>
      <c r="C1427" s="5" t="s">
        <v>35</v>
      </c>
      <c r="D1427" s="6">
        <v>6640</v>
      </c>
      <c r="E1427" s="61">
        <v>41221</v>
      </c>
      <c r="F1427" s="63" t="s">
        <v>81</v>
      </c>
    </row>
    <row r="1428" spans="1:6" x14ac:dyDescent="0.45">
      <c r="A1428" s="57">
        <v>2020</v>
      </c>
      <c r="B1428" s="3" t="s">
        <v>59</v>
      </c>
      <c r="C1428" s="3" t="s">
        <v>36</v>
      </c>
      <c r="D1428" s="4">
        <v>24302</v>
      </c>
      <c r="E1428" s="60">
        <v>40031</v>
      </c>
      <c r="F1428" s="63" t="s">
        <v>81</v>
      </c>
    </row>
    <row r="1429" spans="1:6" x14ac:dyDescent="0.45">
      <c r="A1429" s="58">
        <v>2020</v>
      </c>
      <c r="B1429" s="5" t="s">
        <v>59</v>
      </c>
      <c r="C1429" s="5" t="s">
        <v>37</v>
      </c>
      <c r="D1429" s="6">
        <v>32530</v>
      </c>
      <c r="E1429" s="61">
        <v>39988</v>
      </c>
      <c r="F1429" s="63" t="s">
        <v>82</v>
      </c>
    </row>
    <row r="1430" spans="1:6" x14ac:dyDescent="0.45">
      <c r="A1430" s="57">
        <v>2020</v>
      </c>
      <c r="B1430" s="3" t="s">
        <v>59</v>
      </c>
      <c r="C1430" s="3" t="s">
        <v>38</v>
      </c>
      <c r="D1430" s="4">
        <v>3459</v>
      </c>
      <c r="E1430" s="60">
        <v>39322</v>
      </c>
      <c r="F1430" s="63" t="s">
        <v>81</v>
      </c>
    </row>
    <row r="1431" spans="1:6" x14ac:dyDescent="0.45">
      <c r="A1431" s="58">
        <v>2020</v>
      </c>
      <c r="B1431" s="5" t="s">
        <v>59</v>
      </c>
      <c r="C1431" s="5" t="s">
        <v>39</v>
      </c>
      <c r="D1431" s="6">
        <v>11329</v>
      </c>
      <c r="E1431" s="61">
        <v>38985</v>
      </c>
      <c r="F1431" s="63" t="s">
        <v>81</v>
      </c>
    </row>
    <row r="1432" spans="1:6" x14ac:dyDescent="0.45">
      <c r="A1432" s="57">
        <v>2020</v>
      </c>
      <c r="B1432" s="3" t="s">
        <v>59</v>
      </c>
      <c r="C1432" s="3" t="s">
        <v>40</v>
      </c>
      <c r="D1432" s="4">
        <v>2201</v>
      </c>
      <c r="E1432" s="60">
        <v>38874</v>
      </c>
      <c r="F1432" s="63" t="s">
        <v>82</v>
      </c>
    </row>
    <row r="1433" spans="1:6" x14ac:dyDescent="0.45">
      <c r="A1433" s="58">
        <v>2020</v>
      </c>
      <c r="B1433" s="5" t="s">
        <v>59</v>
      </c>
      <c r="C1433" s="5" t="s">
        <v>41</v>
      </c>
      <c r="D1433" s="6">
        <v>15494</v>
      </c>
      <c r="E1433" s="61">
        <v>41137</v>
      </c>
      <c r="F1433" s="63" t="s">
        <v>82</v>
      </c>
    </row>
    <row r="1434" spans="1:6" x14ac:dyDescent="0.45">
      <c r="A1434" s="57">
        <v>2020</v>
      </c>
      <c r="B1434" s="3" t="s">
        <v>59</v>
      </c>
      <c r="C1434" s="3" t="s">
        <v>42</v>
      </c>
      <c r="D1434" s="4">
        <v>56598</v>
      </c>
      <c r="E1434" s="60">
        <v>45429</v>
      </c>
      <c r="F1434" s="63" t="s">
        <v>81</v>
      </c>
    </row>
    <row r="1435" spans="1:6" x14ac:dyDescent="0.45">
      <c r="A1435" s="58">
        <v>2020</v>
      </c>
      <c r="B1435" s="5" t="s">
        <v>59</v>
      </c>
      <c r="C1435" s="5" t="s">
        <v>43</v>
      </c>
      <c r="D1435" s="6">
        <v>6320</v>
      </c>
      <c r="E1435" s="61">
        <v>41627</v>
      </c>
      <c r="F1435" s="63" t="s">
        <v>81</v>
      </c>
    </row>
    <row r="1436" spans="1:6" x14ac:dyDescent="0.45">
      <c r="A1436" s="57">
        <v>2020</v>
      </c>
      <c r="B1436" s="3" t="s">
        <v>59</v>
      </c>
      <c r="C1436" s="3" t="s">
        <v>44</v>
      </c>
      <c r="D1436" s="4">
        <v>1954</v>
      </c>
      <c r="E1436" s="60">
        <v>42288</v>
      </c>
      <c r="F1436" s="63" t="s">
        <v>82</v>
      </c>
    </row>
    <row r="1437" spans="1:6" x14ac:dyDescent="0.45">
      <c r="A1437" s="58">
        <v>2020</v>
      </c>
      <c r="B1437" s="5" t="s">
        <v>59</v>
      </c>
      <c r="C1437" s="5" t="s">
        <v>45</v>
      </c>
      <c r="D1437" s="6">
        <v>36204</v>
      </c>
      <c r="E1437" s="61">
        <v>48804</v>
      </c>
      <c r="F1437" s="63" t="s">
        <v>81</v>
      </c>
    </row>
    <row r="1438" spans="1:6" x14ac:dyDescent="0.45">
      <c r="A1438" s="57">
        <v>2020</v>
      </c>
      <c r="B1438" s="3" t="s">
        <v>59</v>
      </c>
      <c r="C1438" s="3" t="s">
        <v>46</v>
      </c>
      <c r="D1438" s="4">
        <v>19893</v>
      </c>
      <c r="E1438" s="60">
        <v>46310</v>
      </c>
      <c r="F1438" s="63" t="s">
        <v>82</v>
      </c>
    </row>
    <row r="1439" spans="1:6" x14ac:dyDescent="0.45">
      <c r="A1439" s="58">
        <v>2020</v>
      </c>
      <c r="B1439" s="5" t="s">
        <v>59</v>
      </c>
      <c r="C1439" s="5" t="s">
        <v>47</v>
      </c>
      <c r="D1439" s="6">
        <v>5536</v>
      </c>
      <c r="E1439" s="61">
        <v>37425</v>
      </c>
      <c r="F1439" s="63" t="s">
        <v>81</v>
      </c>
    </row>
    <row r="1440" spans="1:6" x14ac:dyDescent="0.45">
      <c r="A1440" s="57">
        <v>2020</v>
      </c>
      <c r="B1440" s="3" t="s">
        <v>59</v>
      </c>
      <c r="C1440" s="3" t="s">
        <v>48</v>
      </c>
      <c r="D1440" s="4">
        <v>14009</v>
      </c>
      <c r="E1440" s="60">
        <v>36593</v>
      </c>
      <c r="F1440" s="63" t="s">
        <v>81</v>
      </c>
    </row>
    <row r="1441" spans="1:6" x14ac:dyDescent="0.45">
      <c r="A1441" s="58">
        <v>2020</v>
      </c>
      <c r="B1441" s="5" t="s">
        <v>59</v>
      </c>
      <c r="C1441" s="5" t="s">
        <v>49</v>
      </c>
      <c r="D1441" s="6">
        <v>1664</v>
      </c>
      <c r="E1441" s="61">
        <v>43155</v>
      </c>
      <c r="F1441" s="63" t="s">
        <v>82</v>
      </c>
    </row>
    <row r="1442" spans="1:6" x14ac:dyDescent="0.45">
      <c r="A1442" s="57">
        <v>2019</v>
      </c>
      <c r="B1442" s="3" t="s">
        <v>50</v>
      </c>
      <c r="C1442" s="3" t="s">
        <v>2</v>
      </c>
      <c r="D1442" s="4">
        <v>1815</v>
      </c>
      <c r="E1442" s="60">
        <v>58748</v>
      </c>
      <c r="F1442" s="63" t="s">
        <v>82</v>
      </c>
    </row>
    <row r="1443" spans="1:6" x14ac:dyDescent="0.45">
      <c r="A1443" s="58">
        <v>2019</v>
      </c>
      <c r="B1443" s="5" t="s">
        <v>50</v>
      </c>
      <c r="C1443" s="5" t="s">
        <v>3</v>
      </c>
      <c r="D1443" s="6">
        <v>1257</v>
      </c>
      <c r="E1443" s="61">
        <v>53116</v>
      </c>
      <c r="F1443" s="63" t="s">
        <v>81</v>
      </c>
    </row>
    <row r="1444" spans="1:6" x14ac:dyDescent="0.45">
      <c r="A1444" s="57">
        <v>2019</v>
      </c>
      <c r="B1444" s="3" t="s">
        <v>50</v>
      </c>
      <c r="C1444" s="3" t="s">
        <v>4</v>
      </c>
      <c r="D1444" s="4">
        <v>2551</v>
      </c>
      <c r="E1444" s="60">
        <v>52191</v>
      </c>
      <c r="F1444" s="63" t="s">
        <v>81</v>
      </c>
    </row>
    <row r="1445" spans="1:6" x14ac:dyDescent="0.45">
      <c r="A1445" s="58">
        <v>2019</v>
      </c>
      <c r="B1445" s="5" t="s">
        <v>50</v>
      </c>
      <c r="C1445" s="5" t="s">
        <v>5</v>
      </c>
      <c r="D1445" s="6">
        <v>17021</v>
      </c>
      <c r="E1445" s="61">
        <v>43249</v>
      </c>
      <c r="F1445" s="63" t="s">
        <v>82</v>
      </c>
    </row>
    <row r="1446" spans="1:6" x14ac:dyDescent="0.45">
      <c r="A1446" s="57">
        <v>2019</v>
      </c>
      <c r="B1446" s="3" t="s">
        <v>50</v>
      </c>
      <c r="C1446" s="3" t="s">
        <v>6</v>
      </c>
      <c r="D1446" s="4">
        <v>3202</v>
      </c>
      <c r="E1446" s="60">
        <v>90161</v>
      </c>
      <c r="F1446" s="63" t="s">
        <v>82</v>
      </c>
    </row>
    <row r="1447" spans="1:6" x14ac:dyDescent="0.45">
      <c r="A1447" s="58">
        <v>2019</v>
      </c>
      <c r="B1447" s="5" t="s">
        <v>50</v>
      </c>
      <c r="C1447" s="5" t="s">
        <v>7</v>
      </c>
      <c r="D1447" s="5">
        <v>433</v>
      </c>
      <c r="E1447" s="61">
        <v>46017</v>
      </c>
      <c r="F1447" s="63" t="s">
        <v>82</v>
      </c>
    </row>
    <row r="1448" spans="1:6" x14ac:dyDescent="0.45">
      <c r="A1448" s="57">
        <v>2019</v>
      </c>
      <c r="B1448" s="3" t="s">
        <v>50</v>
      </c>
      <c r="C1448" s="3" t="s">
        <v>8</v>
      </c>
      <c r="D1448" s="3">
        <v>177</v>
      </c>
      <c r="E1448" s="60">
        <v>45651</v>
      </c>
      <c r="F1448" s="63" t="s">
        <v>82</v>
      </c>
    </row>
    <row r="1449" spans="1:6" x14ac:dyDescent="0.45">
      <c r="A1449" s="58">
        <v>2019</v>
      </c>
      <c r="B1449" s="5" t="s">
        <v>50</v>
      </c>
      <c r="C1449" s="5" t="s">
        <v>9</v>
      </c>
      <c r="D1449" s="6">
        <v>5285</v>
      </c>
      <c r="E1449" s="61">
        <v>38773</v>
      </c>
      <c r="F1449" s="63" t="s">
        <v>82</v>
      </c>
    </row>
    <row r="1450" spans="1:6" x14ac:dyDescent="0.45">
      <c r="A1450" s="57">
        <v>2019</v>
      </c>
      <c r="B1450" s="3" t="s">
        <v>50</v>
      </c>
      <c r="C1450" s="3" t="s">
        <v>10</v>
      </c>
      <c r="D1450" s="4">
        <v>2594</v>
      </c>
      <c r="E1450" s="60">
        <v>47048</v>
      </c>
      <c r="F1450" s="63" t="s">
        <v>81</v>
      </c>
    </row>
    <row r="1451" spans="1:6" x14ac:dyDescent="0.45">
      <c r="A1451" s="58">
        <v>2019</v>
      </c>
      <c r="B1451" s="5" t="s">
        <v>50</v>
      </c>
      <c r="C1451" s="5" t="s">
        <v>11</v>
      </c>
      <c r="D1451" s="6">
        <v>2448</v>
      </c>
      <c r="E1451" s="61">
        <v>44417</v>
      </c>
      <c r="F1451" s="63" t="s">
        <v>81</v>
      </c>
    </row>
    <row r="1452" spans="1:6" x14ac:dyDescent="0.45">
      <c r="A1452" s="57">
        <v>2019</v>
      </c>
      <c r="B1452" s="3" t="s">
        <v>50</v>
      </c>
      <c r="C1452" s="3" t="s">
        <v>12</v>
      </c>
      <c r="D1452" s="4">
        <v>2730</v>
      </c>
      <c r="E1452" s="60">
        <v>54549</v>
      </c>
      <c r="F1452" s="63" t="s">
        <v>82</v>
      </c>
    </row>
    <row r="1453" spans="1:6" x14ac:dyDescent="0.45">
      <c r="A1453" s="58">
        <v>2019</v>
      </c>
      <c r="B1453" s="5" t="s">
        <v>50</v>
      </c>
      <c r="C1453" s="5" t="s">
        <v>13</v>
      </c>
      <c r="D1453" s="6">
        <v>2183</v>
      </c>
      <c r="E1453" s="61">
        <v>53269</v>
      </c>
      <c r="F1453" s="63" t="s">
        <v>81</v>
      </c>
    </row>
    <row r="1454" spans="1:6" x14ac:dyDescent="0.45">
      <c r="A1454" s="57">
        <v>2019</v>
      </c>
      <c r="B1454" s="3" t="s">
        <v>50</v>
      </c>
      <c r="C1454" s="3" t="s">
        <v>14</v>
      </c>
      <c r="D1454" s="4">
        <v>2766</v>
      </c>
      <c r="E1454" s="60">
        <v>47388</v>
      </c>
      <c r="F1454" s="63" t="s">
        <v>81</v>
      </c>
    </row>
    <row r="1455" spans="1:6" x14ac:dyDescent="0.45">
      <c r="A1455" s="58">
        <v>2019</v>
      </c>
      <c r="B1455" s="5" t="s">
        <v>50</v>
      </c>
      <c r="C1455" s="5" t="s">
        <v>15</v>
      </c>
      <c r="D1455" s="6">
        <v>2686</v>
      </c>
      <c r="E1455" s="61">
        <v>51105</v>
      </c>
      <c r="F1455" s="63" t="s">
        <v>82</v>
      </c>
    </row>
    <row r="1456" spans="1:6" x14ac:dyDescent="0.45">
      <c r="A1456" s="57">
        <v>2019</v>
      </c>
      <c r="B1456" s="3" t="s">
        <v>50</v>
      </c>
      <c r="C1456" s="3" t="s">
        <v>16</v>
      </c>
      <c r="D1456" s="4">
        <v>1584</v>
      </c>
      <c r="E1456" s="60">
        <v>60943</v>
      </c>
      <c r="F1456" s="63" t="s">
        <v>82</v>
      </c>
    </row>
    <row r="1457" spans="1:6" x14ac:dyDescent="0.45">
      <c r="A1457" s="58">
        <v>2019</v>
      </c>
      <c r="B1457" s="5" t="s">
        <v>50</v>
      </c>
      <c r="C1457" s="5" t="s">
        <v>17</v>
      </c>
      <c r="D1457" s="6">
        <v>3082</v>
      </c>
      <c r="E1457" s="61">
        <v>86128</v>
      </c>
      <c r="F1457" s="63" t="s">
        <v>81</v>
      </c>
    </row>
    <row r="1458" spans="1:6" x14ac:dyDescent="0.45">
      <c r="A1458" s="57">
        <v>2019</v>
      </c>
      <c r="B1458" s="3" t="s">
        <v>50</v>
      </c>
      <c r="C1458" s="3" t="s">
        <v>18</v>
      </c>
      <c r="D1458" s="4">
        <v>1370</v>
      </c>
      <c r="E1458" s="60">
        <v>46118</v>
      </c>
      <c r="F1458" s="63" t="s">
        <v>81</v>
      </c>
    </row>
    <row r="1459" spans="1:6" x14ac:dyDescent="0.45">
      <c r="A1459" s="58">
        <v>2019</v>
      </c>
      <c r="B1459" s="5" t="s">
        <v>50</v>
      </c>
      <c r="C1459" s="5" t="s">
        <v>19</v>
      </c>
      <c r="D1459" s="5">
        <v>723</v>
      </c>
      <c r="E1459" s="61">
        <v>48478</v>
      </c>
      <c r="F1459" s="63" t="s">
        <v>82</v>
      </c>
    </row>
    <row r="1460" spans="1:6" x14ac:dyDescent="0.45">
      <c r="A1460" s="57">
        <v>2019</v>
      </c>
      <c r="B1460" s="3" t="s">
        <v>50</v>
      </c>
      <c r="C1460" s="3" t="s">
        <v>20</v>
      </c>
      <c r="D1460" s="4">
        <v>1030</v>
      </c>
      <c r="E1460" s="60">
        <v>67286</v>
      </c>
      <c r="F1460" s="63" t="s">
        <v>81</v>
      </c>
    </row>
    <row r="1461" spans="1:6" x14ac:dyDescent="0.45">
      <c r="A1461" s="58">
        <v>2019</v>
      </c>
      <c r="B1461" s="5" t="s">
        <v>50</v>
      </c>
      <c r="C1461" s="5" t="s">
        <v>21</v>
      </c>
      <c r="D1461" s="6">
        <v>3203</v>
      </c>
      <c r="E1461" s="61">
        <v>44160</v>
      </c>
      <c r="F1461" s="63" t="s">
        <v>82</v>
      </c>
    </row>
    <row r="1462" spans="1:6" x14ac:dyDescent="0.45">
      <c r="A1462" s="57">
        <v>2019</v>
      </c>
      <c r="B1462" s="3" t="s">
        <v>50</v>
      </c>
      <c r="C1462" s="3" t="s">
        <v>22</v>
      </c>
      <c r="D1462" s="4">
        <v>2992</v>
      </c>
      <c r="E1462" s="60">
        <v>53599</v>
      </c>
      <c r="F1462" s="63" t="s">
        <v>81</v>
      </c>
    </row>
    <row r="1463" spans="1:6" x14ac:dyDescent="0.45">
      <c r="A1463" s="58">
        <v>2019</v>
      </c>
      <c r="B1463" s="5" t="s">
        <v>50</v>
      </c>
      <c r="C1463" s="5" t="s">
        <v>23</v>
      </c>
      <c r="D1463" s="6">
        <v>2168</v>
      </c>
      <c r="E1463" s="61">
        <v>51681</v>
      </c>
      <c r="F1463" s="63" t="s">
        <v>81</v>
      </c>
    </row>
    <row r="1464" spans="1:6" x14ac:dyDescent="0.45">
      <c r="A1464" s="57">
        <v>2019</v>
      </c>
      <c r="B1464" s="3" t="s">
        <v>50</v>
      </c>
      <c r="C1464" s="3" t="s">
        <v>24</v>
      </c>
      <c r="D1464" s="4">
        <v>1950</v>
      </c>
      <c r="E1464" s="60">
        <v>48894</v>
      </c>
      <c r="F1464" s="63" t="s">
        <v>82</v>
      </c>
    </row>
    <row r="1465" spans="1:6" x14ac:dyDescent="0.45">
      <c r="A1465" s="58">
        <v>2019</v>
      </c>
      <c r="B1465" s="5" t="s">
        <v>50</v>
      </c>
      <c r="C1465" s="5" t="s">
        <v>25</v>
      </c>
      <c r="D1465" s="6">
        <v>1753</v>
      </c>
      <c r="E1465" s="61">
        <v>70781</v>
      </c>
      <c r="F1465" s="63" t="s">
        <v>82</v>
      </c>
    </row>
    <row r="1466" spans="1:6" x14ac:dyDescent="0.45">
      <c r="A1466" s="57">
        <v>2019</v>
      </c>
      <c r="B1466" s="3" t="s">
        <v>50</v>
      </c>
      <c r="C1466" s="3" t="s">
        <v>26</v>
      </c>
      <c r="D1466" s="4">
        <v>2337</v>
      </c>
      <c r="E1466" s="60">
        <v>45544</v>
      </c>
      <c r="F1466" s="63" t="s">
        <v>81</v>
      </c>
    </row>
    <row r="1467" spans="1:6" x14ac:dyDescent="0.45">
      <c r="A1467" s="58">
        <v>2019</v>
      </c>
      <c r="B1467" s="5" t="s">
        <v>50</v>
      </c>
      <c r="C1467" s="5" t="s">
        <v>27</v>
      </c>
      <c r="D1467" s="5">
        <v>612</v>
      </c>
      <c r="E1467" s="61">
        <v>88999</v>
      </c>
      <c r="F1467" s="63" t="s">
        <v>81</v>
      </c>
    </row>
    <row r="1468" spans="1:6" x14ac:dyDescent="0.45">
      <c r="A1468" s="57">
        <v>2019</v>
      </c>
      <c r="B1468" s="3" t="s">
        <v>50</v>
      </c>
      <c r="C1468" s="3" t="s">
        <v>28</v>
      </c>
      <c r="D1468" s="3">
        <v>350</v>
      </c>
      <c r="E1468" s="60">
        <v>47972</v>
      </c>
      <c r="F1468" s="63" t="s">
        <v>82</v>
      </c>
    </row>
    <row r="1469" spans="1:6" x14ac:dyDescent="0.45">
      <c r="A1469" s="58">
        <v>2019</v>
      </c>
      <c r="B1469" s="5" t="s">
        <v>50</v>
      </c>
      <c r="C1469" s="5" t="s">
        <v>29</v>
      </c>
      <c r="D1469" s="6">
        <v>1018</v>
      </c>
      <c r="E1469" s="61">
        <v>43279</v>
      </c>
      <c r="F1469" s="63" t="s">
        <v>82</v>
      </c>
    </row>
    <row r="1470" spans="1:6" x14ac:dyDescent="0.45">
      <c r="A1470" s="57">
        <v>2019</v>
      </c>
      <c r="B1470" s="3" t="s">
        <v>50</v>
      </c>
      <c r="C1470" s="3" t="s">
        <v>30</v>
      </c>
      <c r="D1470" s="4">
        <v>1991</v>
      </c>
      <c r="E1470" s="60">
        <v>65989</v>
      </c>
      <c r="F1470" s="63" t="s">
        <v>82</v>
      </c>
    </row>
    <row r="1471" spans="1:6" x14ac:dyDescent="0.45">
      <c r="A1471" s="58">
        <v>2019</v>
      </c>
      <c r="B1471" s="5" t="s">
        <v>50</v>
      </c>
      <c r="C1471" s="5" t="s">
        <v>31</v>
      </c>
      <c r="D1471" s="6">
        <v>3023</v>
      </c>
      <c r="E1471" s="61">
        <v>45487</v>
      </c>
      <c r="F1471" s="63" t="s">
        <v>82</v>
      </c>
    </row>
    <row r="1472" spans="1:6" x14ac:dyDescent="0.45">
      <c r="A1472" s="57">
        <v>2019</v>
      </c>
      <c r="B1472" s="3" t="s">
        <v>50</v>
      </c>
      <c r="C1472" s="3" t="s">
        <v>32</v>
      </c>
      <c r="D1472" s="4">
        <v>3306</v>
      </c>
      <c r="E1472" s="60">
        <v>43636</v>
      </c>
      <c r="F1472" s="63" t="s">
        <v>82</v>
      </c>
    </row>
    <row r="1473" spans="1:6" x14ac:dyDescent="0.45">
      <c r="A1473" s="58">
        <v>2019</v>
      </c>
      <c r="B1473" s="5" t="s">
        <v>50</v>
      </c>
      <c r="C1473" s="5" t="s">
        <v>33</v>
      </c>
      <c r="D1473" s="6">
        <v>1771</v>
      </c>
      <c r="E1473" s="61">
        <v>95578</v>
      </c>
      <c r="F1473" s="63" t="s">
        <v>81</v>
      </c>
    </row>
    <row r="1474" spans="1:6" x14ac:dyDescent="0.45">
      <c r="A1474" s="57">
        <v>2019</v>
      </c>
      <c r="B1474" s="3" t="s">
        <v>50</v>
      </c>
      <c r="C1474" s="3" t="s">
        <v>34</v>
      </c>
      <c r="D1474" s="4">
        <v>2483</v>
      </c>
      <c r="E1474" s="60">
        <v>54849</v>
      </c>
      <c r="F1474" s="63" t="s">
        <v>81</v>
      </c>
    </row>
    <row r="1475" spans="1:6" x14ac:dyDescent="0.45">
      <c r="A1475" s="58">
        <v>2019</v>
      </c>
      <c r="B1475" s="5" t="s">
        <v>50</v>
      </c>
      <c r="C1475" s="5" t="s">
        <v>35</v>
      </c>
      <c r="D1475" s="6">
        <v>4333</v>
      </c>
      <c r="E1475" s="61">
        <v>94899</v>
      </c>
      <c r="F1475" s="63" t="s">
        <v>82</v>
      </c>
    </row>
    <row r="1476" spans="1:6" x14ac:dyDescent="0.45">
      <c r="A1476" s="57">
        <v>2019</v>
      </c>
      <c r="B1476" s="3" t="s">
        <v>50</v>
      </c>
      <c r="C1476" s="3" t="s">
        <v>36</v>
      </c>
      <c r="D1476" s="4">
        <v>4453</v>
      </c>
      <c r="E1476" s="60">
        <v>41362</v>
      </c>
      <c r="F1476" s="63" t="s">
        <v>81</v>
      </c>
    </row>
    <row r="1477" spans="1:6" x14ac:dyDescent="0.45">
      <c r="A1477" s="58">
        <v>2019</v>
      </c>
      <c r="B1477" s="5" t="s">
        <v>50</v>
      </c>
      <c r="C1477" s="5" t="s">
        <v>37</v>
      </c>
      <c r="D1477" s="6">
        <v>3498</v>
      </c>
      <c r="E1477" s="61">
        <v>69021</v>
      </c>
      <c r="F1477" s="63" t="s">
        <v>81</v>
      </c>
    </row>
    <row r="1478" spans="1:6" x14ac:dyDescent="0.45">
      <c r="A1478" s="57">
        <v>2019</v>
      </c>
      <c r="B1478" s="3" t="s">
        <v>50</v>
      </c>
      <c r="C1478" s="3" t="s">
        <v>39</v>
      </c>
      <c r="D1478" s="4">
        <v>1230</v>
      </c>
      <c r="E1478" s="60">
        <v>46520</v>
      </c>
      <c r="F1478" s="63" t="s">
        <v>82</v>
      </c>
    </row>
    <row r="1479" spans="1:6" x14ac:dyDescent="0.45">
      <c r="A1479" s="58">
        <v>2019</v>
      </c>
      <c r="B1479" s="5" t="s">
        <v>50</v>
      </c>
      <c r="C1479" s="5" t="s">
        <v>40</v>
      </c>
      <c r="D1479" s="6">
        <v>1026</v>
      </c>
      <c r="E1479" s="61">
        <v>47459</v>
      </c>
      <c r="F1479" s="63" t="s">
        <v>82</v>
      </c>
    </row>
    <row r="1480" spans="1:6" x14ac:dyDescent="0.45">
      <c r="A1480" s="57">
        <v>2019</v>
      </c>
      <c r="B1480" s="3" t="s">
        <v>50</v>
      </c>
      <c r="C1480" s="3" t="s">
        <v>41</v>
      </c>
      <c r="D1480" s="4">
        <v>1071</v>
      </c>
      <c r="E1480" s="60">
        <v>49908</v>
      </c>
      <c r="F1480" s="63" t="s">
        <v>81</v>
      </c>
    </row>
    <row r="1481" spans="1:6" x14ac:dyDescent="0.45">
      <c r="A1481" s="58">
        <v>2019</v>
      </c>
      <c r="B1481" s="5" t="s">
        <v>50</v>
      </c>
      <c r="C1481" s="5" t="s">
        <v>42</v>
      </c>
      <c r="D1481" s="6">
        <v>19580</v>
      </c>
      <c r="E1481" s="61">
        <v>113415</v>
      </c>
      <c r="F1481" s="63" t="s">
        <v>81</v>
      </c>
    </row>
    <row r="1482" spans="1:6" x14ac:dyDescent="0.45">
      <c r="A1482" s="57">
        <v>2019</v>
      </c>
      <c r="B1482" s="3" t="s">
        <v>50</v>
      </c>
      <c r="C1482" s="3" t="s">
        <v>43</v>
      </c>
      <c r="D1482" s="4">
        <v>1034</v>
      </c>
      <c r="E1482" s="60">
        <v>65120</v>
      </c>
      <c r="F1482" s="63" t="s">
        <v>82</v>
      </c>
    </row>
    <row r="1483" spans="1:6" x14ac:dyDescent="0.45">
      <c r="A1483" s="58">
        <v>2019</v>
      </c>
      <c r="B1483" s="5" t="s">
        <v>50</v>
      </c>
      <c r="C1483" s="5" t="s">
        <v>44</v>
      </c>
      <c r="D1483" s="5">
        <v>551</v>
      </c>
      <c r="E1483" s="61">
        <v>43223</v>
      </c>
      <c r="F1483" s="63" t="s">
        <v>81</v>
      </c>
    </row>
    <row r="1484" spans="1:6" x14ac:dyDescent="0.45">
      <c r="A1484" s="57">
        <v>2019</v>
      </c>
      <c r="B1484" s="3" t="s">
        <v>50</v>
      </c>
      <c r="C1484" s="3" t="s">
        <v>45</v>
      </c>
      <c r="D1484" s="4">
        <v>2061</v>
      </c>
      <c r="E1484" s="60">
        <v>50371</v>
      </c>
      <c r="F1484" s="63" t="s">
        <v>82</v>
      </c>
    </row>
    <row r="1485" spans="1:6" x14ac:dyDescent="0.45">
      <c r="A1485" s="58">
        <v>2019</v>
      </c>
      <c r="B1485" s="5" t="s">
        <v>50</v>
      </c>
      <c r="C1485" s="5" t="s">
        <v>46</v>
      </c>
      <c r="D1485" s="6">
        <v>7493</v>
      </c>
      <c r="E1485" s="61">
        <v>38082</v>
      </c>
      <c r="F1485" s="63" t="s">
        <v>81</v>
      </c>
    </row>
    <row r="1486" spans="1:6" x14ac:dyDescent="0.45">
      <c r="A1486" s="57">
        <v>2019</v>
      </c>
      <c r="B1486" s="3" t="s">
        <v>50</v>
      </c>
      <c r="C1486" s="3" t="s">
        <v>47</v>
      </c>
      <c r="D1486" s="4">
        <v>1221</v>
      </c>
      <c r="E1486" s="60">
        <v>82848</v>
      </c>
      <c r="F1486" s="63" t="s">
        <v>81</v>
      </c>
    </row>
    <row r="1487" spans="1:6" x14ac:dyDescent="0.45">
      <c r="A1487" s="58">
        <v>2019</v>
      </c>
      <c r="B1487" s="5" t="s">
        <v>50</v>
      </c>
      <c r="C1487" s="5" t="s">
        <v>48</v>
      </c>
      <c r="D1487" s="6">
        <v>2865</v>
      </c>
      <c r="E1487" s="61">
        <v>43981</v>
      </c>
      <c r="F1487" s="63" t="s">
        <v>82</v>
      </c>
    </row>
    <row r="1488" spans="1:6" x14ac:dyDescent="0.45">
      <c r="A1488" s="57">
        <v>2019</v>
      </c>
      <c r="B1488" s="3" t="s">
        <v>50</v>
      </c>
      <c r="C1488" s="3" t="s">
        <v>49</v>
      </c>
      <c r="D1488" s="4">
        <v>1442</v>
      </c>
      <c r="E1488" s="60">
        <v>87163</v>
      </c>
      <c r="F1488" s="63" t="s">
        <v>82</v>
      </c>
    </row>
    <row r="1489" spans="1:6" x14ac:dyDescent="0.45">
      <c r="A1489" s="58">
        <v>2019</v>
      </c>
      <c r="B1489" s="5" t="s">
        <v>51</v>
      </c>
      <c r="C1489" s="5" t="s">
        <v>2</v>
      </c>
      <c r="D1489" s="6">
        <v>9645</v>
      </c>
      <c r="E1489" s="61">
        <v>58230</v>
      </c>
      <c r="F1489" s="63" t="s">
        <v>81</v>
      </c>
    </row>
    <row r="1490" spans="1:6" x14ac:dyDescent="0.45">
      <c r="A1490" s="57">
        <v>2019</v>
      </c>
      <c r="B1490" s="3" t="s">
        <v>51</v>
      </c>
      <c r="C1490" s="3" t="s">
        <v>3</v>
      </c>
      <c r="D1490" s="4">
        <v>11368</v>
      </c>
      <c r="E1490" s="60">
        <v>59440</v>
      </c>
      <c r="F1490" s="63" t="s">
        <v>81</v>
      </c>
    </row>
    <row r="1491" spans="1:6" x14ac:dyDescent="0.45">
      <c r="A1491" s="58">
        <v>2019</v>
      </c>
      <c r="B1491" s="5" t="s">
        <v>51</v>
      </c>
      <c r="C1491" s="5" t="s">
        <v>4</v>
      </c>
      <c r="D1491" s="6">
        <v>6817</v>
      </c>
      <c r="E1491" s="61">
        <v>53283</v>
      </c>
      <c r="F1491" s="63" t="s">
        <v>82</v>
      </c>
    </row>
    <row r="1492" spans="1:6" x14ac:dyDescent="0.45">
      <c r="A1492" s="57">
        <v>2019</v>
      </c>
      <c r="B1492" s="3" t="s">
        <v>51</v>
      </c>
      <c r="C1492" s="3" t="s">
        <v>5</v>
      </c>
      <c r="D1492" s="4">
        <v>72972</v>
      </c>
      <c r="E1492" s="60">
        <v>73561</v>
      </c>
      <c r="F1492" s="63" t="s">
        <v>82</v>
      </c>
    </row>
    <row r="1493" spans="1:6" x14ac:dyDescent="0.45">
      <c r="A1493" s="58">
        <v>2019</v>
      </c>
      <c r="B1493" s="5" t="s">
        <v>51</v>
      </c>
      <c r="C1493" s="5" t="s">
        <v>6</v>
      </c>
      <c r="D1493" s="6">
        <v>19243</v>
      </c>
      <c r="E1493" s="61">
        <v>65444</v>
      </c>
      <c r="F1493" s="63" t="s">
        <v>82</v>
      </c>
    </row>
    <row r="1494" spans="1:6" x14ac:dyDescent="0.45">
      <c r="A1494" s="57">
        <v>2019</v>
      </c>
      <c r="B1494" s="3" t="s">
        <v>51</v>
      </c>
      <c r="C1494" s="3" t="s">
        <v>7</v>
      </c>
      <c r="D1494" s="4">
        <v>9351</v>
      </c>
      <c r="E1494" s="60">
        <v>74641</v>
      </c>
      <c r="F1494" s="63" t="s">
        <v>82</v>
      </c>
    </row>
    <row r="1495" spans="1:6" x14ac:dyDescent="0.45">
      <c r="A1495" s="58">
        <v>2019</v>
      </c>
      <c r="B1495" s="5" t="s">
        <v>51</v>
      </c>
      <c r="C1495" s="5" t="s">
        <v>8</v>
      </c>
      <c r="D1495" s="6">
        <v>2777</v>
      </c>
      <c r="E1495" s="61">
        <v>65040</v>
      </c>
      <c r="F1495" s="63" t="s">
        <v>82</v>
      </c>
    </row>
    <row r="1496" spans="1:6" x14ac:dyDescent="0.45">
      <c r="A1496" s="57">
        <v>2019</v>
      </c>
      <c r="B1496" s="3" t="s">
        <v>51</v>
      </c>
      <c r="C1496" s="3" t="s">
        <v>9</v>
      </c>
      <c r="D1496" s="4">
        <v>67384</v>
      </c>
      <c r="E1496" s="60">
        <v>55256</v>
      </c>
      <c r="F1496" s="63" t="s">
        <v>81</v>
      </c>
    </row>
    <row r="1497" spans="1:6" x14ac:dyDescent="0.45">
      <c r="A1497" s="58">
        <v>2019</v>
      </c>
      <c r="B1497" s="5" t="s">
        <v>51</v>
      </c>
      <c r="C1497" s="5" t="s">
        <v>10</v>
      </c>
      <c r="D1497" s="6">
        <v>20135</v>
      </c>
      <c r="E1497" s="61">
        <v>64213</v>
      </c>
      <c r="F1497" s="63" t="s">
        <v>81</v>
      </c>
    </row>
    <row r="1498" spans="1:6" x14ac:dyDescent="0.45">
      <c r="A1498" s="57">
        <v>2019</v>
      </c>
      <c r="B1498" s="3" t="s">
        <v>51</v>
      </c>
      <c r="C1498" s="3" t="s">
        <v>11</v>
      </c>
      <c r="D1498" s="4">
        <v>7660</v>
      </c>
      <c r="E1498" s="60">
        <v>48865</v>
      </c>
      <c r="F1498" s="63" t="s">
        <v>82</v>
      </c>
    </row>
    <row r="1499" spans="1:6" x14ac:dyDescent="0.45">
      <c r="A1499" s="58">
        <v>2019</v>
      </c>
      <c r="B1499" s="5" t="s">
        <v>51</v>
      </c>
      <c r="C1499" s="5" t="s">
        <v>12</v>
      </c>
      <c r="D1499" s="6">
        <v>31422</v>
      </c>
      <c r="E1499" s="61">
        <v>76893</v>
      </c>
      <c r="F1499" s="63" t="s">
        <v>81</v>
      </c>
    </row>
    <row r="1500" spans="1:6" x14ac:dyDescent="0.45">
      <c r="A1500" s="57">
        <v>2019</v>
      </c>
      <c r="B1500" s="3" t="s">
        <v>51</v>
      </c>
      <c r="C1500" s="3" t="s">
        <v>13</v>
      </c>
      <c r="D1500" s="4">
        <v>14839</v>
      </c>
      <c r="E1500" s="60">
        <v>63099</v>
      </c>
      <c r="F1500" s="63" t="s">
        <v>81</v>
      </c>
    </row>
    <row r="1501" spans="1:6" x14ac:dyDescent="0.45">
      <c r="A1501" s="58">
        <v>2019</v>
      </c>
      <c r="B1501" s="5" t="s">
        <v>51</v>
      </c>
      <c r="C1501" s="5" t="s">
        <v>14</v>
      </c>
      <c r="D1501" s="6">
        <v>9417</v>
      </c>
      <c r="E1501" s="61">
        <v>61415</v>
      </c>
      <c r="F1501" s="63" t="s">
        <v>82</v>
      </c>
    </row>
    <row r="1502" spans="1:6" x14ac:dyDescent="0.45">
      <c r="A1502" s="57">
        <v>2019</v>
      </c>
      <c r="B1502" s="3" t="s">
        <v>51</v>
      </c>
      <c r="C1502" s="3" t="s">
        <v>15</v>
      </c>
      <c r="D1502" s="4">
        <v>7584</v>
      </c>
      <c r="E1502" s="60">
        <v>58807</v>
      </c>
      <c r="F1502" s="63" t="s">
        <v>82</v>
      </c>
    </row>
    <row r="1503" spans="1:6" x14ac:dyDescent="0.45">
      <c r="A1503" s="58">
        <v>2019</v>
      </c>
      <c r="B1503" s="5" t="s">
        <v>51</v>
      </c>
      <c r="C1503" s="5" t="s">
        <v>16</v>
      </c>
      <c r="D1503" s="6">
        <v>9339</v>
      </c>
      <c r="E1503" s="61">
        <v>59194</v>
      </c>
      <c r="F1503" s="63" t="s">
        <v>81</v>
      </c>
    </row>
    <row r="1504" spans="1:6" x14ac:dyDescent="0.45">
      <c r="A1504" s="57">
        <v>2019</v>
      </c>
      <c r="B1504" s="3" t="s">
        <v>51</v>
      </c>
      <c r="C1504" s="3" t="s">
        <v>17</v>
      </c>
      <c r="D1504" s="4">
        <v>10825</v>
      </c>
      <c r="E1504" s="60">
        <v>67781</v>
      </c>
      <c r="F1504" s="63" t="s">
        <v>81</v>
      </c>
    </row>
    <row r="1505" spans="1:6" x14ac:dyDescent="0.45">
      <c r="A1505" s="58">
        <v>2019</v>
      </c>
      <c r="B1505" s="5" t="s">
        <v>51</v>
      </c>
      <c r="C1505" s="5" t="s">
        <v>18</v>
      </c>
      <c r="D1505" s="6">
        <v>5502</v>
      </c>
      <c r="E1505" s="61">
        <v>53930</v>
      </c>
      <c r="F1505" s="63" t="s">
        <v>82</v>
      </c>
    </row>
    <row r="1506" spans="1:6" x14ac:dyDescent="0.45">
      <c r="A1506" s="57">
        <v>2019</v>
      </c>
      <c r="B1506" s="3" t="s">
        <v>51</v>
      </c>
      <c r="C1506" s="3" t="s">
        <v>19</v>
      </c>
      <c r="D1506" s="4">
        <v>16463</v>
      </c>
      <c r="E1506" s="60">
        <v>71027</v>
      </c>
      <c r="F1506" s="63" t="s">
        <v>81</v>
      </c>
    </row>
    <row r="1507" spans="1:6" x14ac:dyDescent="0.45">
      <c r="A1507" s="58">
        <v>2019</v>
      </c>
      <c r="B1507" s="5" t="s">
        <v>51</v>
      </c>
      <c r="C1507" s="5" t="s">
        <v>20</v>
      </c>
      <c r="D1507" s="6">
        <v>21055</v>
      </c>
      <c r="E1507" s="61">
        <v>81405</v>
      </c>
      <c r="F1507" s="63" t="s">
        <v>82</v>
      </c>
    </row>
    <row r="1508" spans="1:6" x14ac:dyDescent="0.45">
      <c r="A1508" s="57">
        <v>2019</v>
      </c>
      <c r="B1508" s="3" t="s">
        <v>51</v>
      </c>
      <c r="C1508" s="3" t="s">
        <v>21</v>
      </c>
      <c r="D1508" s="4">
        <v>19544</v>
      </c>
      <c r="E1508" s="60">
        <v>67511</v>
      </c>
      <c r="F1508" s="63" t="s">
        <v>81</v>
      </c>
    </row>
    <row r="1509" spans="1:6" x14ac:dyDescent="0.45">
      <c r="A1509" s="58">
        <v>2019</v>
      </c>
      <c r="B1509" s="5" t="s">
        <v>51</v>
      </c>
      <c r="C1509" s="5" t="s">
        <v>22</v>
      </c>
      <c r="D1509" s="6">
        <v>15746</v>
      </c>
      <c r="E1509" s="61">
        <v>71464</v>
      </c>
      <c r="F1509" s="63" t="s">
        <v>81</v>
      </c>
    </row>
    <row r="1510" spans="1:6" x14ac:dyDescent="0.45">
      <c r="A1510" s="57">
        <v>2019</v>
      </c>
      <c r="B1510" s="3" t="s">
        <v>51</v>
      </c>
      <c r="C1510" s="3" t="s">
        <v>23</v>
      </c>
      <c r="D1510" s="4">
        <v>5670</v>
      </c>
      <c r="E1510" s="60">
        <v>54782</v>
      </c>
      <c r="F1510" s="63" t="s">
        <v>82</v>
      </c>
    </row>
    <row r="1511" spans="1:6" x14ac:dyDescent="0.45">
      <c r="A1511" s="58">
        <v>2019</v>
      </c>
      <c r="B1511" s="5" t="s">
        <v>51</v>
      </c>
      <c r="C1511" s="5" t="s">
        <v>24</v>
      </c>
      <c r="D1511" s="6">
        <v>15141</v>
      </c>
      <c r="E1511" s="61">
        <v>63823</v>
      </c>
      <c r="F1511" s="63" t="s">
        <v>82</v>
      </c>
    </row>
    <row r="1512" spans="1:6" x14ac:dyDescent="0.45">
      <c r="A1512" s="57">
        <v>2019</v>
      </c>
      <c r="B1512" s="3" t="s">
        <v>51</v>
      </c>
      <c r="C1512" s="3" t="s">
        <v>25</v>
      </c>
      <c r="D1512" s="4">
        <v>6287</v>
      </c>
      <c r="E1512" s="60">
        <v>56369</v>
      </c>
      <c r="F1512" s="63" t="s">
        <v>81</v>
      </c>
    </row>
    <row r="1513" spans="1:6" x14ac:dyDescent="0.45">
      <c r="A1513" s="58">
        <v>2019</v>
      </c>
      <c r="B1513" s="5" t="s">
        <v>51</v>
      </c>
      <c r="C1513" s="5" t="s">
        <v>26</v>
      </c>
      <c r="D1513" s="6">
        <v>7053</v>
      </c>
      <c r="E1513" s="61">
        <v>55634</v>
      </c>
      <c r="F1513" s="63" t="s">
        <v>81</v>
      </c>
    </row>
    <row r="1514" spans="1:6" x14ac:dyDescent="0.45">
      <c r="A1514" s="57">
        <v>2019</v>
      </c>
      <c r="B1514" s="3" t="s">
        <v>51</v>
      </c>
      <c r="C1514" s="3" t="s">
        <v>27</v>
      </c>
      <c r="D1514" s="4">
        <v>5859</v>
      </c>
      <c r="E1514" s="60">
        <v>64071</v>
      </c>
      <c r="F1514" s="63" t="s">
        <v>82</v>
      </c>
    </row>
    <row r="1515" spans="1:6" x14ac:dyDescent="0.45">
      <c r="A1515" s="58">
        <v>2019</v>
      </c>
      <c r="B1515" s="5" t="s">
        <v>51</v>
      </c>
      <c r="C1515" s="5" t="s">
        <v>28</v>
      </c>
      <c r="D1515" s="6">
        <v>4363</v>
      </c>
      <c r="E1515" s="61">
        <v>67497</v>
      </c>
      <c r="F1515" s="63" t="s">
        <v>82</v>
      </c>
    </row>
    <row r="1516" spans="1:6" x14ac:dyDescent="0.45">
      <c r="A1516" s="57">
        <v>2019</v>
      </c>
      <c r="B1516" s="3" t="s">
        <v>51</v>
      </c>
      <c r="C1516" s="3" t="s">
        <v>29</v>
      </c>
      <c r="D1516" s="4">
        <v>21672</v>
      </c>
      <c r="E1516" s="60">
        <v>77145</v>
      </c>
      <c r="F1516" s="63" t="s">
        <v>82</v>
      </c>
    </row>
    <row r="1517" spans="1:6" x14ac:dyDescent="0.45">
      <c r="A1517" s="58">
        <v>2019</v>
      </c>
      <c r="B1517" s="5" t="s">
        <v>51</v>
      </c>
      <c r="C1517" s="5" t="s">
        <v>30</v>
      </c>
      <c r="D1517" s="6">
        <v>5141</v>
      </c>
      <c r="E1517" s="61">
        <v>52369</v>
      </c>
      <c r="F1517" s="63" t="s">
        <v>82</v>
      </c>
    </row>
    <row r="1518" spans="1:6" x14ac:dyDescent="0.45">
      <c r="A1518" s="57">
        <v>2019</v>
      </c>
      <c r="B1518" s="3" t="s">
        <v>51</v>
      </c>
      <c r="C1518" s="3" t="s">
        <v>31</v>
      </c>
      <c r="D1518" s="4">
        <v>50064</v>
      </c>
      <c r="E1518" s="60">
        <v>77408</v>
      </c>
      <c r="F1518" s="63" t="s">
        <v>82</v>
      </c>
    </row>
    <row r="1519" spans="1:6" x14ac:dyDescent="0.45">
      <c r="A1519" s="58">
        <v>2019</v>
      </c>
      <c r="B1519" s="5" t="s">
        <v>51</v>
      </c>
      <c r="C1519" s="5" t="s">
        <v>32</v>
      </c>
      <c r="D1519" s="6">
        <v>26057</v>
      </c>
      <c r="E1519" s="61">
        <v>58372</v>
      </c>
      <c r="F1519" s="63" t="s">
        <v>81</v>
      </c>
    </row>
    <row r="1520" spans="1:6" x14ac:dyDescent="0.45">
      <c r="A1520" s="57">
        <v>2019</v>
      </c>
      <c r="B1520" s="3" t="s">
        <v>51</v>
      </c>
      <c r="C1520" s="3" t="s">
        <v>33</v>
      </c>
      <c r="D1520" s="4">
        <v>4035</v>
      </c>
      <c r="E1520" s="60">
        <v>69029</v>
      </c>
      <c r="F1520" s="63" t="s">
        <v>81</v>
      </c>
    </row>
    <row r="1521" spans="1:6" x14ac:dyDescent="0.45">
      <c r="A1521" s="58">
        <v>2019</v>
      </c>
      <c r="B1521" s="5" t="s">
        <v>51</v>
      </c>
      <c r="C1521" s="5" t="s">
        <v>34</v>
      </c>
      <c r="D1521" s="6">
        <v>23022</v>
      </c>
      <c r="E1521" s="61">
        <v>66831</v>
      </c>
      <c r="F1521" s="63" t="s">
        <v>82</v>
      </c>
    </row>
    <row r="1522" spans="1:6" x14ac:dyDescent="0.45">
      <c r="A1522" s="57">
        <v>2019</v>
      </c>
      <c r="B1522" s="3" t="s">
        <v>51</v>
      </c>
      <c r="C1522" s="3" t="s">
        <v>35</v>
      </c>
      <c r="D1522" s="4">
        <v>9823</v>
      </c>
      <c r="E1522" s="60">
        <v>56585</v>
      </c>
      <c r="F1522" s="63" t="s">
        <v>81</v>
      </c>
    </row>
    <row r="1523" spans="1:6" x14ac:dyDescent="0.45">
      <c r="A1523" s="58">
        <v>2019</v>
      </c>
      <c r="B1523" s="5" t="s">
        <v>51</v>
      </c>
      <c r="C1523" s="5" t="s">
        <v>36</v>
      </c>
      <c r="D1523" s="6">
        <v>13468</v>
      </c>
      <c r="E1523" s="61">
        <v>63987</v>
      </c>
      <c r="F1523" s="63" t="s">
        <v>81</v>
      </c>
    </row>
    <row r="1524" spans="1:6" x14ac:dyDescent="0.45">
      <c r="A1524" s="57">
        <v>2019</v>
      </c>
      <c r="B1524" s="3" t="s">
        <v>51</v>
      </c>
      <c r="C1524" s="3" t="s">
        <v>37</v>
      </c>
      <c r="D1524" s="4">
        <v>28397</v>
      </c>
      <c r="E1524" s="60">
        <v>70769</v>
      </c>
      <c r="F1524" s="63" t="s">
        <v>82</v>
      </c>
    </row>
    <row r="1525" spans="1:6" x14ac:dyDescent="0.45">
      <c r="A1525" s="58">
        <v>2019</v>
      </c>
      <c r="B1525" s="5" t="s">
        <v>51</v>
      </c>
      <c r="C1525" s="5" t="s">
        <v>39</v>
      </c>
      <c r="D1525" s="6">
        <v>11635</v>
      </c>
      <c r="E1525" s="61">
        <v>59542</v>
      </c>
      <c r="F1525" s="63" t="s">
        <v>82</v>
      </c>
    </row>
    <row r="1526" spans="1:6" x14ac:dyDescent="0.45">
      <c r="A1526" s="57">
        <v>2019</v>
      </c>
      <c r="B1526" s="3" t="s">
        <v>51</v>
      </c>
      <c r="C1526" s="3" t="s">
        <v>40</v>
      </c>
      <c r="D1526" s="4">
        <v>3883</v>
      </c>
      <c r="E1526" s="60">
        <v>53385</v>
      </c>
      <c r="F1526" s="63" t="s">
        <v>81</v>
      </c>
    </row>
    <row r="1527" spans="1:6" x14ac:dyDescent="0.45">
      <c r="A1527" s="58">
        <v>2019</v>
      </c>
      <c r="B1527" s="5" t="s">
        <v>51</v>
      </c>
      <c r="C1527" s="5" t="s">
        <v>41</v>
      </c>
      <c r="D1527" s="6">
        <v>11745</v>
      </c>
      <c r="E1527" s="61">
        <v>62642</v>
      </c>
      <c r="F1527" s="63" t="s">
        <v>81</v>
      </c>
    </row>
    <row r="1528" spans="1:6" x14ac:dyDescent="0.45">
      <c r="A1528" s="57">
        <v>2019</v>
      </c>
      <c r="B1528" s="3" t="s">
        <v>51</v>
      </c>
      <c r="C1528" s="3" t="s">
        <v>42</v>
      </c>
      <c r="D1528" s="4">
        <v>49310</v>
      </c>
      <c r="E1528" s="60">
        <v>69219</v>
      </c>
      <c r="F1528" s="63" t="s">
        <v>82</v>
      </c>
    </row>
    <row r="1529" spans="1:6" x14ac:dyDescent="0.45">
      <c r="A1529" s="58">
        <v>2019</v>
      </c>
      <c r="B1529" s="5" t="s">
        <v>51</v>
      </c>
      <c r="C1529" s="5" t="s">
        <v>43</v>
      </c>
      <c r="D1529" s="6">
        <v>10886</v>
      </c>
      <c r="E1529" s="61">
        <v>55132</v>
      </c>
      <c r="F1529" s="63" t="s">
        <v>81</v>
      </c>
    </row>
    <row r="1530" spans="1:6" x14ac:dyDescent="0.45">
      <c r="A1530" s="57">
        <v>2019</v>
      </c>
      <c r="B1530" s="3" t="s">
        <v>51</v>
      </c>
      <c r="C1530" s="3" t="s">
        <v>44</v>
      </c>
      <c r="D1530" s="4">
        <v>2865</v>
      </c>
      <c r="E1530" s="60">
        <v>56125</v>
      </c>
      <c r="F1530" s="63" t="s">
        <v>82</v>
      </c>
    </row>
    <row r="1531" spans="1:6" x14ac:dyDescent="0.45">
      <c r="A1531" s="58">
        <v>2019</v>
      </c>
      <c r="B1531" s="5" t="s">
        <v>51</v>
      </c>
      <c r="C1531" s="5" t="s">
        <v>45</v>
      </c>
      <c r="D1531" s="6">
        <v>21256</v>
      </c>
      <c r="E1531" s="61">
        <v>62166</v>
      </c>
      <c r="F1531" s="63" t="s">
        <v>81</v>
      </c>
    </row>
    <row r="1532" spans="1:6" x14ac:dyDescent="0.45">
      <c r="A1532" s="57">
        <v>2019</v>
      </c>
      <c r="B1532" s="3" t="s">
        <v>51</v>
      </c>
      <c r="C1532" s="3" t="s">
        <v>46</v>
      </c>
      <c r="D1532" s="4">
        <v>25279</v>
      </c>
      <c r="E1532" s="60">
        <v>67249</v>
      </c>
      <c r="F1532" s="63" t="s">
        <v>81</v>
      </c>
    </row>
    <row r="1533" spans="1:6" x14ac:dyDescent="0.45">
      <c r="A1533" s="58">
        <v>2019</v>
      </c>
      <c r="B1533" s="5" t="s">
        <v>51</v>
      </c>
      <c r="C1533" s="5" t="s">
        <v>47</v>
      </c>
      <c r="D1533" s="6">
        <v>4402</v>
      </c>
      <c r="E1533" s="61">
        <v>63987</v>
      </c>
      <c r="F1533" s="63" t="s">
        <v>82</v>
      </c>
    </row>
    <row r="1534" spans="1:6" x14ac:dyDescent="0.45">
      <c r="A1534" s="57">
        <v>2019</v>
      </c>
      <c r="B1534" s="3" t="s">
        <v>51</v>
      </c>
      <c r="C1534" s="3" t="s">
        <v>48</v>
      </c>
      <c r="D1534" s="4">
        <v>14158</v>
      </c>
      <c r="E1534" s="60">
        <v>66136</v>
      </c>
      <c r="F1534" s="63" t="s">
        <v>82</v>
      </c>
    </row>
    <row r="1535" spans="1:6" x14ac:dyDescent="0.45">
      <c r="A1535" s="58">
        <v>2019</v>
      </c>
      <c r="B1535" s="5" t="s">
        <v>51</v>
      </c>
      <c r="C1535" s="5" t="s">
        <v>49</v>
      </c>
      <c r="D1535" s="6">
        <v>3427</v>
      </c>
      <c r="E1535" s="61">
        <v>56877</v>
      </c>
      <c r="F1535" s="63" t="s">
        <v>81</v>
      </c>
    </row>
    <row r="1536" spans="1:6" x14ac:dyDescent="0.45">
      <c r="A1536" s="57">
        <v>2019</v>
      </c>
      <c r="B1536" s="3" t="s">
        <v>52</v>
      </c>
      <c r="C1536" s="3" t="s">
        <v>2</v>
      </c>
      <c r="D1536" s="4">
        <v>5447</v>
      </c>
      <c r="E1536" s="60">
        <v>61197</v>
      </c>
      <c r="F1536" s="63" t="s">
        <v>81</v>
      </c>
    </row>
    <row r="1537" spans="1:6" x14ac:dyDescent="0.45">
      <c r="A1537" s="58">
        <v>2019</v>
      </c>
      <c r="B1537" s="5" t="s">
        <v>52</v>
      </c>
      <c r="C1537" s="5" t="s">
        <v>3</v>
      </c>
      <c r="D1537" s="6">
        <v>4657</v>
      </c>
      <c r="E1537" s="61">
        <v>79528</v>
      </c>
      <c r="F1537" s="63" t="s">
        <v>82</v>
      </c>
    </row>
    <row r="1538" spans="1:6" x14ac:dyDescent="0.45">
      <c r="A1538" s="57">
        <v>2019</v>
      </c>
      <c r="B1538" s="3" t="s">
        <v>52</v>
      </c>
      <c r="C1538" s="3" t="s">
        <v>4</v>
      </c>
      <c r="D1538" s="4">
        <v>2928</v>
      </c>
      <c r="E1538" s="60">
        <v>52766</v>
      </c>
      <c r="F1538" s="63" t="s">
        <v>82</v>
      </c>
    </row>
    <row r="1539" spans="1:6" x14ac:dyDescent="0.45">
      <c r="A1539" s="58">
        <v>2019</v>
      </c>
      <c r="B1539" s="5" t="s">
        <v>52</v>
      </c>
      <c r="C1539" s="5" t="s">
        <v>5</v>
      </c>
      <c r="D1539" s="6">
        <v>42215</v>
      </c>
      <c r="E1539" s="61">
        <v>98246</v>
      </c>
      <c r="F1539" s="63" t="s">
        <v>82</v>
      </c>
    </row>
    <row r="1540" spans="1:6" x14ac:dyDescent="0.45">
      <c r="A1540" s="57">
        <v>2019</v>
      </c>
      <c r="B1540" s="3" t="s">
        <v>52</v>
      </c>
      <c r="C1540" s="3" t="s">
        <v>6</v>
      </c>
      <c r="D1540" s="4">
        <v>5750</v>
      </c>
      <c r="E1540" s="60">
        <v>75446</v>
      </c>
      <c r="F1540" s="63" t="s">
        <v>82</v>
      </c>
    </row>
    <row r="1541" spans="1:6" x14ac:dyDescent="0.45">
      <c r="A1541" s="58">
        <v>2019</v>
      </c>
      <c r="B1541" s="5" t="s">
        <v>52</v>
      </c>
      <c r="C1541" s="5" t="s">
        <v>7</v>
      </c>
      <c r="D1541" s="6">
        <v>4460</v>
      </c>
      <c r="E1541" s="61">
        <v>87864</v>
      </c>
      <c r="F1541" s="63" t="s">
        <v>82</v>
      </c>
    </row>
    <row r="1542" spans="1:6" x14ac:dyDescent="0.45">
      <c r="A1542" s="57">
        <v>2019</v>
      </c>
      <c r="B1542" s="3" t="s">
        <v>52</v>
      </c>
      <c r="C1542" s="3" t="s">
        <v>8</v>
      </c>
      <c r="D1542" s="3">
        <v>688</v>
      </c>
      <c r="E1542" s="60">
        <v>68417</v>
      </c>
      <c r="F1542" s="63" t="s">
        <v>81</v>
      </c>
    </row>
    <row r="1543" spans="1:6" x14ac:dyDescent="0.45">
      <c r="A1543" s="58">
        <v>2019</v>
      </c>
      <c r="B1543" s="5" t="s">
        <v>52</v>
      </c>
      <c r="C1543" s="5" t="s">
        <v>9</v>
      </c>
      <c r="D1543" s="6">
        <v>20513</v>
      </c>
      <c r="E1543" s="61">
        <v>65389</v>
      </c>
      <c r="F1543" s="63" t="s">
        <v>81</v>
      </c>
    </row>
    <row r="1544" spans="1:6" x14ac:dyDescent="0.45">
      <c r="A1544" s="57">
        <v>2019</v>
      </c>
      <c r="B1544" s="3" t="s">
        <v>52</v>
      </c>
      <c r="C1544" s="3" t="s">
        <v>10</v>
      </c>
      <c r="D1544" s="4">
        <v>9745</v>
      </c>
      <c r="E1544" s="60">
        <v>63889</v>
      </c>
      <c r="F1544" s="63" t="s">
        <v>82</v>
      </c>
    </row>
    <row r="1545" spans="1:6" x14ac:dyDescent="0.45">
      <c r="A1545" s="58">
        <v>2019</v>
      </c>
      <c r="B1545" s="5" t="s">
        <v>52</v>
      </c>
      <c r="C1545" s="5" t="s">
        <v>11</v>
      </c>
      <c r="D1545" s="6">
        <v>2750</v>
      </c>
      <c r="E1545" s="61">
        <v>67543</v>
      </c>
      <c r="F1545" s="63" t="s">
        <v>81</v>
      </c>
    </row>
    <row r="1546" spans="1:6" x14ac:dyDescent="0.45">
      <c r="A1546" s="57">
        <v>2019</v>
      </c>
      <c r="B1546" s="3" t="s">
        <v>52</v>
      </c>
      <c r="C1546" s="3" t="s">
        <v>12</v>
      </c>
      <c r="D1546" s="4">
        <v>17979</v>
      </c>
      <c r="E1546" s="60">
        <v>76174</v>
      </c>
      <c r="F1546" s="63" t="s">
        <v>81</v>
      </c>
    </row>
    <row r="1547" spans="1:6" x14ac:dyDescent="0.45">
      <c r="A1547" s="58">
        <v>2019</v>
      </c>
      <c r="B1547" s="5" t="s">
        <v>52</v>
      </c>
      <c r="C1547" s="5" t="s">
        <v>13</v>
      </c>
      <c r="D1547" s="6">
        <v>8554</v>
      </c>
      <c r="E1547" s="61">
        <v>67118</v>
      </c>
      <c r="F1547" s="63" t="s">
        <v>82</v>
      </c>
    </row>
    <row r="1548" spans="1:6" x14ac:dyDescent="0.45">
      <c r="A1548" s="57">
        <v>2019</v>
      </c>
      <c r="B1548" s="3" t="s">
        <v>52</v>
      </c>
      <c r="C1548" s="3" t="s">
        <v>14</v>
      </c>
      <c r="D1548" s="4">
        <v>4125</v>
      </c>
      <c r="E1548" s="60">
        <v>64617</v>
      </c>
      <c r="F1548" s="63" t="s">
        <v>82</v>
      </c>
    </row>
    <row r="1549" spans="1:6" x14ac:dyDescent="0.45">
      <c r="A1549" s="58">
        <v>2019</v>
      </c>
      <c r="B1549" s="5" t="s">
        <v>52</v>
      </c>
      <c r="C1549" s="5" t="s">
        <v>15</v>
      </c>
      <c r="D1549" s="6">
        <v>3164</v>
      </c>
      <c r="E1549" s="61">
        <v>63532</v>
      </c>
      <c r="F1549" s="63" t="s">
        <v>81</v>
      </c>
    </row>
    <row r="1550" spans="1:6" x14ac:dyDescent="0.45">
      <c r="A1550" s="57">
        <v>2019</v>
      </c>
      <c r="B1550" s="3" t="s">
        <v>52</v>
      </c>
      <c r="C1550" s="3" t="s">
        <v>16</v>
      </c>
      <c r="D1550" s="4">
        <v>4368</v>
      </c>
      <c r="E1550" s="60">
        <v>64143</v>
      </c>
      <c r="F1550" s="63" t="s">
        <v>81</v>
      </c>
    </row>
    <row r="1551" spans="1:6" x14ac:dyDescent="0.45">
      <c r="A1551" s="58">
        <v>2019</v>
      </c>
      <c r="B1551" s="5" t="s">
        <v>52</v>
      </c>
      <c r="C1551" s="5" t="s">
        <v>17</v>
      </c>
      <c r="D1551" s="6">
        <v>4464</v>
      </c>
      <c r="E1551" s="61">
        <v>78604</v>
      </c>
      <c r="F1551" s="63" t="s">
        <v>82</v>
      </c>
    </row>
    <row r="1552" spans="1:6" x14ac:dyDescent="0.45">
      <c r="A1552" s="57">
        <v>2019</v>
      </c>
      <c r="B1552" s="3" t="s">
        <v>52</v>
      </c>
      <c r="C1552" s="3" t="s">
        <v>18</v>
      </c>
      <c r="D1552" s="4">
        <v>1877</v>
      </c>
      <c r="E1552" s="60">
        <v>61458</v>
      </c>
      <c r="F1552" s="63" t="s">
        <v>81</v>
      </c>
    </row>
    <row r="1553" spans="1:6" x14ac:dyDescent="0.45">
      <c r="A1553" s="58">
        <v>2019</v>
      </c>
      <c r="B1553" s="5" t="s">
        <v>52</v>
      </c>
      <c r="C1553" s="5" t="s">
        <v>19</v>
      </c>
      <c r="D1553" s="6">
        <v>3901</v>
      </c>
      <c r="E1553" s="61">
        <v>83289</v>
      </c>
      <c r="F1553" s="63" t="s">
        <v>82</v>
      </c>
    </row>
    <row r="1554" spans="1:6" x14ac:dyDescent="0.45">
      <c r="A1554" s="57">
        <v>2019</v>
      </c>
      <c r="B1554" s="3" t="s">
        <v>52</v>
      </c>
      <c r="C1554" s="3" t="s">
        <v>20</v>
      </c>
      <c r="D1554" s="4">
        <v>6850</v>
      </c>
      <c r="E1554" s="60">
        <v>94132</v>
      </c>
      <c r="F1554" s="63" t="s">
        <v>81</v>
      </c>
    </row>
    <row r="1555" spans="1:6" x14ac:dyDescent="0.45">
      <c r="A1555" s="58">
        <v>2019</v>
      </c>
      <c r="B1555" s="5" t="s">
        <v>52</v>
      </c>
      <c r="C1555" s="5" t="s">
        <v>21</v>
      </c>
      <c r="D1555" s="6">
        <v>15721</v>
      </c>
      <c r="E1555" s="61">
        <v>72395</v>
      </c>
      <c r="F1555" s="63" t="s">
        <v>81</v>
      </c>
    </row>
    <row r="1556" spans="1:6" x14ac:dyDescent="0.45">
      <c r="A1556" s="57">
        <v>2019</v>
      </c>
      <c r="B1556" s="3" t="s">
        <v>52</v>
      </c>
      <c r="C1556" s="3" t="s">
        <v>22</v>
      </c>
      <c r="D1556" s="4">
        <v>8369</v>
      </c>
      <c r="E1556" s="60">
        <v>71734</v>
      </c>
      <c r="F1556" s="63" t="s">
        <v>82</v>
      </c>
    </row>
    <row r="1557" spans="1:6" x14ac:dyDescent="0.45">
      <c r="A1557" s="58">
        <v>2019</v>
      </c>
      <c r="B1557" s="5" t="s">
        <v>52</v>
      </c>
      <c r="C1557" s="5" t="s">
        <v>23</v>
      </c>
      <c r="D1557" s="6">
        <v>2441</v>
      </c>
      <c r="E1557" s="61">
        <v>54199</v>
      </c>
      <c r="F1557" s="63" t="s">
        <v>82</v>
      </c>
    </row>
    <row r="1558" spans="1:6" x14ac:dyDescent="0.45">
      <c r="A1558" s="57">
        <v>2019</v>
      </c>
      <c r="B1558" s="3" t="s">
        <v>52</v>
      </c>
      <c r="C1558" s="3" t="s">
        <v>24</v>
      </c>
      <c r="D1558" s="4">
        <v>6636</v>
      </c>
      <c r="E1558" s="60">
        <v>63139</v>
      </c>
      <c r="F1558" s="63" t="s">
        <v>81</v>
      </c>
    </row>
    <row r="1559" spans="1:6" x14ac:dyDescent="0.45">
      <c r="A1559" s="58">
        <v>2019</v>
      </c>
      <c r="B1559" s="5" t="s">
        <v>52</v>
      </c>
      <c r="C1559" s="5" t="s">
        <v>25</v>
      </c>
      <c r="D1559" s="6">
        <v>1572</v>
      </c>
      <c r="E1559" s="61">
        <v>54758</v>
      </c>
      <c r="F1559" s="63" t="s">
        <v>81</v>
      </c>
    </row>
    <row r="1560" spans="1:6" x14ac:dyDescent="0.45">
      <c r="A1560" s="57">
        <v>2019</v>
      </c>
      <c r="B1560" s="3" t="s">
        <v>52</v>
      </c>
      <c r="C1560" s="3" t="s">
        <v>26</v>
      </c>
      <c r="D1560" s="4">
        <v>1977</v>
      </c>
      <c r="E1560" s="60">
        <v>55568</v>
      </c>
      <c r="F1560" s="63" t="s">
        <v>82</v>
      </c>
    </row>
    <row r="1561" spans="1:6" x14ac:dyDescent="0.45">
      <c r="A1561" s="58">
        <v>2019</v>
      </c>
      <c r="B1561" s="5" t="s">
        <v>52</v>
      </c>
      <c r="C1561" s="5" t="s">
        <v>27</v>
      </c>
      <c r="D1561" s="6">
        <v>2043</v>
      </c>
      <c r="E1561" s="61">
        <v>62486</v>
      </c>
      <c r="F1561" s="63" t="s">
        <v>82</v>
      </c>
    </row>
    <row r="1562" spans="1:6" x14ac:dyDescent="0.45">
      <c r="A1562" s="57">
        <v>2019</v>
      </c>
      <c r="B1562" s="3" t="s">
        <v>52</v>
      </c>
      <c r="C1562" s="3" t="s">
        <v>28</v>
      </c>
      <c r="D1562" s="4">
        <v>2011</v>
      </c>
      <c r="E1562" s="60">
        <v>76482</v>
      </c>
      <c r="F1562" s="63" t="s">
        <v>82</v>
      </c>
    </row>
    <row r="1563" spans="1:6" x14ac:dyDescent="0.45">
      <c r="A1563" s="58">
        <v>2019</v>
      </c>
      <c r="B1563" s="5" t="s">
        <v>52</v>
      </c>
      <c r="C1563" s="5" t="s">
        <v>29</v>
      </c>
      <c r="D1563" s="6">
        <v>8962</v>
      </c>
      <c r="E1563" s="61">
        <v>84813</v>
      </c>
      <c r="F1563" s="63" t="s">
        <v>82</v>
      </c>
    </row>
    <row r="1564" spans="1:6" x14ac:dyDescent="0.45">
      <c r="A1564" s="57">
        <v>2019</v>
      </c>
      <c r="B1564" s="3" t="s">
        <v>52</v>
      </c>
      <c r="C1564" s="3" t="s">
        <v>30</v>
      </c>
      <c r="D1564" s="4">
        <v>1724</v>
      </c>
      <c r="E1564" s="60">
        <v>59328</v>
      </c>
      <c r="F1564" s="63" t="s">
        <v>82</v>
      </c>
    </row>
    <row r="1565" spans="1:6" x14ac:dyDescent="0.45">
      <c r="A1565" s="58">
        <v>2019</v>
      </c>
      <c r="B1565" s="5" t="s">
        <v>52</v>
      </c>
      <c r="C1565" s="5" t="s">
        <v>31</v>
      </c>
      <c r="D1565" s="6">
        <v>17319</v>
      </c>
      <c r="E1565" s="61">
        <v>71899</v>
      </c>
      <c r="F1565" s="63" t="s">
        <v>81</v>
      </c>
    </row>
    <row r="1566" spans="1:6" x14ac:dyDescent="0.45">
      <c r="A1566" s="57">
        <v>2019</v>
      </c>
      <c r="B1566" s="3" t="s">
        <v>52</v>
      </c>
      <c r="C1566" s="3" t="s">
        <v>32</v>
      </c>
      <c r="D1566" s="4">
        <v>10287</v>
      </c>
      <c r="E1566" s="60">
        <v>64368</v>
      </c>
      <c r="F1566" s="63" t="s">
        <v>81</v>
      </c>
    </row>
    <row r="1567" spans="1:6" x14ac:dyDescent="0.45">
      <c r="A1567" s="58">
        <v>2019</v>
      </c>
      <c r="B1567" s="5" t="s">
        <v>52</v>
      </c>
      <c r="C1567" s="5" t="s">
        <v>33</v>
      </c>
      <c r="D1567" s="5">
        <v>810</v>
      </c>
      <c r="E1567" s="61">
        <v>58594</v>
      </c>
      <c r="F1567" s="63" t="s">
        <v>82</v>
      </c>
    </row>
    <row r="1568" spans="1:6" x14ac:dyDescent="0.45">
      <c r="A1568" s="57">
        <v>2019</v>
      </c>
      <c r="B1568" s="3" t="s">
        <v>52</v>
      </c>
      <c r="C1568" s="3" t="s">
        <v>34</v>
      </c>
      <c r="D1568" s="4">
        <v>15430</v>
      </c>
      <c r="E1568" s="60">
        <v>66002</v>
      </c>
      <c r="F1568" s="63" t="s">
        <v>81</v>
      </c>
    </row>
    <row r="1569" spans="1:6" x14ac:dyDescent="0.45">
      <c r="A1569" s="58">
        <v>2019</v>
      </c>
      <c r="B1569" s="5" t="s">
        <v>52</v>
      </c>
      <c r="C1569" s="5" t="s">
        <v>35</v>
      </c>
      <c r="D1569" s="6">
        <v>4230</v>
      </c>
      <c r="E1569" s="61">
        <v>61496</v>
      </c>
      <c r="F1569" s="63" t="s">
        <v>81</v>
      </c>
    </row>
    <row r="1570" spans="1:6" x14ac:dyDescent="0.45">
      <c r="A1570" s="57">
        <v>2019</v>
      </c>
      <c r="B1570" s="3" t="s">
        <v>52</v>
      </c>
      <c r="C1570" s="3" t="s">
        <v>36</v>
      </c>
      <c r="D1570" s="4">
        <v>6175</v>
      </c>
      <c r="E1570" s="60">
        <v>74161</v>
      </c>
      <c r="F1570" s="63" t="s">
        <v>82</v>
      </c>
    </row>
    <row r="1571" spans="1:6" x14ac:dyDescent="0.45">
      <c r="A1571" s="58">
        <v>2019</v>
      </c>
      <c r="B1571" s="5" t="s">
        <v>52</v>
      </c>
      <c r="C1571" s="5" t="s">
        <v>37</v>
      </c>
      <c r="D1571" s="6">
        <v>14414</v>
      </c>
      <c r="E1571" s="61">
        <v>67111</v>
      </c>
      <c r="F1571" s="63" t="s">
        <v>82</v>
      </c>
    </row>
    <row r="1572" spans="1:6" x14ac:dyDescent="0.45">
      <c r="A1572" s="57">
        <v>2019</v>
      </c>
      <c r="B1572" s="3" t="s">
        <v>52</v>
      </c>
      <c r="C1572" s="3" t="s">
        <v>38</v>
      </c>
      <c r="D1572" s="4">
        <v>1567</v>
      </c>
      <c r="E1572" s="60">
        <v>63616</v>
      </c>
      <c r="F1572" s="63" t="s">
        <v>81</v>
      </c>
    </row>
    <row r="1573" spans="1:6" x14ac:dyDescent="0.45">
      <c r="A1573" s="58">
        <v>2019</v>
      </c>
      <c r="B1573" s="5" t="s">
        <v>52</v>
      </c>
      <c r="C1573" s="5" t="s">
        <v>39</v>
      </c>
      <c r="D1573" s="6">
        <v>5906</v>
      </c>
      <c r="E1573" s="61">
        <v>64927</v>
      </c>
      <c r="F1573" s="63" t="s">
        <v>81</v>
      </c>
    </row>
    <row r="1574" spans="1:6" x14ac:dyDescent="0.45">
      <c r="A1574" s="57">
        <v>2019</v>
      </c>
      <c r="B1574" s="3" t="s">
        <v>52</v>
      </c>
      <c r="C1574" s="3" t="s">
        <v>40</v>
      </c>
      <c r="D1574" s="4">
        <v>1091</v>
      </c>
      <c r="E1574" s="60">
        <v>53877</v>
      </c>
      <c r="F1574" s="63" t="s">
        <v>82</v>
      </c>
    </row>
    <row r="1575" spans="1:6" x14ac:dyDescent="0.45">
      <c r="A1575" s="58">
        <v>2019</v>
      </c>
      <c r="B1575" s="5" t="s">
        <v>52</v>
      </c>
      <c r="C1575" s="5" t="s">
        <v>41</v>
      </c>
      <c r="D1575" s="6">
        <v>6835</v>
      </c>
      <c r="E1575" s="61">
        <v>65526</v>
      </c>
      <c r="F1575" s="63" t="s">
        <v>81</v>
      </c>
    </row>
    <row r="1576" spans="1:6" x14ac:dyDescent="0.45">
      <c r="A1576" s="57">
        <v>2019</v>
      </c>
      <c r="B1576" s="3" t="s">
        <v>52</v>
      </c>
      <c r="C1576" s="3" t="s">
        <v>42</v>
      </c>
      <c r="D1576" s="4">
        <v>24275</v>
      </c>
      <c r="E1576" s="60">
        <v>81813</v>
      </c>
      <c r="F1576" s="63" t="s">
        <v>82</v>
      </c>
    </row>
    <row r="1577" spans="1:6" x14ac:dyDescent="0.45">
      <c r="A1577" s="58">
        <v>2019</v>
      </c>
      <c r="B1577" s="5" t="s">
        <v>52</v>
      </c>
      <c r="C1577" s="5" t="s">
        <v>43</v>
      </c>
      <c r="D1577" s="6">
        <v>4248</v>
      </c>
      <c r="E1577" s="61">
        <v>62723</v>
      </c>
      <c r="F1577" s="63" t="s">
        <v>81</v>
      </c>
    </row>
    <row r="1578" spans="1:6" x14ac:dyDescent="0.45">
      <c r="A1578" s="57">
        <v>2019</v>
      </c>
      <c r="B1578" s="3" t="s">
        <v>52</v>
      </c>
      <c r="C1578" s="3" t="s">
        <v>44</v>
      </c>
      <c r="D1578" s="4">
        <v>1105</v>
      </c>
      <c r="E1578" s="60">
        <v>64004</v>
      </c>
      <c r="F1578" s="63" t="s">
        <v>81</v>
      </c>
    </row>
    <row r="1579" spans="1:6" x14ac:dyDescent="0.45">
      <c r="A1579" s="58">
        <v>2019</v>
      </c>
      <c r="B1579" s="5" t="s">
        <v>52</v>
      </c>
      <c r="C1579" s="5" t="s">
        <v>45</v>
      </c>
      <c r="D1579" s="6">
        <v>6475</v>
      </c>
      <c r="E1579" s="61">
        <v>63894</v>
      </c>
      <c r="F1579" s="63" t="s">
        <v>82</v>
      </c>
    </row>
    <row r="1580" spans="1:6" x14ac:dyDescent="0.45">
      <c r="A1580" s="57">
        <v>2019</v>
      </c>
      <c r="B1580" s="3" t="s">
        <v>52</v>
      </c>
      <c r="C1580" s="3" t="s">
        <v>46</v>
      </c>
      <c r="D1580" s="4">
        <v>7671</v>
      </c>
      <c r="E1580" s="60">
        <v>82290</v>
      </c>
      <c r="F1580" s="63" t="s">
        <v>82</v>
      </c>
    </row>
    <row r="1581" spans="1:6" x14ac:dyDescent="0.45">
      <c r="A1581" s="58">
        <v>2019</v>
      </c>
      <c r="B1581" s="5" t="s">
        <v>52</v>
      </c>
      <c r="C1581" s="5" t="s">
        <v>47</v>
      </c>
      <c r="D1581" s="6">
        <v>1272</v>
      </c>
      <c r="E1581" s="61">
        <v>64624</v>
      </c>
      <c r="F1581" s="63" t="s">
        <v>81</v>
      </c>
    </row>
    <row r="1582" spans="1:6" x14ac:dyDescent="0.45">
      <c r="A1582" s="57">
        <v>2019</v>
      </c>
      <c r="B1582" s="3" t="s">
        <v>52</v>
      </c>
      <c r="C1582" s="3" t="s">
        <v>48</v>
      </c>
      <c r="D1582" s="4">
        <v>9356</v>
      </c>
      <c r="E1582" s="60">
        <v>63001</v>
      </c>
      <c r="F1582" s="63" t="s">
        <v>81</v>
      </c>
    </row>
    <row r="1583" spans="1:6" x14ac:dyDescent="0.45">
      <c r="A1583" s="58">
        <v>2019</v>
      </c>
      <c r="B1583" s="5" t="s">
        <v>52</v>
      </c>
      <c r="C1583" s="5" t="s">
        <v>49</v>
      </c>
      <c r="D1583" s="5">
        <v>598</v>
      </c>
      <c r="E1583" s="61">
        <v>71834</v>
      </c>
      <c r="F1583" s="63" t="s">
        <v>82</v>
      </c>
    </row>
    <row r="1584" spans="1:6" x14ac:dyDescent="0.45">
      <c r="A1584" s="57">
        <v>2019</v>
      </c>
      <c r="B1584" s="3" t="s">
        <v>53</v>
      </c>
      <c r="C1584" s="3" t="s">
        <v>2</v>
      </c>
      <c r="D1584" s="4">
        <v>32410</v>
      </c>
      <c r="E1584" s="60">
        <v>46518</v>
      </c>
      <c r="F1584" s="63" t="s">
        <v>82</v>
      </c>
    </row>
    <row r="1585" spans="1:6" x14ac:dyDescent="0.45">
      <c r="A1585" s="58">
        <v>2019</v>
      </c>
      <c r="B1585" s="5" t="s">
        <v>53</v>
      </c>
      <c r="C1585" s="5" t="s">
        <v>3</v>
      </c>
      <c r="D1585" s="6">
        <v>29489</v>
      </c>
      <c r="E1585" s="61">
        <v>51126</v>
      </c>
      <c r="F1585" s="63" t="s">
        <v>82</v>
      </c>
    </row>
    <row r="1586" spans="1:6" x14ac:dyDescent="0.45">
      <c r="A1586" s="57">
        <v>2019</v>
      </c>
      <c r="B1586" s="3" t="s">
        <v>53</v>
      </c>
      <c r="C1586" s="3" t="s">
        <v>4</v>
      </c>
      <c r="D1586" s="4">
        <v>21486</v>
      </c>
      <c r="E1586" s="60">
        <v>46275</v>
      </c>
      <c r="F1586" s="63" t="s">
        <v>82</v>
      </c>
    </row>
    <row r="1587" spans="1:6" x14ac:dyDescent="0.45">
      <c r="A1587" s="58">
        <v>2019</v>
      </c>
      <c r="B1587" s="5" t="s">
        <v>53</v>
      </c>
      <c r="C1587" s="5" t="s">
        <v>5</v>
      </c>
      <c r="D1587" s="6">
        <v>185826</v>
      </c>
      <c r="E1587" s="61">
        <v>57095</v>
      </c>
      <c r="F1587" s="63" t="s">
        <v>82</v>
      </c>
    </row>
    <row r="1588" spans="1:6" x14ac:dyDescent="0.45">
      <c r="A1588" s="57">
        <v>2019</v>
      </c>
      <c r="B1588" s="3" t="s">
        <v>53</v>
      </c>
      <c r="C1588" s="3" t="s">
        <v>6</v>
      </c>
      <c r="D1588" s="4">
        <v>35715</v>
      </c>
      <c r="E1588" s="60">
        <v>54601</v>
      </c>
      <c r="F1588" s="63" t="s">
        <v>81</v>
      </c>
    </row>
    <row r="1589" spans="1:6" x14ac:dyDescent="0.45">
      <c r="A1589" s="58">
        <v>2019</v>
      </c>
      <c r="B1589" s="5" t="s">
        <v>53</v>
      </c>
      <c r="C1589" s="5" t="s">
        <v>7</v>
      </c>
      <c r="D1589" s="6">
        <v>25027</v>
      </c>
      <c r="E1589" s="61">
        <v>56064</v>
      </c>
      <c r="F1589" s="63" t="s">
        <v>81</v>
      </c>
    </row>
    <row r="1590" spans="1:6" x14ac:dyDescent="0.45">
      <c r="A1590" s="57">
        <v>2019</v>
      </c>
      <c r="B1590" s="3" t="s">
        <v>53</v>
      </c>
      <c r="C1590" s="3" t="s">
        <v>8</v>
      </c>
      <c r="D1590" s="4">
        <v>6681</v>
      </c>
      <c r="E1590" s="60">
        <v>45700</v>
      </c>
      <c r="F1590" s="63" t="s">
        <v>82</v>
      </c>
    </row>
    <row r="1591" spans="1:6" x14ac:dyDescent="0.45">
      <c r="A1591" s="58">
        <v>2019</v>
      </c>
      <c r="B1591" s="5" t="s">
        <v>53</v>
      </c>
      <c r="C1591" s="5" t="s">
        <v>9</v>
      </c>
      <c r="D1591" s="6">
        <v>139501</v>
      </c>
      <c r="E1591" s="61">
        <v>49229</v>
      </c>
      <c r="F1591" s="63" t="s">
        <v>81</v>
      </c>
    </row>
    <row r="1592" spans="1:6" x14ac:dyDescent="0.45">
      <c r="A1592" s="57">
        <v>2019</v>
      </c>
      <c r="B1592" s="3" t="s">
        <v>53</v>
      </c>
      <c r="C1592" s="3" t="s">
        <v>10</v>
      </c>
      <c r="D1592" s="4">
        <v>60382</v>
      </c>
      <c r="E1592" s="60">
        <v>54763</v>
      </c>
      <c r="F1592" s="63" t="s">
        <v>81</v>
      </c>
    </row>
    <row r="1593" spans="1:6" x14ac:dyDescent="0.45">
      <c r="A1593" s="58">
        <v>2019</v>
      </c>
      <c r="B1593" s="5" t="s">
        <v>53</v>
      </c>
      <c r="C1593" s="5" t="s">
        <v>11</v>
      </c>
      <c r="D1593" s="6">
        <v>11706</v>
      </c>
      <c r="E1593" s="61">
        <v>44856</v>
      </c>
      <c r="F1593" s="63" t="s">
        <v>82</v>
      </c>
    </row>
    <row r="1594" spans="1:6" x14ac:dyDescent="0.45">
      <c r="A1594" s="57">
        <v>2019</v>
      </c>
      <c r="B1594" s="3" t="s">
        <v>53</v>
      </c>
      <c r="C1594" s="3" t="s">
        <v>12</v>
      </c>
      <c r="D1594" s="4">
        <v>77273</v>
      </c>
      <c r="E1594" s="60">
        <v>56025</v>
      </c>
      <c r="F1594" s="63" t="s">
        <v>82</v>
      </c>
    </row>
    <row r="1595" spans="1:6" x14ac:dyDescent="0.45">
      <c r="A1595" s="58">
        <v>2019</v>
      </c>
      <c r="B1595" s="5" t="s">
        <v>53</v>
      </c>
      <c r="C1595" s="5" t="s">
        <v>13</v>
      </c>
      <c r="D1595" s="6">
        <v>40630</v>
      </c>
      <c r="E1595" s="61">
        <v>46479</v>
      </c>
      <c r="F1595" s="63" t="s">
        <v>81</v>
      </c>
    </row>
    <row r="1596" spans="1:6" x14ac:dyDescent="0.45">
      <c r="A1596" s="57">
        <v>2019</v>
      </c>
      <c r="B1596" s="3" t="s">
        <v>53</v>
      </c>
      <c r="C1596" s="3" t="s">
        <v>14</v>
      </c>
      <c r="D1596" s="4">
        <v>23446</v>
      </c>
      <c r="E1596" s="60">
        <v>45025</v>
      </c>
      <c r="F1596" s="63" t="s">
        <v>81</v>
      </c>
    </row>
    <row r="1597" spans="1:6" x14ac:dyDescent="0.45">
      <c r="A1597" s="58">
        <v>2019</v>
      </c>
      <c r="B1597" s="5" t="s">
        <v>53</v>
      </c>
      <c r="C1597" s="5" t="s">
        <v>15</v>
      </c>
      <c r="D1597" s="6">
        <v>20676</v>
      </c>
      <c r="E1597" s="61">
        <v>46705</v>
      </c>
      <c r="F1597" s="63" t="s">
        <v>82</v>
      </c>
    </row>
    <row r="1598" spans="1:6" x14ac:dyDescent="0.45">
      <c r="A1598" s="57">
        <v>2019</v>
      </c>
      <c r="B1598" s="3" t="s">
        <v>53</v>
      </c>
      <c r="C1598" s="3" t="s">
        <v>16</v>
      </c>
      <c r="D1598" s="4">
        <v>27941</v>
      </c>
      <c r="E1598" s="60">
        <v>47261</v>
      </c>
      <c r="F1598" s="63" t="s">
        <v>81</v>
      </c>
    </row>
    <row r="1599" spans="1:6" x14ac:dyDescent="0.45">
      <c r="A1599" s="58">
        <v>2019</v>
      </c>
      <c r="B1599" s="5" t="s">
        <v>53</v>
      </c>
      <c r="C1599" s="5" t="s">
        <v>17</v>
      </c>
      <c r="D1599" s="6">
        <v>30444</v>
      </c>
      <c r="E1599" s="61">
        <v>46938</v>
      </c>
      <c r="F1599" s="63" t="s">
        <v>82</v>
      </c>
    </row>
    <row r="1600" spans="1:6" x14ac:dyDescent="0.45">
      <c r="A1600" s="57">
        <v>2019</v>
      </c>
      <c r="B1600" s="3" t="s">
        <v>53</v>
      </c>
      <c r="C1600" s="3" t="s">
        <v>18</v>
      </c>
      <c r="D1600" s="4">
        <v>11060</v>
      </c>
      <c r="E1600" s="60">
        <v>42287</v>
      </c>
      <c r="F1600" s="63" t="s">
        <v>81</v>
      </c>
    </row>
    <row r="1601" spans="1:6" x14ac:dyDescent="0.45">
      <c r="A1601" s="58">
        <v>2019</v>
      </c>
      <c r="B1601" s="5" t="s">
        <v>53</v>
      </c>
      <c r="C1601" s="5" t="s">
        <v>19</v>
      </c>
      <c r="D1601" s="6">
        <v>33064</v>
      </c>
      <c r="E1601" s="61">
        <v>51367</v>
      </c>
      <c r="F1601" s="63" t="s">
        <v>81</v>
      </c>
    </row>
    <row r="1602" spans="1:6" x14ac:dyDescent="0.45">
      <c r="A1602" s="57">
        <v>2019</v>
      </c>
      <c r="B1602" s="3" t="s">
        <v>53</v>
      </c>
      <c r="C1602" s="3" t="s">
        <v>20</v>
      </c>
      <c r="D1602" s="4">
        <v>42906</v>
      </c>
      <c r="E1602" s="60">
        <v>57500</v>
      </c>
      <c r="F1602" s="63" t="s">
        <v>82</v>
      </c>
    </row>
    <row r="1603" spans="1:6" x14ac:dyDescent="0.45">
      <c r="A1603" s="58">
        <v>2019</v>
      </c>
      <c r="B1603" s="5" t="s">
        <v>53</v>
      </c>
      <c r="C1603" s="5" t="s">
        <v>21</v>
      </c>
      <c r="D1603" s="6">
        <v>52149</v>
      </c>
      <c r="E1603" s="61">
        <v>51628</v>
      </c>
      <c r="F1603" s="63" t="s">
        <v>82</v>
      </c>
    </row>
    <row r="1604" spans="1:6" x14ac:dyDescent="0.45">
      <c r="A1604" s="57">
        <v>2019</v>
      </c>
      <c r="B1604" s="3" t="s">
        <v>53</v>
      </c>
      <c r="C1604" s="3" t="s">
        <v>22</v>
      </c>
      <c r="D1604" s="4">
        <v>36334</v>
      </c>
      <c r="E1604" s="60">
        <v>54273</v>
      </c>
      <c r="F1604" s="63" t="s">
        <v>81</v>
      </c>
    </row>
    <row r="1605" spans="1:6" x14ac:dyDescent="0.45">
      <c r="A1605" s="58">
        <v>2019</v>
      </c>
      <c r="B1605" s="5" t="s">
        <v>53</v>
      </c>
      <c r="C1605" s="5" t="s">
        <v>23</v>
      </c>
      <c r="D1605" s="6">
        <v>19589</v>
      </c>
      <c r="E1605" s="61">
        <v>41324</v>
      </c>
      <c r="F1605" s="63" t="s">
        <v>81</v>
      </c>
    </row>
    <row r="1606" spans="1:6" x14ac:dyDescent="0.45">
      <c r="A1606" s="57">
        <v>2019</v>
      </c>
      <c r="B1606" s="3" t="s">
        <v>53</v>
      </c>
      <c r="C1606" s="3" t="s">
        <v>24</v>
      </c>
      <c r="D1606" s="4">
        <v>40324</v>
      </c>
      <c r="E1606" s="60">
        <v>47095</v>
      </c>
      <c r="F1606" s="63" t="s">
        <v>82</v>
      </c>
    </row>
    <row r="1607" spans="1:6" x14ac:dyDescent="0.45">
      <c r="A1607" s="58">
        <v>2019</v>
      </c>
      <c r="B1607" s="5" t="s">
        <v>53</v>
      </c>
      <c r="C1607" s="5" t="s">
        <v>25</v>
      </c>
      <c r="D1607" s="6">
        <v>9270</v>
      </c>
      <c r="E1607" s="61">
        <v>44067</v>
      </c>
      <c r="F1607" s="63" t="s">
        <v>82</v>
      </c>
    </row>
    <row r="1608" spans="1:6" x14ac:dyDescent="0.45">
      <c r="A1608" s="57">
        <v>2019</v>
      </c>
      <c r="B1608" s="3" t="s">
        <v>53</v>
      </c>
      <c r="C1608" s="3" t="s">
        <v>26</v>
      </c>
      <c r="D1608" s="4">
        <v>15024</v>
      </c>
      <c r="E1608" s="60">
        <v>44493</v>
      </c>
      <c r="F1608" s="63" t="s">
        <v>82</v>
      </c>
    </row>
    <row r="1609" spans="1:6" x14ac:dyDescent="0.45">
      <c r="A1609" s="58">
        <v>2019</v>
      </c>
      <c r="B1609" s="5" t="s">
        <v>53</v>
      </c>
      <c r="C1609" s="5" t="s">
        <v>27</v>
      </c>
      <c r="D1609" s="6">
        <v>15910</v>
      </c>
      <c r="E1609" s="61">
        <v>48847</v>
      </c>
      <c r="F1609" s="63" t="s">
        <v>82</v>
      </c>
    </row>
    <row r="1610" spans="1:6" x14ac:dyDescent="0.45">
      <c r="A1610" s="57">
        <v>2019</v>
      </c>
      <c r="B1610" s="3" t="s">
        <v>53</v>
      </c>
      <c r="C1610" s="3" t="s">
        <v>28</v>
      </c>
      <c r="D1610" s="4">
        <v>12612</v>
      </c>
      <c r="E1610" s="60">
        <v>52101</v>
      </c>
      <c r="F1610" s="63" t="s">
        <v>82</v>
      </c>
    </row>
    <row r="1611" spans="1:6" x14ac:dyDescent="0.45">
      <c r="A1611" s="58">
        <v>2019</v>
      </c>
      <c r="B1611" s="5" t="s">
        <v>53</v>
      </c>
      <c r="C1611" s="5" t="s">
        <v>29</v>
      </c>
      <c r="D1611" s="6">
        <v>53977</v>
      </c>
      <c r="E1611" s="61">
        <v>58631</v>
      </c>
      <c r="F1611" s="63" t="s">
        <v>81</v>
      </c>
    </row>
    <row r="1612" spans="1:6" x14ac:dyDescent="0.45">
      <c r="A1612" s="57">
        <v>2019</v>
      </c>
      <c r="B1612" s="3" t="s">
        <v>53</v>
      </c>
      <c r="C1612" s="3" t="s">
        <v>30</v>
      </c>
      <c r="D1612" s="4">
        <v>10538</v>
      </c>
      <c r="E1612" s="60">
        <v>42519</v>
      </c>
      <c r="F1612" s="63" t="s">
        <v>81</v>
      </c>
    </row>
    <row r="1613" spans="1:6" x14ac:dyDescent="0.45">
      <c r="A1613" s="58">
        <v>2019</v>
      </c>
      <c r="B1613" s="5" t="s">
        <v>53</v>
      </c>
      <c r="C1613" s="5" t="s">
        <v>31</v>
      </c>
      <c r="D1613" s="6">
        <v>126549</v>
      </c>
      <c r="E1613" s="61">
        <v>56389</v>
      </c>
      <c r="F1613" s="63" t="s">
        <v>82</v>
      </c>
    </row>
    <row r="1614" spans="1:6" x14ac:dyDescent="0.45">
      <c r="A1614" s="57">
        <v>2019</v>
      </c>
      <c r="B1614" s="3" t="s">
        <v>53</v>
      </c>
      <c r="C1614" s="3" t="s">
        <v>32</v>
      </c>
      <c r="D1614" s="4">
        <v>61042</v>
      </c>
      <c r="E1614" s="60">
        <v>47845</v>
      </c>
      <c r="F1614" s="63" t="s">
        <v>81</v>
      </c>
    </row>
    <row r="1615" spans="1:6" x14ac:dyDescent="0.45">
      <c r="A1615" s="58">
        <v>2019</v>
      </c>
      <c r="B1615" s="5" t="s">
        <v>53</v>
      </c>
      <c r="C1615" s="5" t="s">
        <v>33</v>
      </c>
      <c r="D1615" s="6">
        <v>7819</v>
      </c>
      <c r="E1615" s="61">
        <v>53910</v>
      </c>
      <c r="F1615" s="63" t="s">
        <v>81</v>
      </c>
    </row>
    <row r="1616" spans="1:6" x14ac:dyDescent="0.45">
      <c r="A1616" s="57">
        <v>2019</v>
      </c>
      <c r="B1616" s="3" t="s">
        <v>53</v>
      </c>
      <c r="C1616" s="3" t="s">
        <v>34</v>
      </c>
      <c r="D1616" s="4">
        <v>68763</v>
      </c>
      <c r="E1616" s="60">
        <v>48564</v>
      </c>
      <c r="F1616" s="63" t="s">
        <v>82</v>
      </c>
    </row>
    <row r="1617" spans="1:6" x14ac:dyDescent="0.45">
      <c r="A1617" s="58">
        <v>2019</v>
      </c>
      <c r="B1617" s="5" t="s">
        <v>53</v>
      </c>
      <c r="C1617" s="5" t="s">
        <v>35</v>
      </c>
      <c r="D1617" s="6">
        <v>23838</v>
      </c>
      <c r="E1617" s="61">
        <v>47040</v>
      </c>
      <c r="F1617" s="63" t="s">
        <v>82</v>
      </c>
    </row>
    <row r="1618" spans="1:6" x14ac:dyDescent="0.45">
      <c r="A1618" s="57">
        <v>2019</v>
      </c>
      <c r="B1618" s="3" t="s">
        <v>53</v>
      </c>
      <c r="C1618" s="3" t="s">
        <v>36</v>
      </c>
      <c r="D1618" s="4">
        <v>26684</v>
      </c>
      <c r="E1618" s="60">
        <v>48870</v>
      </c>
      <c r="F1618" s="63" t="s">
        <v>81</v>
      </c>
    </row>
    <row r="1619" spans="1:6" x14ac:dyDescent="0.45">
      <c r="A1619" s="58">
        <v>2019</v>
      </c>
      <c r="B1619" s="5" t="s">
        <v>53</v>
      </c>
      <c r="C1619" s="5" t="s">
        <v>37</v>
      </c>
      <c r="D1619" s="6">
        <v>75374</v>
      </c>
      <c r="E1619" s="61">
        <v>49972</v>
      </c>
      <c r="F1619" s="63" t="s">
        <v>81</v>
      </c>
    </row>
    <row r="1620" spans="1:6" x14ac:dyDescent="0.45">
      <c r="A1620" s="57">
        <v>2019</v>
      </c>
      <c r="B1620" s="3" t="s">
        <v>53</v>
      </c>
      <c r="C1620" s="3" t="s">
        <v>38</v>
      </c>
      <c r="D1620" s="4">
        <v>7674</v>
      </c>
      <c r="E1620" s="60">
        <v>48503</v>
      </c>
      <c r="F1620" s="63" t="s">
        <v>82</v>
      </c>
    </row>
    <row r="1621" spans="1:6" x14ac:dyDescent="0.45">
      <c r="A1621" s="58">
        <v>2019</v>
      </c>
      <c r="B1621" s="5" t="s">
        <v>53</v>
      </c>
      <c r="C1621" s="5" t="s">
        <v>39</v>
      </c>
      <c r="D1621" s="6">
        <v>29784</v>
      </c>
      <c r="E1621" s="61">
        <v>44973</v>
      </c>
      <c r="F1621" s="63" t="s">
        <v>81</v>
      </c>
    </row>
    <row r="1622" spans="1:6" x14ac:dyDescent="0.45">
      <c r="A1622" s="57">
        <v>2019</v>
      </c>
      <c r="B1622" s="3" t="s">
        <v>53</v>
      </c>
      <c r="C1622" s="3" t="s">
        <v>40</v>
      </c>
      <c r="D1622" s="4">
        <v>8036</v>
      </c>
      <c r="E1622" s="60">
        <v>44278</v>
      </c>
      <c r="F1622" s="63" t="s">
        <v>82</v>
      </c>
    </row>
    <row r="1623" spans="1:6" x14ac:dyDescent="0.45">
      <c r="A1623" s="58">
        <v>2019</v>
      </c>
      <c r="B1623" s="5" t="s">
        <v>53</v>
      </c>
      <c r="C1623" s="5" t="s">
        <v>41</v>
      </c>
      <c r="D1623" s="6">
        <v>39250</v>
      </c>
      <c r="E1623" s="61">
        <v>50773</v>
      </c>
      <c r="F1623" s="63" t="s">
        <v>81</v>
      </c>
    </row>
    <row r="1624" spans="1:6" x14ac:dyDescent="0.45">
      <c r="A1624" s="57">
        <v>2019</v>
      </c>
      <c r="B1624" s="3" t="s">
        <v>53</v>
      </c>
      <c r="C1624" s="3" t="s">
        <v>42</v>
      </c>
      <c r="D1624" s="4">
        <v>145842</v>
      </c>
      <c r="E1624" s="60">
        <v>56316</v>
      </c>
      <c r="F1624" s="63" t="s">
        <v>81</v>
      </c>
    </row>
    <row r="1625" spans="1:6" x14ac:dyDescent="0.45">
      <c r="A1625" s="58">
        <v>2019</v>
      </c>
      <c r="B1625" s="5" t="s">
        <v>53</v>
      </c>
      <c r="C1625" s="5" t="s">
        <v>43</v>
      </c>
      <c r="D1625" s="6">
        <v>19048</v>
      </c>
      <c r="E1625" s="61">
        <v>48378</v>
      </c>
      <c r="F1625" s="63" t="s">
        <v>82</v>
      </c>
    </row>
    <row r="1626" spans="1:6" x14ac:dyDescent="0.45">
      <c r="A1626" s="57">
        <v>2019</v>
      </c>
      <c r="B1626" s="3" t="s">
        <v>53</v>
      </c>
      <c r="C1626" s="3" t="s">
        <v>44</v>
      </c>
      <c r="D1626" s="4">
        <v>5138</v>
      </c>
      <c r="E1626" s="60">
        <v>44650</v>
      </c>
      <c r="F1626" s="63" t="s">
        <v>82</v>
      </c>
    </row>
    <row r="1627" spans="1:6" x14ac:dyDescent="0.45">
      <c r="A1627" s="58">
        <v>2019</v>
      </c>
      <c r="B1627" s="5" t="s">
        <v>53</v>
      </c>
      <c r="C1627" s="5" t="s">
        <v>45</v>
      </c>
      <c r="D1627" s="6">
        <v>42996</v>
      </c>
      <c r="E1627" s="61">
        <v>48291</v>
      </c>
      <c r="F1627" s="63" t="s">
        <v>81</v>
      </c>
    </row>
    <row r="1628" spans="1:6" x14ac:dyDescent="0.45">
      <c r="A1628" s="57">
        <v>2019</v>
      </c>
      <c r="B1628" s="3" t="s">
        <v>53</v>
      </c>
      <c r="C1628" s="3" t="s">
        <v>46</v>
      </c>
      <c r="D1628" s="4">
        <v>39715</v>
      </c>
      <c r="E1628" s="60">
        <v>64924</v>
      </c>
      <c r="F1628" s="63" t="s">
        <v>81</v>
      </c>
    </row>
    <row r="1629" spans="1:6" x14ac:dyDescent="0.45">
      <c r="A1629" s="58">
        <v>2019</v>
      </c>
      <c r="B1629" s="5" t="s">
        <v>53</v>
      </c>
      <c r="C1629" s="5" t="s">
        <v>47</v>
      </c>
      <c r="D1629" s="6">
        <v>10925</v>
      </c>
      <c r="E1629" s="61">
        <v>43489</v>
      </c>
      <c r="F1629" s="63" t="s">
        <v>82</v>
      </c>
    </row>
    <row r="1630" spans="1:6" x14ac:dyDescent="0.45">
      <c r="A1630" s="57">
        <v>2019</v>
      </c>
      <c r="B1630" s="3" t="s">
        <v>53</v>
      </c>
      <c r="C1630" s="3" t="s">
        <v>48</v>
      </c>
      <c r="D1630" s="4">
        <v>35433</v>
      </c>
      <c r="E1630" s="60">
        <v>45831</v>
      </c>
      <c r="F1630" s="63" t="s">
        <v>82</v>
      </c>
    </row>
    <row r="1631" spans="1:6" x14ac:dyDescent="0.45">
      <c r="A1631" s="58">
        <v>2019</v>
      </c>
      <c r="B1631" s="5" t="s">
        <v>53</v>
      </c>
      <c r="C1631" s="5" t="s">
        <v>49</v>
      </c>
      <c r="D1631" s="6">
        <v>4822</v>
      </c>
      <c r="E1631" s="61">
        <v>46999</v>
      </c>
      <c r="F1631" s="63" t="s">
        <v>82</v>
      </c>
    </row>
    <row r="1632" spans="1:6" x14ac:dyDescent="0.45">
      <c r="A1632" s="57">
        <v>2019</v>
      </c>
      <c r="B1632" s="3" t="s">
        <v>54</v>
      </c>
      <c r="C1632" s="3" t="s">
        <v>2</v>
      </c>
      <c r="D1632" s="4">
        <v>1969</v>
      </c>
      <c r="E1632" s="60">
        <v>64932</v>
      </c>
      <c r="F1632" s="63" t="s">
        <v>82</v>
      </c>
    </row>
    <row r="1633" spans="1:6" x14ac:dyDescent="0.45">
      <c r="A1633" s="58">
        <v>2019</v>
      </c>
      <c r="B1633" s="5" t="s">
        <v>54</v>
      </c>
      <c r="C1633" s="5" t="s">
        <v>3</v>
      </c>
      <c r="D1633" s="6">
        <v>2461</v>
      </c>
      <c r="E1633" s="61">
        <v>77171</v>
      </c>
      <c r="F1633" s="63" t="s">
        <v>82</v>
      </c>
    </row>
    <row r="1634" spans="1:6" x14ac:dyDescent="0.45">
      <c r="A1634" s="57">
        <v>2019</v>
      </c>
      <c r="B1634" s="3" t="s">
        <v>54</v>
      </c>
      <c r="C1634" s="3" t="s">
        <v>4</v>
      </c>
      <c r="D1634" s="4">
        <v>1123</v>
      </c>
      <c r="E1634" s="60">
        <v>62682</v>
      </c>
      <c r="F1634" s="63" t="s">
        <v>81</v>
      </c>
    </row>
    <row r="1635" spans="1:6" x14ac:dyDescent="0.45">
      <c r="A1635" s="58">
        <v>2019</v>
      </c>
      <c r="B1635" s="5" t="s">
        <v>54</v>
      </c>
      <c r="C1635" s="5" t="s">
        <v>5</v>
      </c>
      <c r="D1635" s="6">
        <v>22519</v>
      </c>
      <c r="E1635" s="61">
        <v>178309</v>
      </c>
      <c r="F1635" s="63" t="s">
        <v>81</v>
      </c>
    </row>
    <row r="1636" spans="1:6" x14ac:dyDescent="0.45">
      <c r="A1636" s="57">
        <v>2019</v>
      </c>
      <c r="B1636" s="3" t="s">
        <v>54</v>
      </c>
      <c r="C1636" s="3" t="s">
        <v>6</v>
      </c>
      <c r="D1636" s="4">
        <v>3891</v>
      </c>
      <c r="E1636" s="60">
        <v>106781</v>
      </c>
      <c r="F1636" s="63" t="s">
        <v>82</v>
      </c>
    </row>
    <row r="1637" spans="1:6" x14ac:dyDescent="0.45">
      <c r="A1637" s="58">
        <v>2019</v>
      </c>
      <c r="B1637" s="5" t="s">
        <v>54</v>
      </c>
      <c r="C1637" s="5" t="s">
        <v>7</v>
      </c>
      <c r="D1637" s="6">
        <v>2146</v>
      </c>
      <c r="E1637" s="61">
        <v>109094</v>
      </c>
      <c r="F1637" s="63" t="s">
        <v>81</v>
      </c>
    </row>
    <row r="1638" spans="1:6" x14ac:dyDescent="0.45">
      <c r="A1638" s="57">
        <v>2019</v>
      </c>
      <c r="B1638" s="3" t="s">
        <v>54</v>
      </c>
      <c r="C1638" s="3" t="s">
        <v>8</v>
      </c>
      <c r="D1638" s="3">
        <v>409</v>
      </c>
      <c r="E1638" s="60">
        <v>70686</v>
      </c>
      <c r="F1638" s="63" t="s">
        <v>81</v>
      </c>
    </row>
    <row r="1639" spans="1:6" x14ac:dyDescent="0.45">
      <c r="A1639" s="58">
        <v>2019</v>
      </c>
      <c r="B1639" s="5" t="s">
        <v>54</v>
      </c>
      <c r="C1639" s="5" t="s">
        <v>9</v>
      </c>
      <c r="D1639" s="6">
        <v>10983</v>
      </c>
      <c r="E1639" s="61">
        <v>86305</v>
      </c>
      <c r="F1639" s="63" t="s">
        <v>82</v>
      </c>
    </row>
    <row r="1640" spans="1:6" x14ac:dyDescent="0.45">
      <c r="A1640" s="57">
        <v>2019</v>
      </c>
      <c r="B1640" s="3" t="s">
        <v>54</v>
      </c>
      <c r="C1640" s="3" t="s">
        <v>10</v>
      </c>
      <c r="D1640" s="4">
        <v>4911</v>
      </c>
      <c r="E1640" s="60">
        <v>102306</v>
      </c>
      <c r="F1640" s="63" t="s">
        <v>82</v>
      </c>
    </row>
    <row r="1641" spans="1:6" x14ac:dyDescent="0.45">
      <c r="A1641" s="58">
        <v>2019</v>
      </c>
      <c r="B1641" s="5" t="s">
        <v>54</v>
      </c>
      <c r="C1641" s="5" t="s">
        <v>11</v>
      </c>
      <c r="D1641" s="6">
        <v>1175</v>
      </c>
      <c r="E1641" s="61">
        <v>57032</v>
      </c>
      <c r="F1641" s="63" t="s">
        <v>81</v>
      </c>
    </row>
    <row r="1642" spans="1:6" x14ac:dyDescent="0.45">
      <c r="A1642" s="57">
        <v>2019</v>
      </c>
      <c r="B1642" s="3" t="s">
        <v>54</v>
      </c>
      <c r="C1642" s="3" t="s">
        <v>12</v>
      </c>
      <c r="D1642" s="4">
        <v>6534</v>
      </c>
      <c r="E1642" s="60">
        <v>91328</v>
      </c>
      <c r="F1642" s="63" t="s">
        <v>81</v>
      </c>
    </row>
    <row r="1643" spans="1:6" x14ac:dyDescent="0.45">
      <c r="A1643" s="58">
        <v>2019</v>
      </c>
      <c r="B1643" s="5" t="s">
        <v>54</v>
      </c>
      <c r="C1643" s="5" t="s">
        <v>13</v>
      </c>
      <c r="D1643" s="6">
        <v>2019</v>
      </c>
      <c r="E1643" s="61">
        <v>65391</v>
      </c>
      <c r="F1643" s="63" t="s">
        <v>82</v>
      </c>
    </row>
    <row r="1644" spans="1:6" x14ac:dyDescent="0.45">
      <c r="A1644" s="57">
        <v>2019</v>
      </c>
      <c r="B1644" s="3" t="s">
        <v>54</v>
      </c>
      <c r="C1644" s="3" t="s">
        <v>14</v>
      </c>
      <c r="D1644" s="4">
        <v>1698</v>
      </c>
      <c r="E1644" s="60">
        <v>61957</v>
      </c>
      <c r="F1644" s="63" t="s">
        <v>81</v>
      </c>
    </row>
    <row r="1645" spans="1:6" x14ac:dyDescent="0.45">
      <c r="A1645" s="58">
        <v>2019</v>
      </c>
      <c r="B1645" s="5" t="s">
        <v>54</v>
      </c>
      <c r="C1645" s="5" t="s">
        <v>15</v>
      </c>
      <c r="D1645" s="6">
        <v>1260</v>
      </c>
      <c r="E1645" s="61">
        <v>67084</v>
      </c>
      <c r="F1645" s="63" t="s">
        <v>82</v>
      </c>
    </row>
    <row r="1646" spans="1:6" x14ac:dyDescent="0.45">
      <c r="A1646" s="57">
        <v>2019</v>
      </c>
      <c r="B1646" s="3" t="s">
        <v>54</v>
      </c>
      <c r="C1646" s="3" t="s">
        <v>16</v>
      </c>
      <c r="D1646" s="4">
        <v>1697</v>
      </c>
      <c r="E1646" s="60">
        <v>60857</v>
      </c>
      <c r="F1646" s="63" t="s">
        <v>81</v>
      </c>
    </row>
    <row r="1647" spans="1:6" x14ac:dyDescent="0.45">
      <c r="A1647" s="58">
        <v>2019</v>
      </c>
      <c r="B1647" s="5" t="s">
        <v>54</v>
      </c>
      <c r="C1647" s="5" t="s">
        <v>17</v>
      </c>
      <c r="D1647" s="6">
        <v>1650</v>
      </c>
      <c r="E1647" s="61">
        <v>61038</v>
      </c>
      <c r="F1647" s="63" t="s">
        <v>81</v>
      </c>
    </row>
    <row r="1648" spans="1:6" x14ac:dyDescent="0.45">
      <c r="A1648" s="57">
        <v>2019</v>
      </c>
      <c r="B1648" s="3" t="s">
        <v>54</v>
      </c>
      <c r="C1648" s="3" t="s">
        <v>18</v>
      </c>
      <c r="D1648" s="3">
        <v>843</v>
      </c>
      <c r="E1648" s="60">
        <v>58561</v>
      </c>
      <c r="F1648" s="63" t="s">
        <v>82</v>
      </c>
    </row>
    <row r="1649" spans="1:6" x14ac:dyDescent="0.45">
      <c r="A1649" s="58">
        <v>2019</v>
      </c>
      <c r="B1649" s="5" t="s">
        <v>54</v>
      </c>
      <c r="C1649" s="5" t="s">
        <v>19</v>
      </c>
      <c r="D1649" s="6">
        <v>2719</v>
      </c>
      <c r="E1649" s="61">
        <v>94009</v>
      </c>
      <c r="F1649" s="63" t="s">
        <v>82</v>
      </c>
    </row>
    <row r="1650" spans="1:6" x14ac:dyDescent="0.45">
      <c r="A1650" s="57">
        <v>2019</v>
      </c>
      <c r="B1650" s="3" t="s">
        <v>54</v>
      </c>
      <c r="C1650" s="3" t="s">
        <v>20</v>
      </c>
      <c r="D1650" s="4">
        <v>5143</v>
      </c>
      <c r="E1650" s="60">
        <v>120166</v>
      </c>
      <c r="F1650" s="63" t="s">
        <v>81</v>
      </c>
    </row>
    <row r="1651" spans="1:6" x14ac:dyDescent="0.45">
      <c r="A1651" s="58">
        <v>2019</v>
      </c>
      <c r="B1651" s="5" t="s">
        <v>54</v>
      </c>
      <c r="C1651" s="5" t="s">
        <v>21</v>
      </c>
      <c r="D1651" s="6">
        <v>5934</v>
      </c>
      <c r="E1651" s="61">
        <v>76884</v>
      </c>
      <c r="F1651" s="63" t="s">
        <v>81</v>
      </c>
    </row>
    <row r="1652" spans="1:6" x14ac:dyDescent="0.45">
      <c r="A1652" s="57">
        <v>2019</v>
      </c>
      <c r="B1652" s="3" t="s">
        <v>54</v>
      </c>
      <c r="C1652" s="3" t="s">
        <v>22</v>
      </c>
      <c r="D1652" s="4">
        <v>3663</v>
      </c>
      <c r="E1652" s="60">
        <v>81459</v>
      </c>
      <c r="F1652" s="63" t="s">
        <v>82</v>
      </c>
    </row>
    <row r="1653" spans="1:6" x14ac:dyDescent="0.45">
      <c r="A1653" s="58">
        <v>2019</v>
      </c>
      <c r="B1653" s="5" t="s">
        <v>54</v>
      </c>
      <c r="C1653" s="5" t="s">
        <v>23</v>
      </c>
      <c r="D1653" s="5">
        <v>962</v>
      </c>
      <c r="E1653" s="61">
        <v>54002</v>
      </c>
      <c r="F1653" s="63" t="s">
        <v>82</v>
      </c>
    </row>
    <row r="1654" spans="1:6" x14ac:dyDescent="0.45">
      <c r="A1654" s="57">
        <v>2019</v>
      </c>
      <c r="B1654" s="3" t="s">
        <v>54</v>
      </c>
      <c r="C1654" s="3" t="s">
        <v>24</v>
      </c>
      <c r="D1654" s="4">
        <v>3051</v>
      </c>
      <c r="E1654" s="60">
        <v>79665</v>
      </c>
      <c r="F1654" s="63" t="s">
        <v>82</v>
      </c>
    </row>
    <row r="1655" spans="1:6" x14ac:dyDescent="0.45">
      <c r="A1655" s="58">
        <v>2019</v>
      </c>
      <c r="B1655" s="5" t="s">
        <v>54</v>
      </c>
      <c r="C1655" s="5" t="s">
        <v>25</v>
      </c>
      <c r="D1655" s="5">
        <v>759</v>
      </c>
      <c r="E1655" s="61">
        <v>57903</v>
      </c>
      <c r="F1655" s="63" t="s">
        <v>82</v>
      </c>
    </row>
    <row r="1656" spans="1:6" x14ac:dyDescent="0.45">
      <c r="A1656" s="57">
        <v>2019</v>
      </c>
      <c r="B1656" s="3" t="s">
        <v>54</v>
      </c>
      <c r="C1656" s="3" t="s">
        <v>26</v>
      </c>
      <c r="D1656" s="3">
        <v>964</v>
      </c>
      <c r="E1656" s="60">
        <v>67365</v>
      </c>
      <c r="F1656" s="63" t="s">
        <v>82</v>
      </c>
    </row>
    <row r="1657" spans="1:6" x14ac:dyDescent="0.45">
      <c r="A1657" s="58">
        <v>2019</v>
      </c>
      <c r="B1657" s="5" t="s">
        <v>54</v>
      </c>
      <c r="C1657" s="5" t="s">
        <v>27</v>
      </c>
      <c r="D1657" s="6">
        <v>1440</v>
      </c>
      <c r="E1657" s="61">
        <v>71866</v>
      </c>
      <c r="F1657" s="63" t="s">
        <v>81</v>
      </c>
    </row>
    <row r="1658" spans="1:6" x14ac:dyDescent="0.45">
      <c r="A1658" s="57">
        <v>2019</v>
      </c>
      <c r="B1658" s="3" t="s">
        <v>54</v>
      </c>
      <c r="C1658" s="3" t="s">
        <v>28</v>
      </c>
      <c r="D1658" s="3">
        <v>843</v>
      </c>
      <c r="E1658" s="60">
        <v>94119</v>
      </c>
      <c r="F1658" s="63" t="s">
        <v>81</v>
      </c>
    </row>
    <row r="1659" spans="1:6" x14ac:dyDescent="0.45">
      <c r="A1659" s="58">
        <v>2019</v>
      </c>
      <c r="B1659" s="5" t="s">
        <v>54</v>
      </c>
      <c r="C1659" s="5" t="s">
        <v>29</v>
      </c>
      <c r="D1659" s="6">
        <v>3595</v>
      </c>
      <c r="E1659" s="61">
        <v>114638</v>
      </c>
      <c r="F1659" s="63" t="s">
        <v>82</v>
      </c>
    </row>
    <row r="1660" spans="1:6" x14ac:dyDescent="0.45">
      <c r="A1660" s="57">
        <v>2019</v>
      </c>
      <c r="B1660" s="3" t="s">
        <v>54</v>
      </c>
      <c r="C1660" s="3" t="s">
        <v>30</v>
      </c>
      <c r="D1660" s="3">
        <v>929</v>
      </c>
      <c r="E1660" s="60">
        <v>57009</v>
      </c>
      <c r="F1660" s="63" t="s">
        <v>81</v>
      </c>
    </row>
    <row r="1661" spans="1:6" x14ac:dyDescent="0.45">
      <c r="A1661" s="58">
        <v>2019</v>
      </c>
      <c r="B1661" s="5" t="s">
        <v>54</v>
      </c>
      <c r="C1661" s="5" t="s">
        <v>31</v>
      </c>
      <c r="D1661" s="6">
        <v>12397</v>
      </c>
      <c r="E1661" s="61">
        <v>125508</v>
      </c>
      <c r="F1661" s="63" t="s">
        <v>81</v>
      </c>
    </row>
    <row r="1662" spans="1:6" x14ac:dyDescent="0.45">
      <c r="A1662" s="57">
        <v>2019</v>
      </c>
      <c r="B1662" s="3" t="s">
        <v>54</v>
      </c>
      <c r="C1662" s="3" t="s">
        <v>32</v>
      </c>
      <c r="D1662" s="4">
        <v>5042</v>
      </c>
      <c r="E1662" s="60">
        <v>86496</v>
      </c>
      <c r="F1662" s="63" t="s">
        <v>82</v>
      </c>
    </row>
    <row r="1663" spans="1:6" x14ac:dyDescent="0.45">
      <c r="A1663" s="58">
        <v>2019</v>
      </c>
      <c r="B1663" s="5" t="s">
        <v>54</v>
      </c>
      <c r="C1663" s="5" t="s">
        <v>33</v>
      </c>
      <c r="D1663" s="5">
        <v>396</v>
      </c>
      <c r="E1663" s="61">
        <v>71114</v>
      </c>
      <c r="F1663" s="63" t="s">
        <v>82</v>
      </c>
    </row>
    <row r="1664" spans="1:6" x14ac:dyDescent="0.45">
      <c r="A1664" s="57">
        <v>2019</v>
      </c>
      <c r="B1664" s="3" t="s">
        <v>54</v>
      </c>
      <c r="C1664" s="3" t="s">
        <v>34</v>
      </c>
      <c r="D1664" s="4">
        <v>4456</v>
      </c>
      <c r="E1664" s="60">
        <v>73912</v>
      </c>
      <c r="F1664" s="63" t="s">
        <v>81</v>
      </c>
    </row>
    <row r="1665" spans="1:6" x14ac:dyDescent="0.45">
      <c r="A1665" s="58">
        <v>2019</v>
      </c>
      <c r="B1665" s="5" t="s">
        <v>54</v>
      </c>
      <c r="C1665" s="5" t="s">
        <v>35</v>
      </c>
      <c r="D1665" s="6">
        <v>1491</v>
      </c>
      <c r="E1665" s="61">
        <v>63922</v>
      </c>
      <c r="F1665" s="63" t="s">
        <v>81</v>
      </c>
    </row>
    <row r="1666" spans="1:6" x14ac:dyDescent="0.45">
      <c r="A1666" s="57">
        <v>2019</v>
      </c>
      <c r="B1666" s="3" t="s">
        <v>54</v>
      </c>
      <c r="C1666" s="3" t="s">
        <v>36</v>
      </c>
      <c r="D1666" s="4">
        <v>3521</v>
      </c>
      <c r="E1666" s="60">
        <v>86210</v>
      </c>
      <c r="F1666" s="63" t="s">
        <v>82</v>
      </c>
    </row>
    <row r="1667" spans="1:6" x14ac:dyDescent="0.45">
      <c r="A1667" s="58">
        <v>2019</v>
      </c>
      <c r="B1667" s="5" t="s">
        <v>54</v>
      </c>
      <c r="C1667" s="5" t="s">
        <v>37</v>
      </c>
      <c r="D1667" s="6">
        <v>4664</v>
      </c>
      <c r="E1667" s="61">
        <v>84987</v>
      </c>
      <c r="F1667" s="63" t="s">
        <v>81</v>
      </c>
    </row>
    <row r="1668" spans="1:6" x14ac:dyDescent="0.45">
      <c r="A1668" s="57">
        <v>2019</v>
      </c>
      <c r="B1668" s="3" t="s">
        <v>54</v>
      </c>
      <c r="C1668" s="3" t="s">
        <v>38</v>
      </c>
      <c r="D1668" s="3">
        <v>745</v>
      </c>
      <c r="E1668" s="60">
        <v>76660</v>
      </c>
      <c r="F1668" s="63" t="s">
        <v>82</v>
      </c>
    </row>
    <row r="1669" spans="1:6" x14ac:dyDescent="0.45">
      <c r="A1669" s="58">
        <v>2019</v>
      </c>
      <c r="B1669" s="5" t="s">
        <v>54</v>
      </c>
      <c r="C1669" s="5" t="s">
        <v>39</v>
      </c>
      <c r="D1669" s="6">
        <v>2430</v>
      </c>
      <c r="E1669" s="61">
        <v>67428</v>
      </c>
      <c r="F1669" s="63" t="s">
        <v>81</v>
      </c>
    </row>
    <row r="1670" spans="1:6" x14ac:dyDescent="0.45">
      <c r="A1670" s="57">
        <v>2019</v>
      </c>
      <c r="B1670" s="3" t="s">
        <v>54</v>
      </c>
      <c r="C1670" s="3" t="s">
        <v>40</v>
      </c>
      <c r="D1670" s="3">
        <v>561</v>
      </c>
      <c r="E1670" s="60">
        <v>53231</v>
      </c>
      <c r="F1670" s="63" t="s">
        <v>81</v>
      </c>
    </row>
    <row r="1671" spans="1:6" x14ac:dyDescent="0.45">
      <c r="A1671" s="58">
        <v>2019</v>
      </c>
      <c r="B1671" s="5" t="s">
        <v>54</v>
      </c>
      <c r="C1671" s="5" t="s">
        <v>41</v>
      </c>
      <c r="D1671" s="6">
        <v>3260</v>
      </c>
      <c r="E1671" s="61">
        <v>74381</v>
      </c>
      <c r="F1671" s="63" t="s">
        <v>82</v>
      </c>
    </row>
    <row r="1672" spans="1:6" x14ac:dyDescent="0.45">
      <c r="A1672" s="57">
        <v>2019</v>
      </c>
      <c r="B1672" s="3" t="s">
        <v>54</v>
      </c>
      <c r="C1672" s="3" t="s">
        <v>42</v>
      </c>
      <c r="D1672" s="4">
        <v>9521</v>
      </c>
      <c r="E1672" s="60">
        <v>90394</v>
      </c>
      <c r="F1672" s="63" t="s">
        <v>82</v>
      </c>
    </row>
    <row r="1673" spans="1:6" x14ac:dyDescent="0.45">
      <c r="A1673" s="58">
        <v>2019</v>
      </c>
      <c r="B1673" s="5" t="s">
        <v>54</v>
      </c>
      <c r="C1673" s="5" t="s">
        <v>43</v>
      </c>
      <c r="D1673" s="6">
        <v>2347</v>
      </c>
      <c r="E1673" s="61">
        <v>77167</v>
      </c>
      <c r="F1673" s="63" t="s">
        <v>81</v>
      </c>
    </row>
    <row r="1674" spans="1:6" x14ac:dyDescent="0.45">
      <c r="A1674" s="57">
        <v>2019</v>
      </c>
      <c r="B1674" s="3" t="s">
        <v>54</v>
      </c>
      <c r="C1674" s="3" t="s">
        <v>44</v>
      </c>
      <c r="D1674" s="3">
        <v>503</v>
      </c>
      <c r="E1674" s="60">
        <v>64372</v>
      </c>
      <c r="F1674" s="63" t="s">
        <v>81</v>
      </c>
    </row>
    <row r="1675" spans="1:6" x14ac:dyDescent="0.45">
      <c r="A1675" s="58">
        <v>2019</v>
      </c>
      <c r="B1675" s="5" t="s">
        <v>54</v>
      </c>
      <c r="C1675" s="5" t="s">
        <v>45</v>
      </c>
      <c r="D1675" s="6">
        <v>4222</v>
      </c>
      <c r="E1675" s="61">
        <v>104219</v>
      </c>
      <c r="F1675" s="63" t="s">
        <v>82</v>
      </c>
    </row>
    <row r="1676" spans="1:6" x14ac:dyDescent="0.45">
      <c r="A1676" s="57">
        <v>2019</v>
      </c>
      <c r="B1676" s="3" t="s">
        <v>54</v>
      </c>
      <c r="C1676" s="3" t="s">
        <v>46</v>
      </c>
      <c r="D1676" s="4">
        <v>4271</v>
      </c>
      <c r="E1676" s="60">
        <v>178513</v>
      </c>
      <c r="F1676" s="63" t="s">
        <v>82</v>
      </c>
    </row>
    <row r="1677" spans="1:6" x14ac:dyDescent="0.45">
      <c r="A1677" s="58">
        <v>2019</v>
      </c>
      <c r="B1677" s="5" t="s">
        <v>54</v>
      </c>
      <c r="C1677" s="5" t="s">
        <v>47</v>
      </c>
      <c r="D1677" s="5">
        <v>764</v>
      </c>
      <c r="E1677" s="61">
        <v>56474</v>
      </c>
      <c r="F1677" s="63" t="s">
        <v>82</v>
      </c>
    </row>
    <row r="1678" spans="1:6" x14ac:dyDescent="0.45">
      <c r="A1678" s="57">
        <v>2019</v>
      </c>
      <c r="B1678" s="3" t="s">
        <v>54</v>
      </c>
      <c r="C1678" s="3" t="s">
        <v>48</v>
      </c>
      <c r="D1678" s="4">
        <v>2126</v>
      </c>
      <c r="E1678" s="60">
        <v>77912</v>
      </c>
      <c r="F1678" s="63" t="s">
        <v>82</v>
      </c>
    </row>
    <row r="1679" spans="1:6" x14ac:dyDescent="0.45">
      <c r="A1679" s="58">
        <v>2019</v>
      </c>
      <c r="B1679" s="5" t="s">
        <v>54</v>
      </c>
      <c r="C1679" s="5" t="s">
        <v>49</v>
      </c>
      <c r="D1679" s="5">
        <v>389</v>
      </c>
      <c r="E1679" s="61">
        <v>52375</v>
      </c>
      <c r="F1679" s="63" t="s">
        <v>82</v>
      </c>
    </row>
    <row r="1680" spans="1:6" x14ac:dyDescent="0.45">
      <c r="A1680" s="57">
        <v>2019</v>
      </c>
      <c r="B1680" s="3" t="s">
        <v>55</v>
      </c>
      <c r="C1680" s="3" t="s">
        <v>2</v>
      </c>
      <c r="D1680" s="4">
        <v>13089</v>
      </c>
      <c r="E1680" s="60">
        <v>72324</v>
      </c>
      <c r="F1680" s="63" t="s">
        <v>81</v>
      </c>
    </row>
    <row r="1681" spans="1:6" x14ac:dyDescent="0.45">
      <c r="A1681" s="58">
        <v>2019</v>
      </c>
      <c r="B1681" s="5" t="s">
        <v>55</v>
      </c>
      <c r="C1681" s="5" t="s">
        <v>3</v>
      </c>
      <c r="D1681" s="6">
        <v>15754</v>
      </c>
      <c r="E1681" s="61">
        <v>74059</v>
      </c>
      <c r="F1681" s="63" t="s">
        <v>81</v>
      </c>
    </row>
    <row r="1682" spans="1:6" x14ac:dyDescent="0.45">
      <c r="A1682" s="57">
        <v>2019</v>
      </c>
      <c r="B1682" s="3" t="s">
        <v>55</v>
      </c>
      <c r="C1682" s="3" t="s">
        <v>4</v>
      </c>
      <c r="D1682" s="4">
        <v>8251</v>
      </c>
      <c r="E1682" s="60">
        <v>61939</v>
      </c>
      <c r="F1682" s="63" t="s">
        <v>82</v>
      </c>
    </row>
    <row r="1683" spans="1:6" x14ac:dyDescent="0.45">
      <c r="A1683" s="58">
        <v>2019</v>
      </c>
      <c r="B1683" s="5" t="s">
        <v>55</v>
      </c>
      <c r="C1683" s="5" t="s">
        <v>5</v>
      </c>
      <c r="D1683" s="6">
        <v>98024</v>
      </c>
      <c r="E1683" s="61">
        <v>110466</v>
      </c>
      <c r="F1683" s="63" t="s">
        <v>81</v>
      </c>
    </row>
    <row r="1684" spans="1:6" x14ac:dyDescent="0.45">
      <c r="A1684" s="57">
        <v>2019</v>
      </c>
      <c r="B1684" s="3" t="s">
        <v>55</v>
      </c>
      <c r="C1684" s="3" t="s">
        <v>6</v>
      </c>
      <c r="D1684" s="4">
        <v>22552</v>
      </c>
      <c r="E1684" s="60">
        <v>87536</v>
      </c>
      <c r="F1684" s="63" t="s">
        <v>81</v>
      </c>
    </row>
    <row r="1685" spans="1:6" x14ac:dyDescent="0.45">
      <c r="A1685" s="58">
        <v>2019</v>
      </c>
      <c r="B1685" s="5" t="s">
        <v>55</v>
      </c>
      <c r="C1685" s="5" t="s">
        <v>7</v>
      </c>
      <c r="D1685" s="6">
        <v>10779</v>
      </c>
      <c r="E1685" s="61">
        <v>158598</v>
      </c>
      <c r="F1685" s="63" t="s">
        <v>82</v>
      </c>
    </row>
    <row r="1686" spans="1:6" x14ac:dyDescent="0.45">
      <c r="A1686" s="57">
        <v>2019</v>
      </c>
      <c r="B1686" s="3" t="s">
        <v>55</v>
      </c>
      <c r="C1686" s="3" t="s">
        <v>8</v>
      </c>
      <c r="D1686" s="4">
        <v>2800</v>
      </c>
      <c r="E1686" s="60">
        <v>98267</v>
      </c>
      <c r="F1686" s="63" t="s">
        <v>82</v>
      </c>
    </row>
    <row r="1687" spans="1:6" x14ac:dyDescent="0.45">
      <c r="A1687" s="58">
        <v>2019</v>
      </c>
      <c r="B1687" s="5" t="s">
        <v>55</v>
      </c>
      <c r="C1687" s="5" t="s">
        <v>9</v>
      </c>
      <c r="D1687" s="6">
        <v>71616</v>
      </c>
      <c r="E1687" s="61">
        <v>78708</v>
      </c>
      <c r="F1687" s="63" t="s">
        <v>81</v>
      </c>
    </row>
    <row r="1688" spans="1:6" x14ac:dyDescent="0.45">
      <c r="A1688" s="57">
        <v>2019</v>
      </c>
      <c r="B1688" s="3" t="s">
        <v>55</v>
      </c>
      <c r="C1688" s="3" t="s">
        <v>10</v>
      </c>
      <c r="D1688" s="4">
        <v>25978</v>
      </c>
      <c r="E1688" s="60">
        <v>87197</v>
      </c>
      <c r="F1688" s="63" t="s">
        <v>81</v>
      </c>
    </row>
    <row r="1689" spans="1:6" x14ac:dyDescent="0.45">
      <c r="A1689" s="58">
        <v>2019</v>
      </c>
      <c r="B1689" s="5" t="s">
        <v>55</v>
      </c>
      <c r="C1689" s="5" t="s">
        <v>11</v>
      </c>
      <c r="D1689" s="6">
        <v>5522</v>
      </c>
      <c r="E1689" s="61">
        <v>59820</v>
      </c>
      <c r="F1689" s="63" t="s">
        <v>82</v>
      </c>
    </row>
    <row r="1690" spans="1:6" x14ac:dyDescent="0.45">
      <c r="A1690" s="57">
        <v>2019</v>
      </c>
      <c r="B1690" s="3" t="s">
        <v>55</v>
      </c>
      <c r="C1690" s="3" t="s">
        <v>12</v>
      </c>
      <c r="D1690" s="4">
        <v>32114</v>
      </c>
      <c r="E1690" s="60">
        <v>110689</v>
      </c>
      <c r="F1690" s="63" t="s">
        <v>81</v>
      </c>
    </row>
    <row r="1691" spans="1:6" x14ac:dyDescent="0.45">
      <c r="A1691" s="58">
        <v>2019</v>
      </c>
      <c r="B1691" s="5" t="s">
        <v>55</v>
      </c>
      <c r="C1691" s="5" t="s">
        <v>13</v>
      </c>
      <c r="D1691" s="6">
        <v>16124</v>
      </c>
      <c r="E1691" s="61">
        <v>68518</v>
      </c>
      <c r="F1691" s="63" t="s">
        <v>82</v>
      </c>
    </row>
    <row r="1692" spans="1:6" x14ac:dyDescent="0.45">
      <c r="A1692" s="57">
        <v>2019</v>
      </c>
      <c r="B1692" s="3" t="s">
        <v>55</v>
      </c>
      <c r="C1692" s="3" t="s">
        <v>14</v>
      </c>
      <c r="D1692" s="4">
        <v>9983</v>
      </c>
      <c r="E1692" s="60">
        <v>77597</v>
      </c>
      <c r="F1692" s="63" t="s">
        <v>81</v>
      </c>
    </row>
    <row r="1693" spans="1:6" x14ac:dyDescent="0.45">
      <c r="A1693" s="58">
        <v>2019</v>
      </c>
      <c r="B1693" s="5" t="s">
        <v>55</v>
      </c>
      <c r="C1693" s="5" t="s">
        <v>15</v>
      </c>
      <c r="D1693" s="6">
        <v>8858</v>
      </c>
      <c r="E1693" s="61">
        <v>71845</v>
      </c>
      <c r="F1693" s="63" t="s">
        <v>81</v>
      </c>
    </row>
    <row r="1694" spans="1:6" x14ac:dyDescent="0.45">
      <c r="A1694" s="57">
        <v>2019</v>
      </c>
      <c r="B1694" s="3" t="s">
        <v>55</v>
      </c>
      <c r="C1694" s="3" t="s">
        <v>16</v>
      </c>
      <c r="D1694" s="4">
        <v>10845</v>
      </c>
      <c r="E1694" s="60">
        <v>70967</v>
      </c>
      <c r="F1694" s="63" t="s">
        <v>82</v>
      </c>
    </row>
    <row r="1695" spans="1:6" x14ac:dyDescent="0.45">
      <c r="A1695" s="58">
        <v>2019</v>
      </c>
      <c r="B1695" s="5" t="s">
        <v>55</v>
      </c>
      <c r="C1695" s="5" t="s">
        <v>17</v>
      </c>
      <c r="D1695" s="6">
        <v>13618</v>
      </c>
      <c r="E1695" s="61">
        <v>65758</v>
      </c>
      <c r="F1695" s="63" t="s">
        <v>82</v>
      </c>
    </row>
    <row r="1696" spans="1:6" x14ac:dyDescent="0.45">
      <c r="A1696" s="57">
        <v>2019</v>
      </c>
      <c r="B1696" s="3" t="s">
        <v>55</v>
      </c>
      <c r="C1696" s="3" t="s">
        <v>18</v>
      </c>
      <c r="D1696" s="4">
        <v>3827</v>
      </c>
      <c r="E1696" s="60">
        <v>71934</v>
      </c>
      <c r="F1696" s="63" t="s">
        <v>81</v>
      </c>
    </row>
    <row r="1697" spans="1:6" x14ac:dyDescent="0.45">
      <c r="A1697" s="58">
        <v>2019</v>
      </c>
      <c r="B1697" s="5" t="s">
        <v>55</v>
      </c>
      <c r="C1697" s="5" t="s">
        <v>19</v>
      </c>
      <c r="D1697" s="6">
        <v>15099</v>
      </c>
      <c r="E1697" s="61">
        <v>96791</v>
      </c>
      <c r="F1697" s="63" t="s">
        <v>81</v>
      </c>
    </row>
    <row r="1698" spans="1:6" x14ac:dyDescent="0.45">
      <c r="A1698" s="57">
        <v>2019</v>
      </c>
      <c r="B1698" s="3" t="s">
        <v>55</v>
      </c>
      <c r="C1698" s="3" t="s">
        <v>20</v>
      </c>
      <c r="D1698" s="4">
        <v>17270</v>
      </c>
      <c r="E1698" s="60">
        <v>142040</v>
      </c>
      <c r="F1698" s="63" t="s">
        <v>82</v>
      </c>
    </row>
    <row r="1699" spans="1:6" x14ac:dyDescent="0.45">
      <c r="A1699" s="58">
        <v>2019</v>
      </c>
      <c r="B1699" s="5" t="s">
        <v>55</v>
      </c>
      <c r="C1699" s="5" t="s">
        <v>21</v>
      </c>
      <c r="D1699" s="6">
        <v>18942</v>
      </c>
      <c r="E1699" s="61">
        <v>75275</v>
      </c>
      <c r="F1699" s="63" t="s">
        <v>82</v>
      </c>
    </row>
    <row r="1700" spans="1:6" x14ac:dyDescent="0.45">
      <c r="A1700" s="57">
        <v>2019</v>
      </c>
      <c r="B1700" s="3" t="s">
        <v>55</v>
      </c>
      <c r="C1700" s="3" t="s">
        <v>22</v>
      </c>
      <c r="D1700" s="4">
        <v>15467</v>
      </c>
      <c r="E1700" s="60">
        <v>97036</v>
      </c>
      <c r="F1700" s="63" t="s">
        <v>82</v>
      </c>
    </row>
    <row r="1701" spans="1:6" x14ac:dyDescent="0.45">
      <c r="A1701" s="58">
        <v>2019</v>
      </c>
      <c r="B1701" s="5" t="s">
        <v>55</v>
      </c>
      <c r="C1701" s="5" t="s">
        <v>23</v>
      </c>
      <c r="D1701" s="6">
        <v>7854</v>
      </c>
      <c r="E1701" s="61">
        <v>57222</v>
      </c>
      <c r="F1701" s="63" t="s">
        <v>82</v>
      </c>
    </row>
    <row r="1702" spans="1:6" x14ac:dyDescent="0.45">
      <c r="A1702" s="57">
        <v>2019</v>
      </c>
      <c r="B1702" s="3" t="s">
        <v>55</v>
      </c>
      <c r="C1702" s="3" t="s">
        <v>24</v>
      </c>
      <c r="D1702" s="4">
        <v>17661</v>
      </c>
      <c r="E1702" s="60">
        <v>74974</v>
      </c>
      <c r="F1702" s="63" t="s">
        <v>82</v>
      </c>
    </row>
    <row r="1703" spans="1:6" x14ac:dyDescent="0.45">
      <c r="A1703" s="58">
        <v>2019</v>
      </c>
      <c r="B1703" s="5" t="s">
        <v>55</v>
      </c>
      <c r="C1703" s="5" t="s">
        <v>25</v>
      </c>
      <c r="D1703" s="6">
        <v>4178</v>
      </c>
      <c r="E1703" s="61">
        <v>62708</v>
      </c>
      <c r="F1703" s="63" t="s">
        <v>81</v>
      </c>
    </row>
    <row r="1704" spans="1:6" x14ac:dyDescent="0.45">
      <c r="A1704" s="57">
        <v>2019</v>
      </c>
      <c r="B1704" s="3" t="s">
        <v>55</v>
      </c>
      <c r="C1704" s="3" t="s">
        <v>26</v>
      </c>
      <c r="D1704" s="4">
        <v>6481</v>
      </c>
      <c r="E1704" s="60">
        <v>69484</v>
      </c>
      <c r="F1704" s="63" t="s">
        <v>81</v>
      </c>
    </row>
    <row r="1705" spans="1:6" x14ac:dyDescent="0.45">
      <c r="A1705" s="58">
        <v>2019</v>
      </c>
      <c r="B1705" s="5" t="s">
        <v>55</v>
      </c>
      <c r="C1705" s="5" t="s">
        <v>27</v>
      </c>
      <c r="D1705" s="6">
        <v>8856</v>
      </c>
      <c r="E1705" s="61">
        <v>69979</v>
      </c>
      <c r="F1705" s="63" t="s">
        <v>82</v>
      </c>
    </row>
    <row r="1706" spans="1:6" x14ac:dyDescent="0.45">
      <c r="A1706" s="57">
        <v>2019</v>
      </c>
      <c r="B1706" s="3" t="s">
        <v>55</v>
      </c>
      <c r="C1706" s="3" t="s">
        <v>28</v>
      </c>
      <c r="D1706" s="4">
        <v>3835</v>
      </c>
      <c r="E1706" s="60">
        <v>97139</v>
      </c>
      <c r="F1706" s="63" t="s">
        <v>81</v>
      </c>
    </row>
    <row r="1707" spans="1:6" x14ac:dyDescent="0.45">
      <c r="A1707" s="58">
        <v>2019</v>
      </c>
      <c r="B1707" s="5" t="s">
        <v>55</v>
      </c>
      <c r="C1707" s="5" t="s">
        <v>29</v>
      </c>
      <c r="D1707" s="6">
        <v>19625</v>
      </c>
      <c r="E1707" s="61">
        <v>117862</v>
      </c>
      <c r="F1707" s="63" t="s">
        <v>81</v>
      </c>
    </row>
    <row r="1708" spans="1:6" x14ac:dyDescent="0.45">
      <c r="A1708" s="57">
        <v>2019</v>
      </c>
      <c r="B1708" s="3" t="s">
        <v>55</v>
      </c>
      <c r="C1708" s="3" t="s">
        <v>30</v>
      </c>
      <c r="D1708" s="4">
        <v>5092</v>
      </c>
      <c r="E1708" s="60">
        <v>59932</v>
      </c>
      <c r="F1708" s="63" t="s">
        <v>82</v>
      </c>
    </row>
    <row r="1709" spans="1:6" x14ac:dyDescent="0.45">
      <c r="A1709" s="58">
        <v>2019</v>
      </c>
      <c r="B1709" s="5" t="s">
        <v>55</v>
      </c>
      <c r="C1709" s="5" t="s">
        <v>31</v>
      </c>
      <c r="D1709" s="6">
        <v>65326</v>
      </c>
      <c r="E1709" s="61">
        <v>195559</v>
      </c>
      <c r="F1709" s="63" t="s">
        <v>82</v>
      </c>
    </row>
    <row r="1710" spans="1:6" x14ac:dyDescent="0.45">
      <c r="A1710" s="57">
        <v>2019</v>
      </c>
      <c r="B1710" s="3" t="s">
        <v>55</v>
      </c>
      <c r="C1710" s="3" t="s">
        <v>32</v>
      </c>
      <c r="D1710" s="4">
        <v>27332</v>
      </c>
      <c r="E1710" s="60">
        <v>88975</v>
      </c>
      <c r="F1710" s="63" t="s">
        <v>81</v>
      </c>
    </row>
    <row r="1711" spans="1:6" x14ac:dyDescent="0.45">
      <c r="A1711" s="58">
        <v>2019</v>
      </c>
      <c r="B1711" s="5" t="s">
        <v>55</v>
      </c>
      <c r="C1711" s="5" t="s">
        <v>33</v>
      </c>
      <c r="D1711" s="6">
        <v>2979</v>
      </c>
      <c r="E1711" s="61">
        <v>66044</v>
      </c>
      <c r="F1711" s="63" t="s">
        <v>81</v>
      </c>
    </row>
    <row r="1712" spans="1:6" x14ac:dyDescent="0.45">
      <c r="A1712" s="57">
        <v>2019</v>
      </c>
      <c r="B1712" s="3" t="s">
        <v>55</v>
      </c>
      <c r="C1712" s="3" t="s">
        <v>34</v>
      </c>
      <c r="D1712" s="4">
        <v>28537</v>
      </c>
      <c r="E1712" s="60">
        <v>75967</v>
      </c>
      <c r="F1712" s="63" t="s">
        <v>82</v>
      </c>
    </row>
    <row r="1713" spans="1:6" x14ac:dyDescent="0.45">
      <c r="A1713" s="58">
        <v>2019</v>
      </c>
      <c r="B1713" s="5" t="s">
        <v>55</v>
      </c>
      <c r="C1713" s="5" t="s">
        <v>35</v>
      </c>
      <c r="D1713" s="6">
        <v>11379</v>
      </c>
      <c r="E1713" s="61">
        <v>62323</v>
      </c>
      <c r="F1713" s="63" t="s">
        <v>81</v>
      </c>
    </row>
    <row r="1714" spans="1:6" x14ac:dyDescent="0.45">
      <c r="A1714" s="57">
        <v>2019</v>
      </c>
      <c r="B1714" s="3" t="s">
        <v>55</v>
      </c>
      <c r="C1714" s="3" t="s">
        <v>36</v>
      </c>
      <c r="D1714" s="4">
        <v>12686</v>
      </c>
      <c r="E1714" s="60">
        <v>73638</v>
      </c>
      <c r="F1714" s="63" t="s">
        <v>82</v>
      </c>
    </row>
    <row r="1715" spans="1:6" x14ac:dyDescent="0.45">
      <c r="A1715" s="58">
        <v>2019</v>
      </c>
      <c r="B1715" s="5" t="s">
        <v>55</v>
      </c>
      <c r="C1715" s="5" t="s">
        <v>37</v>
      </c>
      <c r="D1715" s="6">
        <v>28479</v>
      </c>
      <c r="E1715" s="61">
        <v>91405</v>
      </c>
      <c r="F1715" s="63" t="s">
        <v>81</v>
      </c>
    </row>
    <row r="1716" spans="1:6" x14ac:dyDescent="0.45">
      <c r="A1716" s="57">
        <v>2019</v>
      </c>
      <c r="B1716" s="3" t="s">
        <v>55</v>
      </c>
      <c r="C1716" s="3" t="s">
        <v>38</v>
      </c>
      <c r="D1716" s="4">
        <v>2802</v>
      </c>
      <c r="E1716" s="60">
        <v>95570</v>
      </c>
      <c r="F1716" s="63" t="s">
        <v>81</v>
      </c>
    </row>
    <row r="1717" spans="1:6" x14ac:dyDescent="0.45">
      <c r="A1717" s="58">
        <v>2019</v>
      </c>
      <c r="B1717" s="5" t="s">
        <v>55</v>
      </c>
      <c r="C1717" s="5" t="s">
        <v>39</v>
      </c>
      <c r="D1717" s="6">
        <v>12653</v>
      </c>
      <c r="E1717" s="61">
        <v>65859</v>
      </c>
      <c r="F1717" s="63" t="s">
        <v>82</v>
      </c>
    </row>
    <row r="1718" spans="1:6" x14ac:dyDescent="0.45">
      <c r="A1718" s="57">
        <v>2019</v>
      </c>
      <c r="B1718" s="3" t="s">
        <v>55</v>
      </c>
      <c r="C1718" s="3" t="s">
        <v>40</v>
      </c>
      <c r="D1718" s="4">
        <v>3221</v>
      </c>
      <c r="E1718" s="60">
        <v>63506</v>
      </c>
      <c r="F1718" s="63" t="s">
        <v>82</v>
      </c>
    </row>
    <row r="1719" spans="1:6" x14ac:dyDescent="0.45">
      <c r="A1719" s="58">
        <v>2019</v>
      </c>
      <c r="B1719" s="5" t="s">
        <v>55</v>
      </c>
      <c r="C1719" s="5" t="s">
        <v>41</v>
      </c>
      <c r="D1719" s="6">
        <v>15531</v>
      </c>
      <c r="E1719" s="61">
        <v>77601</v>
      </c>
      <c r="F1719" s="63" t="s">
        <v>81</v>
      </c>
    </row>
    <row r="1720" spans="1:6" x14ac:dyDescent="0.45">
      <c r="A1720" s="57">
        <v>2019</v>
      </c>
      <c r="B1720" s="3" t="s">
        <v>55</v>
      </c>
      <c r="C1720" s="3" t="s">
        <v>42</v>
      </c>
      <c r="D1720" s="4">
        <v>71279</v>
      </c>
      <c r="E1720" s="60">
        <v>86242</v>
      </c>
      <c r="F1720" s="63" t="s">
        <v>81</v>
      </c>
    </row>
    <row r="1721" spans="1:6" x14ac:dyDescent="0.45">
      <c r="A1721" s="58">
        <v>2019</v>
      </c>
      <c r="B1721" s="5" t="s">
        <v>55</v>
      </c>
      <c r="C1721" s="5" t="s">
        <v>43</v>
      </c>
      <c r="D1721" s="6">
        <v>11066</v>
      </c>
      <c r="E1721" s="61">
        <v>70760</v>
      </c>
      <c r="F1721" s="63" t="s">
        <v>82</v>
      </c>
    </row>
    <row r="1722" spans="1:6" x14ac:dyDescent="0.45">
      <c r="A1722" s="57">
        <v>2019</v>
      </c>
      <c r="B1722" s="3" t="s">
        <v>55</v>
      </c>
      <c r="C1722" s="3" t="s">
        <v>44</v>
      </c>
      <c r="D1722" s="4">
        <v>1700</v>
      </c>
      <c r="E1722" s="60">
        <v>76768</v>
      </c>
      <c r="F1722" s="63" t="s">
        <v>82</v>
      </c>
    </row>
    <row r="1723" spans="1:6" x14ac:dyDescent="0.45">
      <c r="A1723" s="58">
        <v>2019</v>
      </c>
      <c r="B1723" s="5" t="s">
        <v>55</v>
      </c>
      <c r="C1723" s="5" t="s">
        <v>45</v>
      </c>
      <c r="D1723" s="6">
        <v>21609</v>
      </c>
      <c r="E1723" s="61">
        <v>88201</v>
      </c>
      <c r="F1723" s="63" t="s">
        <v>82</v>
      </c>
    </row>
    <row r="1724" spans="1:6" x14ac:dyDescent="0.45">
      <c r="A1724" s="57">
        <v>2019</v>
      </c>
      <c r="B1724" s="3" t="s">
        <v>55</v>
      </c>
      <c r="C1724" s="3" t="s">
        <v>46</v>
      </c>
      <c r="D1724" s="4">
        <v>17184</v>
      </c>
      <c r="E1724" s="60">
        <v>82957</v>
      </c>
      <c r="F1724" s="63" t="s">
        <v>82</v>
      </c>
    </row>
    <row r="1725" spans="1:6" x14ac:dyDescent="0.45">
      <c r="A1725" s="58">
        <v>2019</v>
      </c>
      <c r="B1725" s="5" t="s">
        <v>55</v>
      </c>
      <c r="C1725" s="5" t="s">
        <v>47</v>
      </c>
      <c r="D1725" s="6">
        <v>3992</v>
      </c>
      <c r="E1725" s="61">
        <v>56354</v>
      </c>
      <c r="F1725" s="63" t="s">
        <v>82</v>
      </c>
    </row>
    <row r="1726" spans="1:6" x14ac:dyDescent="0.45">
      <c r="A1726" s="57">
        <v>2019</v>
      </c>
      <c r="B1726" s="3" t="s">
        <v>55</v>
      </c>
      <c r="C1726" s="3" t="s">
        <v>48</v>
      </c>
      <c r="D1726" s="4">
        <v>13244</v>
      </c>
      <c r="E1726" s="60">
        <v>74759</v>
      </c>
      <c r="F1726" s="63" t="s">
        <v>81</v>
      </c>
    </row>
    <row r="1727" spans="1:6" x14ac:dyDescent="0.45">
      <c r="A1727" s="58">
        <v>2019</v>
      </c>
      <c r="B1727" s="5" t="s">
        <v>55</v>
      </c>
      <c r="C1727" s="5" t="s">
        <v>49</v>
      </c>
      <c r="D1727" s="6">
        <v>2248</v>
      </c>
      <c r="E1727" s="61">
        <v>60692</v>
      </c>
      <c r="F1727" s="63" t="s">
        <v>81</v>
      </c>
    </row>
    <row r="1728" spans="1:6" x14ac:dyDescent="0.45">
      <c r="A1728" s="57">
        <v>2019</v>
      </c>
      <c r="B1728" s="3" t="s">
        <v>56</v>
      </c>
      <c r="C1728" s="3" t="s">
        <v>2</v>
      </c>
      <c r="D1728" s="4">
        <v>21426</v>
      </c>
      <c r="E1728" s="60">
        <v>59774</v>
      </c>
      <c r="F1728" s="63" t="s">
        <v>82</v>
      </c>
    </row>
    <row r="1729" spans="1:6" x14ac:dyDescent="0.45">
      <c r="A1729" s="58">
        <v>2019</v>
      </c>
      <c r="B1729" s="5" t="s">
        <v>56</v>
      </c>
      <c r="C1729" s="5" t="s">
        <v>3</v>
      </c>
      <c r="D1729" s="6">
        <v>31059</v>
      </c>
      <c r="E1729" s="61">
        <v>61334</v>
      </c>
      <c r="F1729" s="63" t="s">
        <v>81</v>
      </c>
    </row>
    <row r="1730" spans="1:6" x14ac:dyDescent="0.45">
      <c r="A1730" s="57">
        <v>2019</v>
      </c>
      <c r="B1730" s="3" t="s">
        <v>56</v>
      </c>
      <c r="C1730" s="3" t="s">
        <v>4</v>
      </c>
      <c r="D1730" s="4">
        <v>13845</v>
      </c>
      <c r="E1730" s="60">
        <v>65263</v>
      </c>
      <c r="F1730" s="63" t="s">
        <v>81</v>
      </c>
    </row>
    <row r="1731" spans="1:6" x14ac:dyDescent="0.45">
      <c r="A1731" s="58">
        <v>2019</v>
      </c>
      <c r="B1731" s="5" t="s">
        <v>56</v>
      </c>
      <c r="C1731" s="5" t="s">
        <v>5</v>
      </c>
      <c r="D1731" s="6">
        <v>188712</v>
      </c>
      <c r="E1731" s="61">
        <v>92955</v>
      </c>
      <c r="F1731" s="63" t="s">
        <v>82</v>
      </c>
    </row>
    <row r="1732" spans="1:6" x14ac:dyDescent="0.45">
      <c r="A1732" s="57">
        <v>2019</v>
      </c>
      <c r="B1732" s="3" t="s">
        <v>56</v>
      </c>
      <c r="C1732" s="3" t="s">
        <v>6</v>
      </c>
      <c r="D1732" s="4">
        <v>50576</v>
      </c>
      <c r="E1732" s="60">
        <v>84698</v>
      </c>
      <c r="F1732" s="63" t="s">
        <v>82</v>
      </c>
    </row>
    <row r="1733" spans="1:6" x14ac:dyDescent="0.45">
      <c r="A1733" s="58">
        <v>2019</v>
      </c>
      <c r="B1733" s="5" t="s">
        <v>56</v>
      </c>
      <c r="C1733" s="5" t="s">
        <v>7</v>
      </c>
      <c r="D1733" s="6">
        <v>22807</v>
      </c>
      <c r="E1733" s="61">
        <v>93307</v>
      </c>
      <c r="F1733" s="63" t="s">
        <v>81</v>
      </c>
    </row>
    <row r="1734" spans="1:6" x14ac:dyDescent="0.45">
      <c r="A1734" s="57">
        <v>2019</v>
      </c>
      <c r="B1734" s="3" t="s">
        <v>56</v>
      </c>
      <c r="C1734" s="3" t="s">
        <v>8</v>
      </c>
      <c r="D1734" s="4">
        <v>8644</v>
      </c>
      <c r="E1734" s="60">
        <v>86600</v>
      </c>
      <c r="F1734" s="63" t="s">
        <v>81</v>
      </c>
    </row>
    <row r="1735" spans="1:6" x14ac:dyDescent="0.45">
      <c r="A1735" s="58">
        <v>2019</v>
      </c>
      <c r="B1735" s="5" t="s">
        <v>56</v>
      </c>
      <c r="C1735" s="5" t="s">
        <v>9</v>
      </c>
      <c r="D1735" s="6">
        <v>156978</v>
      </c>
      <c r="E1735" s="61">
        <v>64653</v>
      </c>
      <c r="F1735" s="63" t="s">
        <v>82</v>
      </c>
    </row>
    <row r="1736" spans="1:6" x14ac:dyDescent="0.45">
      <c r="A1736" s="57">
        <v>2019</v>
      </c>
      <c r="B1736" s="3" t="s">
        <v>56</v>
      </c>
      <c r="C1736" s="3" t="s">
        <v>10</v>
      </c>
      <c r="D1736" s="4">
        <v>54102</v>
      </c>
      <c r="E1736" s="60">
        <v>70724</v>
      </c>
      <c r="F1736" s="63" t="s">
        <v>81</v>
      </c>
    </row>
    <row r="1737" spans="1:6" x14ac:dyDescent="0.45">
      <c r="A1737" s="58">
        <v>2019</v>
      </c>
      <c r="B1737" s="5" t="s">
        <v>56</v>
      </c>
      <c r="C1737" s="5" t="s">
        <v>11</v>
      </c>
      <c r="D1737" s="6">
        <v>11075</v>
      </c>
      <c r="E1737" s="61">
        <v>54653</v>
      </c>
      <c r="F1737" s="63" t="s">
        <v>82</v>
      </c>
    </row>
    <row r="1738" spans="1:6" x14ac:dyDescent="0.45">
      <c r="A1738" s="57">
        <v>2019</v>
      </c>
      <c r="B1738" s="3" t="s">
        <v>56</v>
      </c>
      <c r="C1738" s="3" t="s">
        <v>12</v>
      </c>
      <c r="D1738" s="4">
        <v>73447</v>
      </c>
      <c r="E1738" s="60">
        <v>79829</v>
      </c>
      <c r="F1738" s="63" t="s">
        <v>81</v>
      </c>
    </row>
    <row r="1739" spans="1:6" x14ac:dyDescent="0.45">
      <c r="A1739" s="58">
        <v>2019</v>
      </c>
      <c r="B1739" s="5" t="s">
        <v>56</v>
      </c>
      <c r="C1739" s="5" t="s">
        <v>13</v>
      </c>
      <c r="D1739" s="6">
        <v>29045</v>
      </c>
      <c r="E1739" s="61">
        <v>56796</v>
      </c>
      <c r="F1739" s="63" t="s">
        <v>81</v>
      </c>
    </row>
    <row r="1740" spans="1:6" x14ac:dyDescent="0.45">
      <c r="A1740" s="57">
        <v>2019</v>
      </c>
      <c r="B1740" s="3" t="s">
        <v>56</v>
      </c>
      <c r="C1740" s="3" t="s">
        <v>14</v>
      </c>
      <c r="D1740" s="4">
        <v>15401</v>
      </c>
      <c r="E1740" s="60">
        <v>58293</v>
      </c>
      <c r="F1740" s="63" t="s">
        <v>82</v>
      </c>
    </row>
    <row r="1741" spans="1:6" x14ac:dyDescent="0.45">
      <c r="A1741" s="58">
        <v>2019</v>
      </c>
      <c r="B1741" s="5" t="s">
        <v>56</v>
      </c>
      <c r="C1741" s="5" t="s">
        <v>15</v>
      </c>
      <c r="D1741" s="6">
        <v>16569</v>
      </c>
      <c r="E1741" s="61">
        <v>65048</v>
      </c>
      <c r="F1741" s="63" t="s">
        <v>82</v>
      </c>
    </row>
    <row r="1742" spans="1:6" x14ac:dyDescent="0.45">
      <c r="A1742" s="57">
        <v>2019</v>
      </c>
      <c r="B1742" s="3" t="s">
        <v>56</v>
      </c>
      <c r="C1742" s="3" t="s">
        <v>16</v>
      </c>
      <c r="D1742" s="4">
        <v>20206</v>
      </c>
      <c r="E1742" s="60">
        <v>54829</v>
      </c>
      <c r="F1742" s="63" t="s">
        <v>81</v>
      </c>
    </row>
    <row r="1743" spans="1:6" x14ac:dyDescent="0.45">
      <c r="A1743" s="58">
        <v>2019</v>
      </c>
      <c r="B1743" s="5" t="s">
        <v>56</v>
      </c>
      <c r="C1743" s="5" t="s">
        <v>17</v>
      </c>
      <c r="D1743" s="6">
        <v>24001</v>
      </c>
      <c r="E1743" s="61">
        <v>61218</v>
      </c>
      <c r="F1743" s="63" t="s">
        <v>81</v>
      </c>
    </row>
    <row r="1744" spans="1:6" x14ac:dyDescent="0.45">
      <c r="A1744" s="57">
        <v>2019</v>
      </c>
      <c r="B1744" s="3" t="s">
        <v>56</v>
      </c>
      <c r="C1744" s="3" t="s">
        <v>18</v>
      </c>
      <c r="D1744" s="4">
        <v>9912</v>
      </c>
      <c r="E1744" s="60">
        <v>61405</v>
      </c>
      <c r="F1744" s="63" t="s">
        <v>82</v>
      </c>
    </row>
    <row r="1745" spans="1:6" x14ac:dyDescent="0.45">
      <c r="A1745" s="58">
        <v>2019</v>
      </c>
      <c r="B1745" s="5" t="s">
        <v>56</v>
      </c>
      <c r="C1745" s="5" t="s">
        <v>19</v>
      </c>
      <c r="D1745" s="6">
        <v>42175</v>
      </c>
      <c r="E1745" s="61">
        <v>83259</v>
      </c>
      <c r="F1745" s="63" t="s">
        <v>82</v>
      </c>
    </row>
    <row r="1746" spans="1:6" x14ac:dyDescent="0.45">
      <c r="A1746" s="57">
        <v>2019</v>
      </c>
      <c r="B1746" s="3" t="s">
        <v>56</v>
      </c>
      <c r="C1746" s="3" t="s">
        <v>20</v>
      </c>
      <c r="D1746" s="4">
        <v>47186</v>
      </c>
      <c r="E1746" s="60">
        <v>108580</v>
      </c>
      <c r="F1746" s="63" t="s">
        <v>82</v>
      </c>
    </row>
    <row r="1747" spans="1:6" x14ac:dyDescent="0.45">
      <c r="A1747" s="58">
        <v>2019</v>
      </c>
      <c r="B1747" s="5" t="s">
        <v>56</v>
      </c>
      <c r="C1747" s="5" t="s">
        <v>21</v>
      </c>
      <c r="D1747" s="6">
        <v>42271</v>
      </c>
      <c r="E1747" s="61">
        <v>74677</v>
      </c>
      <c r="F1747" s="63" t="s">
        <v>82</v>
      </c>
    </row>
    <row r="1748" spans="1:6" x14ac:dyDescent="0.45">
      <c r="A1748" s="57">
        <v>2019</v>
      </c>
      <c r="B1748" s="3" t="s">
        <v>56</v>
      </c>
      <c r="C1748" s="3" t="s">
        <v>22</v>
      </c>
      <c r="D1748" s="4">
        <v>29916</v>
      </c>
      <c r="E1748" s="60">
        <v>86794</v>
      </c>
      <c r="F1748" s="63" t="s">
        <v>82</v>
      </c>
    </row>
    <row r="1749" spans="1:6" x14ac:dyDescent="0.45">
      <c r="A1749" s="58">
        <v>2019</v>
      </c>
      <c r="B1749" s="5" t="s">
        <v>56</v>
      </c>
      <c r="C1749" s="5" t="s">
        <v>23</v>
      </c>
      <c r="D1749" s="6">
        <v>11953</v>
      </c>
      <c r="E1749" s="61">
        <v>47461</v>
      </c>
      <c r="F1749" s="63" t="s">
        <v>81</v>
      </c>
    </row>
    <row r="1750" spans="1:6" x14ac:dyDescent="0.45">
      <c r="A1750" s="57">
        <v>2019</v>
      </c>
      <c r="B1750" s="3" t="s">
        <v>56</v>
      </c>
      <c r="C1750" s="3" t="s">
        <v>24</v>
      </c>
      <c r="D1750" s="4">
        <v>33699</v>
      </c>
      <c r="E1750" s="60">
        <v>69932</v>
      </c>
      <c r="F1750" s="63" t="s">
        <v>81</v>
      </c>
    </row>
    <row r="1751" spans="1:6" x14ac:dyDescent="0.45">
      <c r="A1751" s="58">
        <v>2019</v>
      </c>
      <c r="B1751" s="5" t="s">
        <v>56</v>
      </c>
      <c r="C1751" s="5" t="s">
        <v>25</v>
      </c>
      <c r="D1751" s="6">
        <v>8994</v>
      </c>
      <c r="E1751" s="61">
        <v>56921</v>
      </c>
      <c r="F1751" s="63" t="s">
        <v>82</v>
      </c>
    </row>
    <row r="1752" spans="1:6" x14ac:dyDescent="0.45">
      <c r="A1752" s="57">
        <v>2019</v>
      </c>
      <c r="B1752" s="3" t="s">
        <v>56</v>
      </c>
      <c r="C1752" s="3" t="s">
        <v>26</v>
      </c>
      <c r="D1752" s="4">
        <v>11395</v>
      </c>
      <c r="E1752" s="60">
        <v>65204</v>
      </c>
      <c r="F1752" s="63" t="s">
        <v>81</v>
      </c>
    </row>
    <row r="1753" spans="1:6" x14ac:dyDescent="0.45">
      <c r="A1753" s="58">
        <v>2019</v>
      </c>
      <c r="B1753" s="5" t="s">
        <v>56</v>
      </c>
      <c r="C1753" s="5" t="s">
        <v>27</v>
      </c>
      <c r="D1753" s="6">
        <v>19521</v>
      </c>
      <c r="E1753" s="61">
        <v>64283</v>
      </c>
      <c r="F1753" s="63" t="s">
        <v>81</v>
      </c>
    </row>
    <row r="1754" spans="1:6" x14ac:dyDescent="0.45">
      <c r="A1754" s="57">
        <v>2019</v>
      </c>
      <c r="B1754" s="3" t="s">
        <v>56</v>
      </c>
      <c r="C1754" s="3" t="s">
        <v>28</v>
      </c>
      <c r="D1754" s="4">
        <v>11938</v>
      </c>
      <c r="E1754" s="60">
        <v>81584</v>
      </c>
      <c r="F1754" s="63" t="s">
        <v>82</v>
      </c>
    </row>
    <row r="1755" spans="1:6" x14ac:dyDescent="0.45">
      <c r="A1755" s="58">
        <v>2019</v>
      </c>
      <c r="B1755" s="5" t="s">
        <v>56</v>
      </c>
      <c r="C1755" s="5" t="s">
        <v>29</v>
      </c>
      <c r="D1755" s="6">
        <v>50907</v>
      </c>
      <c r="E1755" s="61">
        <v>94404</v>
      </c>
      <c r="F1755" s="63" t="s">
        <v>82</v>
      </c>
    </row>
    <row r="1756" spans="1:6" x14ac:dyDescent="0.45">
      <c r="A1756" s="57">
        <v>2019</v>
      </c>
      <c r="B1756" s="3" t="s">
        <v>56</v>
      </c>
      <c r="C1756" s="3" t="s">
        <v>30</v>
      </c>
      <c r="D1756" s="4">
        <v>10062</v>
      </c>
      <c r="E1756" s="60">
        <v>66086</v>
      </c>
      <c r="F1756" s="63" t="s">
        <v>81</v>
      </c>
    </row>
    <row r="1757" spans="1:6" x14ac:dyDescent="0.45">
      <c r="A1757" s="58">
        <v>2019</v>
      </c>
      <c r="B1757" s="5" t="s">
        <v>56</v>
      </c>
      <c r="C1757" s="5" t="s">
        <v>31</v>
      </c>
      <c r="D1757" s="6">
        <v>111646</v>
      </c>
      <c r="E1757" s="61">
        <v>98549</v>
      </c>
      <c r="F1757" s="63" t="s">
        <v>81</v>
      </c>
    </row>
    <row r="1758" spans="1:6" x14ac:dyDescent="0.45">
      <c r="A1758" s="57">
        <v>2019</v>
      </c>
      <c r="B1758" s="3" t="s">
        <v>56</v>
      </c>
      <c r="C1758" s="3" t="s">
        <v>32</v>
      </c>
      <c r="D1758" s="4">
        <v>57179</v>
      </c>
      <c r="E1758" s="60">
        <v>68617</v>
      </c>
      <c r="F1758" s="63" t="s">
        <v>82</v>
      </c>
    </row>
    <row r="1759" spans="1:6" x14ac:dyDescent="0.45">
      <c r="A1759" s="58">
        <v>2019</v>
      </c>
      <c r="B1759" s="5" t="s">
        <v>56</v>
      </c>
      <c r="C1759" s="5" t="s">
        <v>33</v>
      </c>
      <c r="D1759" s="6">
        <v>4917</v>
      </c>
      <c r="E1759" s="61">
        <v>65438</v>
      </c>
      <c r="F1759" s="63" t="s">
        <v>81</v>
      </c>
    </row>
    <row r="1760" spans="1:6" x14ac:dyDescent="0.45">
      <c r="A1760" s="57">
        <v>2019</v>
      </c>
      <c r="B1760" s="3" t="s">
        <v>56</v>
      </c>
      <c r="C1760" s="3" t="s">
        <v>34</v>
      </c>
      <c r="D1760" s="4">
        <v>52650</v>
      </c>
      <c r="E1760" s="60">
        <v>68445</v>
      </c>
      <c r="F1760" s="63" t="s">
        <v>82</v>
      </c>
    </row>
    <row r="1761" spans="1:6" x14ac:dyDescent="0.45">
      <c r="A1761" s="58">
        <v>2019</v>
      </c>
      <c r="B1761" s="5" t="s">
        <v>56</v>
      </c>
      <c r="C1761" s="5" t="s">
        <v>35</v>
      </c>
      <c r="D1761" s="6">
        <v>20434</v>
      </c>
      <c r="E1761" s="61">
        <v>56640</v>
      </c>
      <c r="F1761" s="63" t="s">
        <v>81</v>
      </c>
    </row>
    <row r="1762" spans="1:6" x14ac:dyDescent="0.45">
      <c r="A1762" s="57">
        <v>2019</v>
      </c>
      <c r="B1762" s="3" t="s">
        <v>56</v>
      </c>
      <c r="C1762" s="3" t="s">
        <v>36</v>
      </c>
      <c r="D1762" s="4">
        <v>24942</v>
      </c>
      <c r="E1762" s="60">
        <v>73873</v>
      </c>
      <c r="F1762" s="63" t="s">
        <v>81</v>
      </c>
    </row>
    <row r="1763" spans="1:6" x14ac:dyDescent="0.45">
      <c r="A1763" s="58">
        <v>2019</v>
      </c>
      <c r="B1763" s="5" t="s">
        <v>56</v>
      </c>
      <c r="C1763" s="5" t="s">
        <v>37</v>
      </c>
      <c r="D1763" s="6">
        <v>61779</v>
      </c>
      <c r="E1763" s="61">
        <v>82029</v>
      </c>
      <c r="F1763" s="63" t="s">
        <v>82</v>
      </c>
    </row>
    <row r="1764" spans="1:6" x14ac:dyDescent="0.45">
      <c r="A1764" s="57">
        <v>2019</v>
      </c>
      <c r="B1764" s="3" t="s">
        <v>56</v>
      </c>
      <c r="C1764" s="3" t="s">
        <v>38</v>
      </c>
      <c r="D1764" s="4">
        <v>8350</v>
      </c>
      <c r="E1764" s="60">
        <v>73763</v>
      </c>
      <c r="F1764" s="63" t="s">
        <v>82</v>
      </c>
    </row>
    <row r="1765" spans="1:6" x14ac:dyDescent="0.45">
      <c r="A1765" s="58">
        <v>2019</v>
      </c>
      <c r="B1765" s="5" t="s">
        <v>56</v>
      </c>
      <c r="C1765" s="5" t="s">
        <v>39</v>
      </c>
      <c r="D1765" s="6">
        <v>25902</v>
      </c>
      <c r="E1765" s="61">
        <v>55505</v>
      </c>
      <c r="F1765" s="63" t="s">
        <v>81</v>
      </c>
    </row>
    <row r="1766" spans="1:6" x14ac:dyDescent="0.45">
      <c r="A1766" s="57">
        <v>2019</v>
      </c>
      <c r="B1766" s="3" t="s">
        <v>56</v>
      </c>
      <c r="C1766" s="3" t="s">
        <v>40</v>
      </c>
      <c r="D1766" s="4">
        <v>5030</v>
      </c>
      <c r="E1766" s="60">
        <v>61293</v>
      </c>
      <c r="F1766" s="63" t="s">
        <v>81</v>
      </c>
    </row>
    <row r="1767" spans="1:6" x14ac:dyDescent="0.45">
      <c r="A1767" s="58">
        <v>2019</v>
      </c>
      <c r="B1767" s="5" t="s">
        <v>56</v>
      </c>
      <c r="C1767" s="5" t="s">
        <v>41</v>
      </c>
      <c r="D1767" s="6">
        <v>28315</v>
      </c>
      <c r="E1767" s="61">
        <v>62172</v>
      </c>
      <c r="F1767" s="63" t="s">
        <v>82</v>
      </c>
    </row>
    <row r="1768" spans="1:6" x14ac:dyDescent="0.45">
      <c r="A1768" s="57">
        <v>2019</v>
      </c>
      <c r="B1768" s="3" t="s">
        <v>56</v>
      </c>
      <c r="C1768" s="3" t="s">
        <v>42</v>
      </c>
      <c r="D1768" s="4">
        <v>129242</v>
      </c>
      <c r="E1768" s="60">
        <v>77507</v>
      </c>
      <c r="F1768" s="63" t="s">
        <v>82</v>
      </c>
    </row>
    <row r="1769" spans="1:6" x14ac:dyDescent="0.45">
      <c r="A1769" s="58">
        <v>2019</v>
      </c>
      <c r="B1769" s="5" t="s">
        <v>56</v>
      </c>
      <c r="C1769" s="5" t="s">
        <v>43</v>
      </c>
      <c r="D1769" s="6">
        <v>21911</v>
      </c>
      <c r="E1769" s="61">
        <v>62815</v>
      </c>
      <c r="F1769" s="63" t="s">
        <v>82</v>
      </c>
    </row>
    <row r="1770" spans="1:6" x14ac:dyDescent="0.45">
      <c r="A1770" s="57">
        <v>2019</v>
      </c>
      <c r="B1770" s="3" t="s">
        <v>56</v>
      </c>
      <c r="C1770" s="3" t="s">
        <v>44</v>
      </c>
      <c r="D1770" s="4">
        <v>5488</v>
      </c>
      <c r="E1770" s="60">
        <v>69457</v>
      </c>
      <c r="F1770" s="63" t="s">
        <v>82</v>
      </c>
    </row>
    <row r="1771" spans="1:6" x14ac:dyDescent="0.45">
      <c r="A1771" s="58">
        <v>2019</v>
      </c>
      <c r="B1771" s="5" t="s">
        <v>56</v>
      </c>
      <c r="C1771" s="5" t="s">
        <v>45</v>
      </c>
      <c r="D1771" s="6">
        <v>57146</v>
      </c>
      <c r="E1771" s="61">
        <v>90971</v>
      </c>
      <c r="F1771" s="63" t="s">
        <v>82</v>
      </c>
    </row>
    <row r="1772" spans="1:6" x14ac:dyDescent="0.45">
      <c r="A1772" s="57">
        <v>2019</v>
      </c>
      <c r="B1772" s="3" t="s">
        <v>56</v>
      </c>
      <c r="C1772" s="3" t="s">
        <v>46</v>
      </c>
      <c r="D1772" s="4">
        <v>39177</v>
      </c>
      <c r="E1772" s="60">
        <v>82348</v>
      </c>
      <c r="F1772" s="63" t="s">
        <v>81</v>
      </c>
    </row>
    <row r="1773" spans="1:6" x14ac:dyDescent="0.45">
      <c r="A1773" s="58">
        <v>2019</v>
      </c>
      <c r="B1773" s="5" t="s">
        <v>56</v>
      </c>
      <c r="C1773" s="5" t="s">
        <v>47</v>
      </c>
      <c r="D1773" s="6">
        <v>8077</v>
      </c>
      <c r="E1773" s="61">
        <v>54213</v>
      </c>
      <c r="F1773" s="63" t="s">
        <v>81</v>
      </c>
    </row>
    <row r="1774" spans="1:6" x14ac:dyDescent="0.45">
      <c r="A1774" s="57">
        <v>2019</v>
      </c>
      <c r="B1774" s="3" t="s">
        <v>56</v>
      </c>
      <c r="C1774" s="3" t="s">
        <v>48</v>
      </c>
      <c r="D1774" s="4">
        <v>23769</v>
      </c>
      <c r="E1774" s="60">
        <v>63868</v>
      </c>
      <c r="F1774" s="63" t="s">
        <v>82</v>
      </c>
    </row>
    <row r="1775" spans="1:6" x14ac:dyDescent="0.45">
      <c r="A1775" s="58">
        <v>2019</v>
      </c>
      <c r="B1775" s="5" t="s">
        <v>56</v>
      </c>
      <c r="C1775" s="5" t="s">
        <v>49</v>
      </c>
      <c r="D1775" s="6">
        <v>4417</v>
      </c>
      <c r="E1775" s="61">
        <v>56226</v>
      </c>
      <c r="F1775" s="63" t="s">
        <v>81</v>
      </c>
    </row>
    <row r="1776" spans="1:6" x14ac:dyDescent="0.45">
      <c r="A1776" s="57">
        <v>2019</v>
      </c>
      <c r="B1776" s="3" t="s">
        <v>57</v>
      </c>
      <c r="C1776" s="3" t="s">
        <v>2</v>
      </c>
      <c r="D1776" s="4">
        <v>12429</v>
      </c>
      <c r="E1776" s="60">
        <v>51641</v>
      </c>
      <c r="F1776" s="63" t="s">
        <v>81</v>
      </c>
    </row>
    <row r="1777" spans="1:6" x14ac:dyDescent="0.45">
      <c r="A1777" s="58">
        <v>2019</v>
      </c>
      <c r="B1777" s="5" t="s">
        <v>57</v>
      </c>
      <c r="C1777" s="5" t="s">
        <v>3</v>
      </c>
      <c r="D1777" s="6">
        <v>16509</v>
      </c>
      <c r="E1777" s="61">
        <v>56240</v>
      </c>
      <c r="F1777" s="63" t="s">
        <v>82</v>
      </c>
    </row>
    <row r="1778" spans="1:6" x14ac:dyDescent="0.45">
      <c r="A1778" s="57">
        <v>2019</v>
      </c>
      <c r="B1778" s="3" t="s">
        <v>57</v>
      </c>
      <c r="C1778" s="3" t="s">
        <v>4</v>
      </c>
      <c r="D1778" s="4">
        <v>15762</v>
      </c>
      <c r="E1778" s="60">
        <v>47521</v>
      </c>
      <c r="F1778" s="63" t="s">
        <v>82</v>
      </c>
    </row>
    <row r="1779" spans="1:6" x14ac:dyDescent="0.45">
      <c r="A1779" s="58">
        <v>2019</v>
      </c>
      <c r="B1779" s="5" t="s">
        <v>57</v>
      </c>
      <c r="C1779" s="5" t="s">
        <v>5</v>
      </c>
      <c r="D1779" s="6">
        <v>593987</v>
      </c>
      <c r="E1779" s="61">
        <v>56766</v>
      </c>
      <c r="F1779" s="63" t="s">
        <v>81</v>
      </c>
    </row>
    <row r="1780" spans="1:6" x14ac:dyDescent="0.45">
      <c r="A1780" s="57">
        <v>2019</v>
      </c>
      <c r="B1780" s="3" t="s">
        <v>57</v>
      </c>
      <c r="C1780" s="3" t="s">
        <v>6</v>
      </c>
      <c r="D1780" s="4">
        <v>21356</v>
      </c>
      <c r="E1780" s="60">
        <v>54754</v>
      </c>
      <c r="F1780" s="63" t="s">
        <v>81</v>
      </c>
    </row>
    <row r="1781" spans="1:6" x14ac:dyDescent="0.45">
      <c r="A1781" s="58">
        <v>2019</v>
      </c>
      <c r="B1781" s="5" t="s">
        <v>57</v>
      </c>
      <c r="C1781" s="5" t="s">
        <v>7</v>
      </c>
      <c r="D1781" s="6">
        <v>12701</v>
      </c>
      <c r="E1781" s="61">
        <v>59993</v>
      </c>
      <c r="F1781" s="63" t="s">
        <v>82</v>
      </c>
    </row>
    <row r="1782" spans="1:6" x14ac:dyDescent="0.45">
      <c r="A1782" s="57">
        <v>2019</v>
      </c>
      <c r="B1782" s="3" t="s">
        <v>57</v>
      </c>
      <c r="C1782" s="3" t="s">
        <v>8</v>
      </c>
      <c r="D1782" s="4">
        <v>4626</v>
      </c>
      <c r="E1782" s="60">
        <v>59083</v>
      </c>
      <c r="F1782" s="63" t="s">
        <v>81</v>
      </c>
    </row>
    <row r="1783" spans="1:6" x14ac:dyDescent="0.45">
      <c r="A1783" s="58">
        <v>2019</v>
      </c>
      <c r="B1783" s="5" t="s">
        <v>57</v>
      </c>
      <c r="C1783" s="5" t="s">
        <v>9</v>
      </c>
      <c r="D1783" s="6">
        <v>71929</v>
      </c>
      <c r="E1783" s="61">
        <v>55450</v>
      </c>
      <c r="F1783" s="63" t="s">
        <v>82</v>
      </c>
    </row>
    <row r="1784" spans="1:6" x14ac:dyDescent="0.45">
      <c r="A1784" s="57">
        <v>2019</v>
      </c>
      <c r="B1784" s="3" t="s">
        <v>57</v>
      </c>
      <c r="C1784" s="3" t="s">
        <v>10</v>
      </c>
      <c r="D1784" s="4">
        <v>28426</v>
      </c>
      <c r="E1784" s="60">
        <v>56819</v>
      </c>
      <c r="F1784" s="63" t="s">
        <v>81</v>
      </c>
    </row>
    <row r="1785" spans="1:6" x14ac:dyDescent="0.45">
      <c r="A1785" s="58">
        <v>2019</v>
      </c>
      <c r="B1785" s="5" t="s">
        <v>57</v>
      </c>
      <c r="C1785" s="5" t="s">
        <v>11</v>
      </c>
      <c r="D1785" s="6">
        <v>7292</v>
      </c>
      <c r="E1785" s="61">
        <v>46927</v>
      </c>
      <c r="F1785" s="63" t="s">
        <v>81</v>
      </c>
    </row>
    <row r="1786" spans="1:6" x14ac:dyDescent="0.45">
      <c r="A1786" s="57">
        <v>2019</v>
      </c>
      <c r="B1786" s="3" t="s">
        <v>57</v>
      </c>
      <c r="C1786" s="3" t="s">
        <v>12</v>
      </c>
      <c r="D1786" s="4">
        <v>34414</v>
      </c>
      <c r="E1786" s="60">
        <v>55347</v>
      </c>
      <c r="F1786" s="63" t="s">
        <v>82</v>
      </c>
    </row>
    <row r="1787" spans="1:6" x14ac:dyDescent="0.45">
      <c r="A1787" s="58">
        <v>2019</v>
      </c>
      <c r="B1787" s="5" t="s">
        <v>57</v>
      </c>
      <c r="C1787" s="5" t="s">
        <v>13</v>
      </c>
      <c r="D1787" s="6">
        <v>15254</v>
      </c>
      <c r="E1787" s="61">
        <v>52791</v>
      </c>
      <c r="F1787" s="63" t="s">
        <v>82</v>
      </c>
    </row>
    <row r="1788" spans="1:6" x14ac:dyDescent="0.45">
      <c r="A1788" s="57">
        <v>2019</v>
      </c>
      <c r="B1788" s="3" t="s">
        <v>57</v>
      </c>
      <c r="C1788" s="3" t="s">
        <v>14</v>
      </c>
      <c r="D1788" s="4">
        <v>11324</v>
      </c>
      <c r="E1788" s="60">
        <v>48092</v>
      </c>
      <c r="F1788" s="63" t="s">
        <v>81</v>
      </c>
    </row>
    <row r="1789" spans="1:6" x14ac:dyDescent="0.45">
      <c r="A1789" s="58">
        <v>2019</v>
      </c>
      <c r="B1789" s="5" t="s">
        <v>57</v>
      </c>
      <c r="C1789" s="5" t="s">
        <v>15</v>
      </c>
      <c r="D1789" s="6">
        <v>10129</v>
      </c>
      <c r="E1789" s="61">
        <v>47465</v>
      </c>
      <c r="F1789" s="63" t="s">
        <v>81</v>
      </c>
    </row>
    <row r="1790" spans="1:6" x14ac:dyDescent="0.45">
      <c r="A1790" s="57">
        <v>2019</v>
      </c>
      <c r="B1790" s="3" t="s">
        <v>57</v>
      </c>
      <c r="C1790" s="3" t="s">
        <v>16</v>
      </c>
      <c r="D1790" s="4">
        <v>17849</v>
      </c>
      <c r="E1790" s="60">
        <v>53340</v>
      </c>
      <c r="F1790" s="63" t="s">
        <v>82</v>
      </c>
    </row>
    <row r="1791" spans="1:6" x14ac:dyDescent="0.45">
      <c r="A1791" s="58">
        <v>2019</v>
      </c>
      <c r="B1791" s="5" t="s">
        <v>57</v>
      </c>
      <c r="C1791" s="5" t="s">
        <v>17</v>
      </c>
      <c r="D1791" s="6">
        <v>15003</v>
      </c>
      <c r="E1791" s="61">
        <v>48305</v>
      </c>
      <c r="F1791" s="63" t="s">
        <v>82</v>
      </c>
    </row>
    <row r="1792" spans="1:6" x14ac:dyDescent="0.45">
      <c r="A1792" s="57">
        <v>2019</v>
      </c>
      <c r="B1792" s="3" t="s">
        <v>57</v>
      </c>
      <c r="C1792" s="3" t="s">
        <v>18</v>
      </c>
      <c r="D1792" s="4">
        <v>6292</v>
      </c>
      <c r="E1792" s="60">
        <v>51937</v>
      </c>
      <c r="F1792" s="63" t="s">
        <v>82</v>
      </c>
    </row>
    <row r="1793" spans="1:6" x14ac:dyDescent="0.45">
      <c r="A1793" s="58">
        <v>2019</v>
      </c>
      <c r="B1793" s="5" t="s">
        <v>57</v>
      </c>
      <c r="C1793" s="5" t="s">
        <v>19</v>
      </c>
      <c r="D1793" s="6">
        <v>20270</v>
      </c>
      <c r="E1793" s="61">
        <v>59201</v>
      </c>
      <c r="F1793" s="63" t="s">
        <v>82</v>
      </c>
    </row>
    <row r="1794" spans="1:6" x14ac:dyDescent="0.45">
      <c r="A1794" s="57">
        <v>2019</v>
      </c>
      <c r="B1794" s="3" t="s">
        <v>57</v>
      </c>
      <c r="C1794" s="3" t="s">
        <v>20</v>
      </c>
      <c r="D1794" s="4">
        <v>61589</v>
      </c>
      <c r="E1794" s="60">
        <v>63794</v>
      </c>
      <c r="F1794" s="63" t="s">
        <v>82</v>
      </c>
    </row>
    <row r="1795" spans="1:6" x14ac:dyDescent="0.45">
      <c r="A1795" s="58">
        <v>2019</v>
      </c>
      <c r="B1795" s="5" t="s">
        <v>57</v>
      </c>
      <c r="C1795" s="5" t="s">
        <v>21</v>
      </c>
      <c r="D1795" s="6">
        <v>24957</v>
      </c>
      <c r="E1795" s="61">
        <v>54406</v>
      </c>
      <c r="F1795" s="63" t="s">
        <v>81</v>
      </c>
    </row>
    <row r="1796" spans="1:6" x14ac:dyDescent="0.45">
      <c r="A1796" s="57">
        <v>2019</v>
      </c>
      <c r="B1796" s="3" t="s">
        <v>57</v>
      </c>
      <c r="C1796" s="3" t="s">
        <v>22</v>
      </c>
      <c r="D1796" s="4">
        <v>17543</v>
      </c>
      <c r="E1796" s="60">
        <v>55720</v>
      </c>
      <c r="F1796" s="63" t="s">
        <v>81</v>
      </c>
    </row>
    <row r="1797" spans="1:6" x14ac:dyDescent="0.45">
      <c r="A1797" s="58">
        <v>2019</v>
      </c>
      <c r="B1797" s="5" t="s">
        <v>57</v>
      </c>
      <c r="C1797" s="5" t="s">
        <v>23</v>
      </c>
      <c r="D1797" s="6">
        <v>7420</v>
      </c>
      <c r="E1797" s="61">
        <v>46426</v>
      </c>
      <c r="F1797" s="63" t="s">
        <v>82</v>
      </c>
    </row>
    <row r="1798" spans="1:6" x14ac:dyDescent="0.45">
      <c r="A1798" s="57">
        <v>2019</v>
      </c>
      <c r="B1798" s="3" t="s">
        <v>57</v>
      </c>
      <c r="C1798" s="3" t="s">
        <v>24</v>
      </c>
      <c r="D1798" s="4">
        <v>48626</v>
      </c>
      <c r="E1798" s="60">
        <v>50800</v>
      </c>
      <c r="F1798" s="63" t="s">
        <v>81</v>
      </c>
    </row>
    <row r="1799" spans="1:6" x14ac:dyDescent="0.45">
      <c r="A1799" s="58">
        <v>2019</v>
      </c>
      <c r="B1799" s="5" t="s">
        <v>57</v>
      </c>
      <c r="C1799" s="5" t="s">
        <v>25</v>
      </c>
      <c r="D1799" s="6">
        <v>4448</v>
      </c>
      <c r="E1799" s="61">
        <v>52171</v>
      </c>
      <c r="F1799" s="63" t="s">
        <v>81</v>
      </c>
    </row>
    <row r="1800" spans="1:6" x14ac:dyDescent="0.45">
      <c r="A1800" s="57">
        <v>2019</v>
      </c>
      <c r="B1800" s="3" t="s">
        <v>57</v>
      </c>
      <c r="C1800" s="3" t="s">
        <v>26</v>
      </c>
      <c r="D1800" s="4">
        <v>13241</v>
      </c>
      <c r="E1800" s="60">
        <v>50565</v>
      </c>
      <c r="F1800" s="63" t="s">
        <v>82</v>
      </c>
    </row>
    <row r="1801" spans="1:6" x14ac:dyDescent="0.45">
      <c r="A1801" s="58">
        <v>2019</v>
      </c>
      <c r="B1801" s="5" t="s">
        <v>57</v>
      </c>
      <c r="C1801" s="5" t="s">
        <v>27</v>
      </c>
      <c r="D1801" s="6">
        <v>8681</v>
      </c>
      <c r="E1801" s="61">
        <v>59119</v>
      </c>
      <c r="F1801" s="63" t="s">
        <v>82</v>
      </c>
    </row>
    <row r="1802" spans="1:6" x14ac:dyDescent="0.45">
      <c r="A1802" s="57">
        <v>2019</v>
      </c>
      <c r="B1802" s="3" t="s">
        <v>57</v>
      </c>
      <c r="C1802" s="3" t="s">
        <v>28</v>
      </c>
      <c r="D1802" s="4">
        <v>4635</v>
      </c>
      <c r="E1802" s="60">
        <v>60599</v>
      </c>
      <c r="F1802" s="63" t="s">
        <v>81</v>
      </c>
    </row>
    <row r="1803" spans="1:6" x14ac:dyDescent="0.45">
      <c r="A1803" s="58">
        <v>2019</v>
      </c>
      <c r="B1803" s="5" t="s">
        <v>57</v>
      </c>
      <c r="C1803" s="5" t="s">
        <v>29</v>
      </c>
      <c r="D1803" s="6">
        <v>33411</v>
      </c>
      <c r="E1803" s="61">
        <v>58138</v>
      </c>
      <c r="F1803" s="63" t="s">
        <v>81</v>
      </c>
    </row>
    <row r="1804" spans="1:6" x14ac:dyDescent="0.45">
      <c r="A1804" s="57">
        <v>2019</v>
      </c>
      <c r="B1804" s="3" t="s">
        <v>57</v>
      </c>
      <c r="C1804" s="3" t="s">
        <v>30</v>
      </c>
      <c r="D1804" s="4">
        <v>9629</v>
      </c>
      <c r="E1804" s="60">
        <v>46621</v>
      </c>
      <c r="F1804" s="63" t="s">
        <v>82</v>
      </c>
    </row>
    <row r="1805" spans="1:6" x14ac:dyDescent="0.45">
      <c r="A1805" s="58">
        <v>2019</v>
      </c>
      <c r="B1805" s="5" t="s">
        <v>57</v>
      </c>
      <c r="C1805" s="5" t="s">
        <v>31</v>
      </c>
      <c r="D1805" s="6">
        <v>67533</v>
      </c>
      <c r="E1805" s="61">
        <v>57932</v>
      </c>
      <c r="F1805" s="63" t="s">
        <v>81</v>
      </c>
    </row>
    <row r="1806" spans="1:6" x14ac:dyDescent="0.45">
      <c r="A1806" s="57">
        <v>2019</v>
      </c>
      <c r="B1806" s="3" t="s">
        <v>57</v>
      </c>
      <c r="C1806" s="3" t="s">
        <v>32</v>
      </c>
      <c r="D1806" s="4">
        <v>26885</v>
      </c>
      <c r="E1806" s="60">
        <v>53135</v>
      </c>
      <c r="F1806" s="63" t="s">
        <v>82</v>
      </c>
    </row>
    <row r="1807" spans="1:6" x14ac:dyDescent="0.45">
      <c r="A1807" s="58">
        <v>2019</v>
      </c>
      <c r="B1807" s="5" t="s">
        <v>57</v>
      </c>
      <c r="C1807" s="5" t="s">
        <v>33</v>
      </c>
      <c r="D1807" s="6">
        <v>2484</v>
      </c>
      <c r="E1807" s="61">
        <v>55915</v>
      </c>
      <c r="F1807" s="63" t="s">
        <v>81</v>
      </c>
    </row>
    <row r="1808" spans="1:6" x14ac:dyDescent="0.45">
      <c r="A1808" s="57">
        <v>2019</v>
      </c>
      <c r="B1808" s="3" t="s">
        <v>57</v>
      </c>
      <c r="C1808" s="3" t="s">
        <v>34</v>
      </c>
      <c r="D1808" s="4">
        <v>34090</v>
      </c>
      <c r="E1808" s="60">
        <v>51314</v>
      </c>
      <c r="F1808" s="63" t="s">
        <v>81</v>
      </c>
    </row>
    <row r="1809" spans="1:6" x14ac:dyDescent="0.45">
      <c r="A1809" s="58">
        <v>2019</v>
      </c>
      <c r="B1809" s="5" t="s">
        <v>57</v>
      </c>
      <c r="C1809" s="5" t="s">
        <v>35</v>
      </c>
      <c r="D1809" s="6">
        <v>13367</v>
      </c>
      <c r="E1809" s="61">
        <v>50167</v>
      </c>
      <c r="F1809" s="63" t="s">
        <v>82</v>
      </c>
    </row>
    <row r="1810" spans="1:6" x14ac:dyDescent="0.45">
      <c r="A1810" s="57">
        <v>2019</v>
      </c>
      <c r="B1810" s="3" t="s">
        <v>57</v>
      </c>
      <c r="C1810" s="3" t="s">
        <v>36</v>
      </c>
      <c r="D1810" s="4">
        <v>15363</v>
      </c>
      <c r="E1810" s="60">
        <v>56908</v>
      </c>
      <c r="F1810" s="63" t="s">
        <v>82</v>
      </c>
    </row>
    <row r="1811" spans="1:6" x14ac:dyDescent="0.45">
      <c r="A1811" s="58">
        <v>2019</v>
      </c>
      <c r="B1811" s="5" t="s">
        <v>57</v>
      </c>
      <c r="C1811" s="5" t="s">
        <v>37</v>
      </c>
      <c r="D1811" s="6">
        <v>58709</v>
      </c>
      <c r="E1811" s="61">
        <v>56500</v>
      </c>
      <c r="F1811" s="63" t="s">
        <v>81</v>
      </c>
    </row>
    <row r="1812" spans="1:6" x14ac:dyDescent="0.45">
      <c r="A1812" s="57">
        <v>2019</v>
      </c>
      <c r="B1812" s="3" t="s">
        <v>57</v>
      </c>
      <c r="C1812" s="3" t="s">
        <v>38</v>
      </c>
      <c r="D1812" s="4">
        <v>4485</v>
      </c>
      <c r="E1812" s="60">
        <v>53941</v>
      </c>
      <c r="F1812" s="63" t="s">
        <v>81</v>
      </c>
    </row>
    <row r="1813" spans="1:6" x14ac:dyDescent="0.45">
      <c r="A1813" s="58">
        <v>2019</v>
      </c>
      <c r="B1813" s="5" t="s">
        <v>57</v>
      </c>
      <c r="C1813" s="5" t="s">
        <v>39</v>
      </c>
      <c r="D1813" s="6">
        <v>11574</v>
      </c>
      <c r="E1813" s="61">
        <v>51624</v>
      </c>
      <c r="F1813" s="63" t="s">
        <v>82</v>
      </c>
    </row>
    <row r="1814" spans="1:6" x14ac:dyDescent="0.45">
      <c r="A1814" s="57">
        <v>2019</v>
      </c>
      <c r="B1814" s="3" t="s">
        <v>57</v>
      </c>
      <c r="C1814" s="3" t="s">
        <v>40</v>
      </c>
      <c r="D1814" s="4">
        <v>2732</v>
      </c>
      <c r="E1814" s="60">
        <v>55512</v>
      </c>
      <c r="F1814" s="63" t="s">
        <v>82</v>
      </c>
    </row>
    <row r="1815" spans="1:6" x14ac:dyDescent="0.45">
      <c r="A1815" s="58">
        <v>2019</v>
      </c>
      <c r="B1815" s="5" t="s">
        <v>57</v>
      </c>
      <c r="C1815" s="5" t="s">
        <v>41</v>
      </c>
      <c r="D1815" s="6">
        <v>15761</v>
      </c>
      <c r="E1815" s="61">
        <v>56938</v>
      </c>
      <c r="F1815" s="63" t="s">
        <v>82</v>
      </c>
    </row>
    <row r="1816" spans="1:6" x14ac:dyDescent="0.45">
      <c r="A1816" s="57">
        <v>2019</v>
      </c>
      <c r="B1816" s="3" t="s">
        <v>57</v>
      </c>
      <c r="C1816" s="3" t="s">
        <v>42</v>
      </c>
      <c r="D1816" s="4">
        <v>87635</v>
      </c>
      <c r="E1816" s="60">
        <v>53096</v>
      </c>
      <c r="F1816" s="63" t="s">
        <v>82</v>
      </c>
    </row>
    <row r="1817" spans="1:6" x14ac:dyDescent="0.45">
      <c r="A1817" s="58">
        <v>2019</v>
      </c>
      <c r="B1817" s="5" t="s">
        <v>57</v>
      </c>
      <c r="C1817" s="5" t="s">
        <v>43</v>
      </c>
      <c r="D1817" s="6">
        <v>11679</v>
      </c>
      <c r="E1817" s="61">
        <v>48492</v>
      </c>
      <c r="F1817" s="63" t="s">
        <v>82</v>
      </c>
    </row>
    <row r="1818" spans="1:6" x14ac:dyDescent="0.45">
      <c r="A1818" s="57">
        <v>2019</v>
      </c>
      <c r="B1818" s="3" t="s">
        <v>57</v>
      </c>
      <c r="C1818" s="3" t="s">
        <v>44</v>
      </c>
      <c r="D1818" s="4">
        <v>2460</v>
      </c>
      <c r="E1818" s="60">
        <v>51259</v>
      </c>
      <c r="F1818" s="63" t="s">
        <v>81</v>
      </c>
    </row>
    <row r="1819" spans="1:6" x14ac:dyDescent="0.45">
      <c r="A1819" s="58">
        <v>2019</v>
      </c>
      <c r="B1819" s="5" t="s">
        <v>57</v>
      </c>
      <c r="C1819" s="5" t="s">
        <v>45</v>
      </c>
      <c r="D1819" s="6">
        <v>42910</v>
      </c>
      <c r="E1819" s="61">
        <v>54573</v>
      </c>
      <c r="F1819" s="63" t="s">
        <v>81</v>
      </c>
    </row>
    <row r="1820" spans="1:6" x14ac:dyDescent="0.45">
      <c r="A1820" s="57">
        <v>2019</v>
      </c>
      <c r="B1820" s="3" t="s">
        <v>57</v>
      </c>
      <c r="C1820" s="3" t="s">
        <v>46</v>
      </c>
      <c r="D1820" s="4">
        <v>56689</v>
      </c>
      <c r="E1820" s="60">
        <v>55782</v>
      </c>
      <c r="F1820" s="63" t="s">
        <v>82</v>
      </c>
    </row>
    <row r="1821" spans="1:6" x14ac:dyDescent="0.45">
      <c r="A1821" s="58">
        <v>2019</v>
      </c>
      <c r="B1821" s="5" t="s">
        <v>57</v>
      </c>
      <c r="C1821" s="5" t="s">
        <v>47</v>
      </c>
      <c r="D1821" s="6">
        <v>5679</v>
      </c>
      <c r="E1821" s="61">
        <v>50732</v>
      </c>
      <c r="F1821" s="63" t="s">
        <v>81</v>
      </c>
    </row>
    <row r="1822" spans="1:6" x14ac:dyDescent="0.45">
      <c r="A1822" s="57">
        <v>2019</v>
      </c>
      <c r="B1822" s="3" t="s">
        <v>57</v>
      </c>
      <c r="C1822" s="3" t="s">
        <v>48</v>
      </c>
      <c r="D1822" s="4">
        <v>25989</v>
      </c>
      <c r="E1822" s="60">
        <v>53663</v>
      </c>
      <c r="F1822" s="63" t="s">
        <v>81</v>
      </c>
    </row>
    <row r="1823" spans="1:6" x14ac:dyDescent="0.45">
      <c r="A1823" s="58">
        <v>2019</v>
      </c>
      <c r="B1823" s="5" t="s">
        <v>57</v>
      </c>
      <c r="C1823" s="5" t="s">
        <v>49</v>
      </c>
      <c r="D1823" s="6">
        <v>3268</v>
      </c>
      <c r="E1823" s="61">
        <v>47913</v>
      </c>
      <c r="F1823" s="63" t="s">
        <v>82</v>
      </c>
    </row>
    <row r="1824" spans="1:6" x14ac:dyDescent="0.45">
      <c r="A1824" s="57">
        <v>2019</v>
      </c>
      <c r="B1824" s="3" t="s">
        <v>58</v>
      </c>
      <c r="C1824" s="3" t="s">
        <v>2</v>
      </c>
      <c r="D1824" s="4">
        <v>10741</v>
      </c>
      <c r="E1824" s="60">
        <v>22222</v>
      </c>
      <c r="F1824" s="63" t="s">
        <v>82</v>
      </c>
    </row>
    <row r="1825" spans="1:6" x14ac:dyDescent="0.45">
      <c r="A1825" s="58">
        <v>2019</v>
      </c>
      <c r="B1825" s="5" t="s">
        <v>58</v>
      </c>
      <c r="C1825" s="5" t="s">
        <v>3</v>
      </c>
      <c r="D1825" s="6">
        <v>12771</v>
      </c>
      <c r="E1825" s="61">
        <v>29505</v>
      </c>
      <c r="F1825" s="63" t="s">
        <v>81</v>
      </c>
    </row>
    <row r="1826" spans="1:6" x14ac:dyDescent="0.45">
      <c r="A1826" s="57">
        <v>2019</v>
      </c>
      <c r="B1826" s="3" t="s">
        <v>58</v>
      </c>
      <c r="C1826" s="3" t="s">
        <v>4</v>
      </c>
      <c r="D1826" s="4">
        <v>7024</v>
      </c>
      <c r="E1826" s="60">
        <v>22181</v>
      </c>
      <c r="F1826" s="63" t="s">
        <v>81</v>
      </c>
    </row>
    <row r="1827" spans="1:6" x14ac:dyDescent="0.45">
      <c r="A1827" s="58">
        <v>2019</v>
      </c>
      <c r="B1827" s="5" t="s">
        <v>58</v>
      </c>
      <c r="C1827" s="5" t="s">
        <v>5</v>
      </c>
      <c r="D1827" s="6">
        <v>103495</v>
      </c>
      <c r="E1827" s="61">
        <v>35214</v>
      </c>
      <c r="F1827" s="63" t="s">
        <v>82</v>
      </c>
    </row>
    <row r="1828" spans="1:6" x14ac:dyDescent="0.45">
      <c r="A1828" s="57">
        <v>2019</v>
      </c>
      <c r="B1828" s="3" t="s">
        <v>58</v>
      </c>
      <c r="C1828" s="3" t="s">
        <v>6</v>
      </c>
      <c r="D1828" s="4">
        <v>16627</v>
      </c>
      <c r="E1828" s="60">
        <v>30462</v>
      </c>
      <c r="F1828" s="63" t="s">
        <v>81</v>
      </c>
    </row>
    <row r="1829" spans="1:6" x14ac:dyDescent="0.45">
      <c r="A1829" s="58">
        <v>2019</v>
      </c>
      <c r="B1829" s="5" t="s">
        <v>58</v>
      </c>
      <c r="C1829" s="5" t="s">
        <v>7</v>
      </c>
      <c r="D1829" s="6">
        <v>10338</v>
      </c>
      <c r="E1829" s="61">
        <v>29066</v>
      </c>
      <c r="F1829" s="63" t="s">
        <v>82</v>
      </c>
    </row>
    <row r="1830" spans="1:6" x14ac:dyDescent="0.45">
      <c r="A1830" s="57">
        <v>2019</v>
      </c>
      <c r="B1830" s="3" t="s">
        <v>58</v>
      </c>
      <c r="C1830" s="3" t="s">
        <v>8</v>
      </c>
      <c r="D1830" s="4">
        <v>2565</v>
      </c>
      <c r="E1830" s="60">
        <v>25997</v>
      </c>
      <c r="F1830" s="63" t="s">
        <v>81</v>
      </c>
    </row>
    <row r="1831" spans="1:6" x14ac:dyDescent="0.45">
      <c r="A1831" s="58">
        <v>2019</v>
      </c>
      <c r="B1831" s="5" t="s">
        <v>58</v>
      </c>
      <c r="C1831" s="5" t="s">
        <v>9</v>
      </c>
      <c r="D1831" s="6">
        <v>55396</v>
      </c>
      <c r="E1831" s="61">
        <v>30953</v>
      </c>
      <c r="F1831" s="63" t="s">
        <v>81</v>
      </c>
    </row>
    <row r="1832" spans="1:6" x14ac:dyDescent="0.45">
      <c r="A1832" s="57">
        <v>2019</v>
      </c>
      <c r="B1832" s="3" t="s">
        <v>58</v>
      </c>
      <c r="C1832" s="3" t="s">
        <v>10</v>
      </c>
      <c r="D1832" s="4">
        <v>23538</v>
      </c>
      <c r="E1832" s="60">
        <v>26142</v>
      </c>
      <c r="F1832" s="63" t="s">
        <v>82</v>
      </c>
    </row>
    <row r="1833" spans="1:6" x14ac:dyDescent="0.45">
      <c r="A1833" s="58">
        <v>2019</v>
      </c>
      <c r="B1833" s="5" t="s">
        <v>58</v>
      </c>
      <c r="C1833" s="5" t="s">
        <v>11</v>
      </c>
      <c r="D1833" s="6">
        <v>4906</v>
      </c>
      <c r="E1833" s="61">
        <v>22382</v>
      </c>
      <c r="F1833" s="63" t="s">
        <v>82</v>
      </c>
    </row>
    <row r="1834" spans="1:6" x14ac:dyDescent="0.45">
      <c r="A1834" s="57">
        <v>2019</v>
      </c>
      <c r="B1834" s="3" t="s">
        <v>58</v>
      </c>
      <c r="C1834" s="3" t="s">
        <v>12</v>
      </c>
      <c r="D1834" s="4">
        <v>32076</v>
      </c>
      <c r="E1834" s="60">
        <v>28930</v>
      </c>
      <c r="F1834" s="63" t="s">
        <v>81</v>
      </c>
    </row>
    <row r="1835" spans="1:6" x14ac:dyDescent="0.45">
      <c r="A1835" s="58">
        <v>2019</v>
      </c>
      <c r="B1835" s="5" t="s">
        <v>58</v>
      </c>
      <c r="C1835" s="5" t="s">
        <v>13</v>
      </c>
      <c r="D1835" s="6">
        <v>15273</v>
      </c>
      <c r="E1835" s="61">
        <v>24223</v>
      </c>
      <c r="F1835" s="63" t="s">
        <v>81</v>
      </c>
    </row>
    <row r="1836" spans="1:6" x14ac:dyDescent="0.45">
      <c r="A1836" s="57">
        <v>2019</v>
      </c>
      <c r="B1836" s="3" t="s">
        <v>58</v>
      </c>
      <c r="C1836" s="3" t="s">
        <v>14</v>
      </c>
      <c r="D1836" s="4">
        <v>8532</v>
      </c>
      <c r="E1836" s="60">
        <v>22280</v>
      </c>
      <c r="F1836" s="63" t="s">
        <v>82</v>
      </c>
    </row>
    <row r="1837" spans="1:6" x14ac:dyDescent="0.45">
      <c r="A1837" s="58">
        <v>2019</v>
      </c>
      <c r="B1837" s="5" t="s">
        <v>58</v>
      </c>
      <c r="C1837" s="5" t="s">
        <v>15</v>
      </c>
      <c r="D1837" s="6">
        <v>6839</v>
      </c>
      <c r="E1837" s="61">
        <v>22257</v>
      </c>
      <c r="F1837" s="63" t="s">
        <v>82</v>
      </c>
    </row>
    <row r="1838" spans="1:6" x14ac:dyDescent="0.45">
      <c r="A1838" s="57">
        <v>2019</v>
      </c>
      <c r="B1838" s="3" t="s">
        <v>58</v>
      </c>
      <c r="C1838" s="3" t="s">
        <v>16</v>
      </c>
      <c r="D1838" s="4">
        <v>10063</v>
      </c>
      <c r="E1838" s="60">
        <v>23160</v>
      </c>
      <c r="F1838" s="63" t="s">
        <v>82</v>
      </c>
    </row>
    <row r="1839" spans="1:6" x14ac:dyDescent="0.45">
      <c r="A1839" s="58">
        <v>2019</v>
      </c>
      <c r="B1839" s="5" t="s">
        <v>58</v>
      </c>
      <c r="C1839" s="5" t="s">
        <v>17</v>
      </c>
      <c r="D1839" s="6">
        <v>12015</v>
      </c>
      <c r="E1839" s="61">
        <v>26623</v>
      </c>
      <c r="F1839" s="63" t="s">
        <v>82</v>
      </c>
    </row>
    <row r="1840" spans="1:6" x14ac:dyDescent="0.45">
      <c r="A1840" s="57">
        <v>2019</v>
      </c>
      <c r="B1840" s="3" t="s">
        <v>58</v>
      </c>
      <c r="C1840" s="3" t="s">
        <v>18</v>
      </c>
      <c r="D1840" s="4">
        <v>5119</v>
      </c>
      <c r="E1840" s="60">
        <v>27119</v>
      </c>
      <c r="F1840" s="63" t="s">
        <v>82</v>
      </c>
    </row>
    <row r="1841" spans="1:6" x14ac:dyDescent="0.45">
      <c r="A1841" s="58">
        <v>2019</v>
      </c>
      <c r="B1841" s="5" t="s">
        <v>58</v>
      </c>
      <c r="C1841" s="5" t="s">
        <v>19</v>
      </c>
      <c r="D1841" s="6">
        <v>14733</v>
      </c>
      <c r="E1841" s="61">
        <v>29436</v>
      </c>
      <c r="F1841" s="63" t="s">
        <v>81</v>
      </c>
    </row>
    <row r="1842" spans="1:6" x14ac:dyDescent="0.45">
      <c r="A1842" s="57">
        <v>2019</v>
      </c>
      <c r="B1842" s="3" t="s">
        <v>58</v>
      </c>
      <c r="C1842" s="3" t="s">
        <v>20</v>
      </c>
      <c r="D1842" s="4">
        <v>20695</v>
      </c>
      <c r="E1842" s="60">
        <v>32779</v>
      </c>
      <c r="F1842" s="63" t="s">
        <v>81</v>
      </c>
    </row>
    <row r="1843" spans="1:6" x14ac:dyDescent="0.45">
      <c r="A1843" s="58">
        <v>2019</v>
      </c>
      <c r="B1843" s="5" t="s">
        <v>58</v>
      </c>
      <c r="C1843" s="5" t="s">
        <v>21</v>
      </c>
      <c r="D1843" s="6">
        <v>21783</v>
      </c>
      <c r="E1843" s="61">
        <v>25834</v>
      </c>
      <c r="F1843" s="63" t="s">
        <v>82</v>
      </c>
    </row>
    <row r="1844" spans="1:6" x14ac:dyDescent="0.45">
      <c r="A1844" s="57">
        <v>2019</v>
      </c>
      <c r="B1844" s="3" t="s">
        <v>58</v>
      </c>
      <c r="C1844" s="3" t="s">
        <v>22</v>
      </c>
      <c r="D1844" s="4">
        <v>14729</v>
      </c>
      <c r="E1844" s="60">
        <v>27386</v>
      </c>
      <c r="F1844" s="63" t="s">
        <v>81</v>
      </c>
    </row>
    <row r="1845" spans="1:6" x14ac:dyDescent="0.45">
      <c r="A1845" s="58">
        <v>2019</v>
      </c>
      <c r="B1845" s="5" t="s">
        <v>58</v>
      </c>
      <c r="C1845" s="5" t="s">
        <v>23</v>
      </c>
      <c r="D1845" s="6">
        <v>6381</v>
      </c>
      <c r="E1845" s="61">
        <v>23011</v>
      </c>
      <c r="F1845" s="63" t="s">
        <v>81</v>
      </c>
    </row>
    <row r="1846" spans="1:6" x14ac:dyDescent="0.45">
      <c r="A1846" s="57">
        <v>2019</v>
      </c>
      <c r="B1846" s="3" t="s">
        <v>58</v>
      </c>
      <c r="C1846" s="3" t="s">
        <v>24</v>
      </c>
      <c r="D1846" s="4">
        <v>14797</v>
      </c>
      <c r="E1846" s="60">
        <v>26276</v>
      </c>
      <c r="F1846" s="63" t="s">
        <v>82</v>
      </c>
    </row>
    <row r="1847" spans="1:6" x14ac:dyDescent="0.45">
      <c r="A1847" s="58">
        <v>2019</v>
      </c>
      <c r="B1847" s="5" t="s">
        <v>58</v>
      </c>
      <c r="C1847" s="5" t="s">
        <v>25</v>
      </c>
      <c r="D1847" s="6">
        <v>4978</v>
      </c>
      <c r="E1847" s="61">
        <v>24625</v>
      </c>
      <c r="F1847" s="63" t="s">
        <v>82</v>
      </c>
    </row>
    <row r="1848" spans="1:6" x14ac:dyDescent="0.45">
      <c r="A1848" s="57">
        <v>2019</v>
      </c>
      <c r="B1848" s="3" t="s">
        <v>58</v>
      </c>
      <c r="C1848" s="3" t="s">
        <v>26</v>
      </c>
      <c r="D1848" s="4">
        <v>5508</v>
      </c>
      <c r="E1848" s="60">
        <v>22253</v>
      </c>
      <c r="F1848" s="63" t="s">
        <v>81</v>
      </c>
    </row>
    <row r="1849" spans="1:6" x14ac:dyDescent="0.45">
      <c r="A1849" s="58">
        <v>2019</v>
      </c>
      <c r="B1849" s="5" t="s">
        <v>58</v>
      </c>
      <c r="C1849" s="5" t="s">
        <v>27</v>
      </c>
      <c r="D1849" s="6">
        <v>8246</v>
      </c>
      <c r="E1849" s="61">
        <v>39048</v>
      </c>
      <c r="F1849" s="63" t="s">
        <v>81</v>
      </c>
    </row>
    <row r="1850" spans="1:6" x14ac:dyDescent="0.45">
      <c r="A1850" s="57">
        <v>2019</v>
      </c>
      <c r="B1850" s="3" t="s">
        <v>58</v>
      </c>
      <c r="C1850" s="3" t="s">
        <v>28</v>
      </c>
      <c r="D1850" s="4">
        <v>4512</v>
      </c>
      <c r="E1850" s="60">
        <v>27058</v>
      </c>
      <c r="F1850" s="63" t="s">
        <v>82</v>
      </c>
    </row>
    <row r="1851" spans="1:6" x14ac:dyDescent="0.45">
      <c r="A1851" s="58">
        <v>2019</v>
      </c>
      <c r="B1851" s="5" t="s">
        <v>58</v>
      </c>
      <c r="C1851" s="5" t="s">
        <v>29</v>
      </c>
      <c r="D1851" s="6">
        <v>23501</v>
      </c>
      <c r="E1851" s="61">
        <v>30851</v>
      </c>
      <c r="F1851" s="63" t="s">
        <v>81</v>
      </c>
    </row>
    <row r="1852" spans="1:6" x14ac:dyDescent="0.45">
      <c r="A1852" s="57">
        <v>2019</v>
      </c>
      <c r="B1852" s="3" t="s">
        <v>58</v>
      </c>
      <c r="C1852" s="3" t="s">
        <v>30</v>
      </c>
      <c r="D1852" s="4">
        <v>4929</v>
      </c>
      <c r="E1852" s="60">
        <v>23901</v>
      </c>
      <c r="F1852" s="63" t="s">
        <v>82</v>
      </c>
    </row>
    <row r="1853" spans="1:6" x14ac:dyDescent="0.45">
      <c r="A1853" s="58">
        <v>2019</v>
      </c>
      <c r="B1853" s="5" t="s">
        <v>58</v>
      </c>
      <c r="C1853" s="5" t="s">
        <v>31</v>
      </c>
      <c r="D1853" s="6">
        <v>66166</v>
      </c>
      <c r="E1853" s="61">
        <v>38365</v>
      </c>
      <c r="F1853" s="63" t="s">
        <v>81</v>
      </c>
    </row>
    <row r="1854" spans="1:6" x14ac:dyDescent="0.45">
      <c r="A1854" s="57">
        <v>2019</v>
      </c>
      <c r="B1854" s="3" t="s">
        <v>58</v>
      </c>
      <c r="C1854" s="3" t="s">
        <v>32</v>
      </c>
      <c r="D1854" s="4">
        <v>25235</v>
      </c>
      <c r="E1854" s="60">
        <v>25111</v>
      </c>
      <c r="F1854" s="63" t="s">
        <v>81</v>
      </c>
    </row>
    <row r="1855" spans="1:6" x14ac:dyDescent="0.45">
      <c r="A1855" s="58">
        <v>2019</v>
      </c>
      <c r="B1855" s="5" t="s">
        <v>58</v>
      </c>
      <c r="C1855" s="5" t="s">
        <v>33</v>
      </c>
      <c r="D1855" s="6">
        <v>2600</v>
      </c>
      <c r="E1855" s="61">
        <v>23400</v>
      </c>
      <c r="F1855" s="63" t="s">
        <v>82</v>
      </c>
    </row>
    <row r="1856" spans="1:6" x14ac:dyDescent="0.45">
      <c r="A1856" s="57">
        <v>2019</v>
      </c>
      <c r="B1856" s="3" t="s">
        <v>58</v>
      </c>
      <c r="C1856" s="3" t="s">
        <v>34</v>
      </c>
      <c r="D1856" s="4">
        <v>28218</v>
      </c>
      <c r="E1856" s="60">
        <v>24856</v>
      </c>
      <c r="F1856" s="63" t="s">
        <v>82</v>
      </c>
    </row>
    <row r="1857" spans="1:6" x14ac:dyDescent="0.45">
      <c r="A1857" s="58">
        <v>2019</v>
      </c>
      <c r="B1857" s="5" t="s">
        <v>58</v>
      </c>
      <c r="C1857" s="5" t="s">
        <v>35</v>
      </c>
      <c r="D1857" s="6">
        <v>8969</v>
      </c>
      <c r="E1857" s="61">
        <v>23729</v>
      </c>
      <c r="F1857" s="63" t="s">
        <v>81</v>
      </c>
    </row>
    <row r="1858" spans="1:6" x14ac:dyDescent="0.45">
      <c r="A1858" s="57">
        <v>2019</v>
      </c>
      <c r="B1858" s="3" t="s">
        <v>58</v>
      </c>
      <c r="C1858" s="3" t="s">
        <v>36</v>
      </c>
      <c r="D1858" s="4">
        <v>13588</v>
      </c>
      <c r="E1858" s="60">
        <v>27379</v>
      </c>
      <c r="F1858" s="63" t="s">
        <v>81</v>
      </c>
    </row>
    <row r="1859" spans="1:6" x14ac:dyDescent="0.45">
      <c r="A1859" s="58">
        <v>2019</v>
      </c>
      <c r="B1859" s="5" t="s">
        <v>58</v>
      </c>
      <c r="C1859" s="5" t="s">
        <v>37</v>
      </c>
      <c r="D1859" s="6">
        <v>33146</v>
      </c>
      <c r="E1859" s="61">
        <v>26389</v>
      </c>
      <c r="F1859" s="63" t="s">
        <v>82</v>
      </c>
    </row>
    <row r="1860" spans="1:6" x14ac:dyDescent="0.45">
      <c r="A1860" s="57">
        <v>2019</v>
      </c>
      <c r="B1860" s="3" t="s">
        <v>58</v>
      </c>
      <c r="C1860" s="3" t="s">
        <v>38</v>
      </c>
      <c r="D1860" s="4">
        <v>3683</v>
      </c>
      <c r="E1860" s="60">
        <v>28353</v>
      </c>
      <c r="F1860" s="63" t="s">
        <v>82</v>
      </c>
    </row>
    <row r="1861" spans="1:6" x14ac:dyDescent="0.45">
      <c r="A1861" s="58">
        <v>2019</v>
      </c>
      <c r="B1861" s="5" t="s">
        <v>58</v>
      </c>
      <c r="C1861" s="5" t="s">
        <v>39</v>
      </c>
      <c r="D1861" s="6">
        <v>12337</v>
      </c>
      <c r="E1861" s="61">
        <v>23885</v>
      </c>
      <c r="F1861" s="63" t="s">
        <v>82</v>
      </c>
    </row>
    <row r="1862" spans="1:6" x14ac:dyDescent="0.45">
      <c r="A1862" s="57">
        <v>2019</v>
      </c>
      <c r="B1862" s="3" t="s">
        <v>58</v>
      </c>
      <c r="C1862" s="3" t="s">
        <v>40</v>
      </c>
      <c r="D1862" s="4">
        <v>3109</v>
      </c>
      <c r="E1862" s="60">
        <v>22460</v>
      </c>
      <c r="F1862" s="63" t="s">
        <v>82</v>
      </c>
    </row>
    <row r="1863" spans="1:6" x14ac:dyDescent="0.45">
      <c r="A1863" s="58">
        <v>2019</v>
      </c>
      <c r="B1863" s="5" t="s">
        <v>58</v>
      </c>
      <c r="C1863" s="5" t="s">
        <v>41</v>
      </c>
      <c r="D1863" s="6">
        <v>15932</v>
      </c>
      <c r="E1863" s="61">
        <v>28398</v>
      </c>
      <c r="F1863" s="63" t="s">
        <v>82</v>
      </c>
    </row>
    <row r="1864" spans="1:6" x14ac:dyDescent="0.45">
      <c r="A1864" s="57">
        <v>2019</v>
      </c>
      <c r="B1864" s="3" t="s">
        <v>58</v>
      </c>
      <c r="C1864" s="3" t="s">
        <v>42</v>
      </c>
      <c r="D1864" s="4">
        <v>60744</v>
      </c>
      <c r="E1864" s="60">
        <v>27234</v>
      </c>
      <c r="F1864" s="63" t="s">
        <v>81</v>
      </c>
    </row>
    <row r="1865" spans="1:6" x14ac:dyDescent="0.45">
      <c r="A1865" s="58">
        <v>2019</v>
      </c>
      <c r="B1865" s="5" t="s">
        <v>58</v>
      </c>
      <c r="C1865" s="5" t="s">
        <v>43</v>
      </c>
      <c r="D1865" s="6">
        <v>7068</v>
      </c>
      <c r="E1865" s="61">
        <v>25510</v>
      </c>
      <c r="F1865" s="63" t="s">
        <v>81</v>
      </c>
    </row>
    <row r="1866" spans="1:6" x14ac:dyDescent="0.45">
      <c r="A1866" s="57">
        <v>2019</v>
      </c>
      <c r="B1866" s="3" t="s">
        <v>58</v>
      </c>
      <c r="C1866" s="3" t="s">
        <v>44</v>
      </c>
      <c r="D1866" s="4">
        <v>2266</v>
      </c>
      <c r="E1866" s="60">
        <v>28375</v>
      </c>
      <c r="F1866" s="63" t="s">
        <v>82</v>
      </c>
    </row>
    <row r="1867" spans="1:6" x14ac:dyDescent="0.45">
      <c r="A1867" s="58">
        <v>2019</v>
      </c>
      <c r="B1867" s="5" t="s">
        <v>58</v>
      </c>
      <c r="C1867" s="5" t="s">
        <v>45</v>
      </c>
      <c r="D1867" s="6">
        <v>20269</v>
      </c>
      <c r="E1867" s="61">
        <v>26078</v>
      </c>
      <c r="F1867" s="63" t="s">
        <v>81</v>
      </c>
    </row>
    <row r="1868" spans="1:6" x14ac:dyDescent="0.45">
      <c r="A1868" s="57">
        <v>2019</v>
      </c>
      <c r="B1868" s="3" t="s">
        <v>58</v>
      </c>
      <c r="C1868" s="3" t="s">
        <v>46</v>
      </c>
      <c r="D1868" s="4">
        <v>20065</v>
      </c>
      <c r="E1868" s="60">
        <v>30250</v>
      </c>
      <c r="F1868" s="63" t="s">
        <v>81</v>
      </c>
    </row>
    <row r="1869" spans="1:6" x14ac:dyDescent="0.45">
      <c r="A1869" s="58">
        <v>2019</v>
      </c>
      <c r="B1869" s="5" t="s">
        <v>58</v>
      </c>
      <c r="C1869" s="5" t="s">
        <v>47</v>
      </c>
      <c r="D1869" s="6">
        <v>4646</v>
      </c>
      <c r="E1869" s="61">
        <v>23335</v>
      </c>
      <c r="F1869" s="63" t="s">
        <v>82</v>
      </c>
    </row>
    <row r="1870" spans="1:6" x14ac:dyDescent="0.45">
      <c r="A1870" s="57">
        <v>2019</v>
      </c>
      <c r="B1870" s="3" t="s">
        <v>58</v>
      </c>
      <c r="C1870" s="3" t="s">
        <v>48</v>
      </c>
      <c r="D1870" s="4">
        <v>16599</v>
      </c>
      <c r="E1870" s="60">
        <v>23248</v>
      </c>
      <c r="F1870" s="63" t="s">
        <v>82</v>
      </c>
    </row>
    <row r="1871" spans="1:6" x14ac:dyDescent="0.45">
      <c r="A1871" s="58">
        <v>2019</v>
      </c>
      <c r="B1871" s="5" t="s">
        <v>58</v>
      </c>
      <c r="C1871" s="5" t="s">
        <v>49</v>
      </c>
      <c r="D1871" s="6">
        <v>2355</v>
      </c>
      <c r="E1871" s="61">
        <v>25867</v>
      </c>
      <c r="F1871" s="63" t="s">
        <v>81</v>
      </c>
    </row>
    <row r="1872" spans="1:6" x14ac:dyDescent="0.45">
      <c r="A1872" s="57">
        <v>2019</v>
      </c>
      <c r="B1872" s="3" t="s">
        <v>59</v>
      </c>
      <c r="C1872" s="3" t="s">
        <v>2</v>
      </c>
      <c r="D1872" s="4">
        <v>9603</v>
      </c>
      <c r="E1872" s="60">
        <v>42539</v>
      </c>
      <c r="F1872" s="63" t="s">
        <v>81</v>
      </c>
    </row>
    <row r="1873" spans="1:6" x14ac:dyDescent="0.45">
      <c r="A1873" s="58">
        <v>2019</v>
      </c>
      <c r="B1873" s="5" t="s">
        <v>59</v>
      </c>
      <c r="C1873" s="5" t="s">
        <v>3</v>
      </c>
      <c r="D1873" s="6">
        <v>10297</v>
      </c>
      <c r="E1873" s="61">
        <v>43061</v>
      </c>
      <c r="F1873" s="63" t="s">
        <v>82</v>
      </c>
    </row>
    <row r="1874" spans="1:6" x14ac:dyDescent="0.45">
      <c r="A1874" s="57">
        <v>2019</v>
      </c>
      <c r="B1874" s="3" t="s">
        <v>59</v>
      </c>
      <c r="C1874" s="3" t="s">
        <v>4</v>
      </c>
      <c r="D1874" s="4">
        <v>5315</v>
      </c>
      <c r="E1874" s="60">
        <v>39179</v>
      </c>
      <c r="F1874" s="63" t="s">
        <v>81</v>
      </c>
    </row>
    <row r="1875" spans="1:6" x14ac:dyDescent="0.45">
      <c r="A1875" s="58">
        <v>2019</v>
      </c>
      <c r="B1875" s="5" t="s">
        <v>59</v>
      </c>
      <c r="C1875" s="5" t="s">
        <v>5</v>
      </c>
      <c r="D1875" s="6">
        <v>88470</v>
      </c>
      <c r="E1875" s="61">
        <v>46412</v>
      </c>
      <c r="F1875" s="63" t="s">
        <v>82</v>
      </c>
    </row>
    <row r="1876" spans="1:6" x14ac:dyDescent="0.45">
      <c r="A1876" s="57">
        <v>2019</v>
      </c>
      <c r="B1876" s="3" t="s">
        <v>59</v>
      </c>
      <c r="C1876" s="3" t="s">
        <v>6</v>
      </c>
      <c r="D1876" s="4">
        <v>15777</v>
      </c>
      <c r="E1876" s="60">
        <v>45558</v>
      </c>
      <c r="F1876" s="63" t="s">
        <v>81</v>
      </c>
    </row>
    <row r="1877" spans="1:6" x14ac:dyDescent="0.45">
      <c r="A1877" s="58">
        <v>2019</v>
      </c>
      <c r="B1877" s="5" t="s">
        <v>59</v>
      </c>
      <c r="C1877" s="5" t="s">
        <v>7</v>
      </c>
      <c r="D1877" s="6">
        <v>16529</v>
      </c>
      <c r="E1877" s="61">
        <v>39397</v>
      </c>
      <c r="F1877" s="63" t="s">
        <v>81</v>
      </c>
    </row>
    <row r="1878" spans="1:6" x14ac:dyDescent="0.45">
      <c r="A1878" s="57">
        <v>2019</v>
      </c>
      <c r="B1878" s="3" t="s">
        <v>59</v>
      </c>
      <c r="C1878" s="3" t="s">
        <v>8</v>
      </c>
      <c r="D1878" s="4">
        <v>2003</v>
      </c>
      <c r="E1878" s="60">
        <v>39610</v>
      </c>
      <c r="F1878" s="63" t="s">
        <v>82</v>
      </c>
    </row>
    <row r="1879" spans="1:6" x14ac:dyDescent="0.45">
      <c r="A1879" s="58">
        <v>2019</v>
      </c>
      <c r="B1879" s="5" t="s">
        <v>59</v>
      </c>
      <c r="C1879" s="5" t="s">
        <v>9</v>
      </c>
      <c r="D1879" s="6">
        <v>54928</v>
      </c>
      <c r="E1879" s="61">
        <v>41319</v>
      </c>
      <c r="F1879" s="63" t="s">
        <v>82</v>
      </c>
    </row>
    <row r="1880" spans="1:6" x14ac:dyDescent="0.45">
      <c r="A1880" s="57">
        <v>2019</v>
      </c>
      <c r="B1880" s="3" t="s">
        <v>59</v>
      </c>
      <c r="C1880" s="3" t="s">
        <v>10</v>
      </c>
      <c r="D1880" s="4">
        <v>18097</v>
      </c>
      <c r="E1880" s="60">
        <v>41520</v>
      </c>
      <c r="F1880" s="63" t="s">
        <v>81</v>
      </c>
    </row>
    <row r="1881" spans="1:6" x14ac:dyDescent="0.45">
      <c r="A1881" s="58">
        <v>2019</v>
      </c>
      <c r="B1881" s="5" t="s">
        <v>59</v>
      </c>
      <c r="C1881" s="5" t="s">
        <v>11</v>
      </c>
      <c r="D1881" s="6">
        <v>3888</v>
      </c>
      <c r="E1881" s="61">
        <v>36056</v>
      </c>
      <c r="F1881" s="63" t="s">
        <v>81</v>
      </c>
    </row>
    <row r="1882" spans="1:6" x14ac:dyDescent="0.45">
      <c r="A1882" s="57">
        <v>2019</v>
      </c>
      <c r="B1882" s="3" t="s">
        <v>59</v>
      </c>
      <c r="C1882" s="3" t="s">
        <v>12</v>
      </c>
      <c r="D1882" s="4">
        <v>39500</v>
      </c>
      <c r="E1882" s="60">
        <v>47240</v>
      </c>
      <c r="F1882" s="63" t="s">
        <v>82</v>
      </c>
    </row>
    <row r="1883" spans="1:6" x14ac:dyDescent="0.45">
      <c r="A1883" s="58">
        <v>2019</v>
      </c>
      <c r="B1883" s="5" t="s">
        <v>59</v>
      </c>
      <c r="C1883" s="5" t="s">
        <v>13</v>
      </c>
      <c r="D1883" s="6">
        <v>13113</v>
      </c>
      <c r="E1883" s="61">
        <v>37882</v>
      </c>
      <c r="F1883" s="63" t="s">
        <v>82</v>
      </c>
    </row>
    <row r="1884" spans="1:6" x14ac:dyDescent="0.45">
      <c r="A1884" s="57">
        <v>2019</v>
      </c>
      <c r="B1884" s="3" t="s">
        <v>59</v>
      </c>
      <c r="C1884" s="3" t="s">
        <v>14</v>
      </c>
      <c r="D1884" s="4">
        <v>8710</v>
      </c>
      <c r="E1884" s="60">
        <v>39069</v>
      </c>
      <c r="F1884" s="63" t="s">
        <v>82</v>
      </c>
    </row>
    <row r="1885" spans="1:6" x14ac:dyDescent="0.45">
      <c r="A1885" s="58">
        <v>2019</v>
      </c>
      <c r="B1885" s="5" t="s">
        <v>59</v>
      </c>
      <c r="C1885" s="5" t="s">
        <v>15</v>
      </c>
      <c r="D1885" s="6">
        <v>6031</v>
      </c>
      <c r="E1885" s="61">
        <v>39575</v>
      </c>
      <c r="F1885" s="63" t="s">
        <v>82</v>
      </c>
    </row>
    <row r="1886" spans="1:6" x14ac:dyDescent="0.45">
      <c r="A1886" s="57">
        <v>2019</v>
      </c>
      <c r="B1886" s="3" t="s">
        <v>59</v>
      </c>
      <c r="C1886" s="3" t="s">
        <v>16</v>
      </c>
      <c r="D1886" s="4">
        <v>10912</v>
      </c>
      <c r="E1886" s="60">
        <v>38330</v>
      </c>
      <c r="F1886" s="63" t="s">
        <v>82</v>
      </c>
    </row>
    <row r="1887" spans="1:6" x14ac:dyDescent="0.45">
      <c r="A1887" s="58">
        <v>2019</v>
      </c>
      <c r="B1887" s="5" t="s">
        <v>59</v>
      </c>
      <c r="C1887" s="5" t="s">
        <v>17</v>
      </c>
      <c r="D1887" s="6">
        <v>9250</v>
      </c>
      <c r="E1887" s="61">
        <v>42468</v>
      </c>
      <c r="F1887" s="63" t="s">
        <v>81</v>
      </c>
    </row>
    <row r="1888" spans="1:6" x14ac:dyDescent="0.45">
      <c r="A1888" s="57">
        <v>2019</v>
      </c>
      <c r="B1888" s="3" t="s">
        <v>59</v>
      </c>
      <c r="C1888" s="3" t="s">
        <v>18</v>
      </c>
      <c r="D1888" s="4">
        <v>4028</v>
      </c>
      <c r="E1888" s="60">
        <v>38993</v>
      </c>
      <c r="F1888" s="63" t="s">
        <v>81</v>
      </c>
    </row>
    <row r="1889" spans="1:6" x14ac:dyDescent="0.45">
      <c r="A1889" s="58">
        <v>2019</v>
      </c>
      <c r="B1889" s="5" t="s">
        <v>59</v>
      </c>
      <c r="C1889" s="5" t="s">
        <v>19</v>
      </c>
      <c r="D1889" s="6">
        <v>19506</v>
      </c>
      <c r="E1889" s="61">
        <v>47793</v>
      </c>
      <c r="F1889" s="63" t="s">
        <v>82</v>
      </c>
    </row>
    <row r="1890" spans="1:6" x14ac:dyDescent="0.45">
      <c r="A1890" s="57">
        <v>2019</v>
      </c>
      <c r="B1890" s="3" t="s">
        <v>59</v>
      </c>
      <c r="C1890" s="3" t="s">
        <v>20</v>
      </c>
      <c r="D1890" s="4">
        <v>21677</v>
      </c>
      <c r="E1890" s="60">
        <v>43032</v>
      </c>
      <c r="F1890" s="63" t="s">
        <v>81</v>
      </c>
    </row>
    <row r="1891" spans="1:6" x14ac:dyDescent="0.45">
      <c r="A1891" s="58">
        <v>2019</v>
      </c>
      <c r="B1891" s="5" t="s">
        <v>59</v>
      </c>
      <c r="C1891" s="5" t="s">
        <v>21</v>
      </c>
      <c r="D1891" s="6">
        <v>29930</v>
      </c>
      <c r="E1891" s="61">
        <v>38157</v>
      </c>
      <c r="F1891" s="63" t="s">
        <v>81</v>
      </c>
    </row>
    <row r="1892" spans="1:6" x14ac:dyDescent="0.45">
      <c r="A1892" s="57">
        <v>2019</v>
      </c>
      <c r="B1892" s="3" t="s">
        <v>59</v>
      </c>
      <c r="C1892" s="3" t="s">
        <v>22</v>
      </c>
      <c r="D1892" s="4">
        <v>16226</v>
      </c>
      <c r="E1892" s="60">
        <v>39237</v>
      </c>
      <c r="F1892" s="63" t="s">
        <v>82</v>
      </c>
    </row>
    <row r="1893" spans="1:6" x14ac:dyDescent="0.45">
      <c r="A1893" s="58">
        <v>2019</v>
      </c>
      <c r="B1893" s="5" t="s">
        <v>59</v>
      </c>
      <c r="C1893" s="5" t="s">
        <v>23</v>
      </c>
      <c r="D1893" s="6">
        <v>4726</v>
      </c>
      <c r="E1893" s="61">
        <v>39958</v>
      </c>
      <c r="F1893" s="63" t="s">
        <v>82</v>
      </c>
    </row>
    <row r="1894" spans="1:6" x14ac:dyDescent="0.45">
      <c r="A1894" s="57">
        <v>2019</v>
      </c>
      <c r="B1894" s="3" t="s">
        <v>59</v>
      </c>
      <c r="C1894" s="3" t="s">
        <v>24</v>
      </c>
      <c r="D1894" s="4">
        <v>13734</v>
      </c>
      <c r="E1894" s="60">
        <v>38705</v>
      </c>
      <c r="F1894" s="63" t="s">
        <v>81</v>
      </c>
    </row>
    <row r="1895" spans="1:6" x14ac:dyDescent="0.45">
      <c r="A1895" s="58">
        <v>2019</v>
      </c>
      <c r="B1895" s="5" t="s">
        <v>59</v>
      </c>
      <c r="C1895" s="5" t="s">
        <v>25</v>
      </c>
      <c r="D1895" s="6">
        <v>4094</v>
      </c>
      <c r="E1895" s="61">
        <v>35177</v>
      </c>
      <c r="F1895" s="63" t="s">
        <v>81</v>
      </c>
    </row>
    <row r="1896" spans="1:6" x14ac:dyDescent="0.45">
      <c r="A1896" s="57">
        <v>2019</v>
      </c>
      <c r="B1896" s="3" t="s">
        <v>59</v>
      </c>
      <c r="C1896" s="3" t="s">
        <v>26</v>
      </c>
      <c r="D1896" s="4">
        <v>4671</v>
      </c>
      <c r="E1896" s="60">
        <v>37310</v>
      </c>
      <c r="F1896" s="63" t="s">
        <v>82</v>
      </c>
    </row>
    <row r="1897" spans="1:6" x14ac:dyDescent="0.45">
      <c r="A1897" s="58">
        <v>2019</v>
      </c>
      <c r="B1897" s="5" t="s">
        <v>59</v>
      </c>
      <c r="C1897" s="5" t="s">
        <v>27</v>
      </c>
      <c r="D1897" s="6">
        <v>4959</v>
      </c>
      <c r="E1897" s="61">
        <v>42336</v>
      </c>
      <c r="F1897" s="63" t="s">
        <v>81</v>
      </c>
    </row>
    <row r="1898" spans="1:6" x14ac:dyDescent="0.45">
      <c r="A1898" s="57">
        <v>2019</v>
      </c>
      <c r="B1898" s="3" t="s">
        <v>59</v>
      </c>
      <c r="C1898" s="3" t="s">
        <v>28</v>
      </c>
      <c r="D1898" s="4">
        <v>3871</v>
      </c>
      <c r="E1898" s="60">
        <v>42646</v>
      </c>
      <c r="F1898" s="63" t="s">
        <v>82</v>
      </c>
    </row>
    <row r="1899" spans="1:6" x14ac:dyDescent="0.45">
      <c r="A1899" s="58">
        <v>2019</v>
      </c>
      <c r="B1899" s="5" t="s">
        <v>59</v>
      </c>
      <c r="C1899" s="5" t="s">
        <v>29</v>
      </c>
      <c r="D1899" s="6">
        <v>25881</v>
      </c>
      <c r="E1899" s="61">
        <v>41059</v>
      </c>
      <c r="F1899" s="63" t="s">
        <v>81</v>
      </c>
    </row>
    <row r="1900" spans="1:6" x14ac:dyDescent="0.45">
      <c r="A1900" s="57">
        <v>2019</v>
      </c>
      <c r="B1900" s="3" t="s">
        <v>59</v>
      </c>
      <c r="C1900" s="3" t="s">
        <v>30</v>
      </c>
      <c r="D1900" s="4">
        <v>3961</v>
      </c>
      <c r="E1900" s="60">
        <v>38578</v>
      </c>
      <c r="F1900" s="63" t="s">
        <v>81</v>
      </c>
    </row>
    <row r="1901" spans="1:6" x14ac:dyDescent="0.45">
      <c r="A1901" s="58">
        <v>2019</v>
      </c>
      <c r="B1901" s="5" t="s">
        <v>59</v>
      </c>
      <c r="C1901" s="5" t="s">
        <v>31</v>
      </c>
      <c r="D1901" s="6">
        <v>74536</v>
      </c>
      <c r="E1901" s="61">
        <v>46436</v>
      </c>
      <c r="F1901" s="63" t="s">
        <v>82</v>
      </c>
    </row>
    <row r="1902" spans="1:6" x14ac:dyDescent="0.45">
      <c r="A1902" s="57">
        <v>2019</v>
      </c>
      <c r="B1902" s="3" t="s">
        <v>59</v>
      </c>
      <c r="C1902" s="3" t="s">
        <v>32</v>
      </c>
      <c r="D1902" s="4">
        <v>23024</v>
      </c>
      <c r="E1902" s="60">
        <v>39978</v>
      </c>
      <c r="F1902" s="63" t="s">
        <v>82</v>
      </c>
    </row>
    <row r="1903" spans="1:6" x14ac:dyDescent="0.45">
      <c r="A1903" s="58">
        <v>2019</v>
      </c>
      <c r="B1903" s="5" t="s">
        <v>59</v>
      </c>
      <c r="C1903" s="5" t="s">
        <v>33</v>
      </c>
      <c r="D1903" s="6">
        <v>2040</v>
      </c>
      <c r="E1903" s="61">
        <v>40167</v>
      </c>
      <c r="F1903" s="63" t="s">
        <v>81</v>
      </c>
    </row>
    <row r="1904" spans="1:6" x14ac:dyDescent="0.45">
      <c r="A1904" s="57">
        <v>2019</v>
      </c>
      <c r="B1904" s="3" t="s">
        <v>59</v>
      </c>
      <c r="C1904" s="3" t="s">
        <v>34</v>
      </c>
      <c r="D1904" s="4">
        <v>23601</v>
      </c>
      <c r="E1904" s="60">
        <v>39039</v>
      </c>
      <c r="F1904" s="63" t="s">
        <v>81</v>
      </c>
    </row>
    <row r="1905" spans="1:6" x14ac:dyDescent="0.45">
      <c r="A1905" s="58">
        <v>2019</v>
      </c>
      <c r="B1905" s="5" t="s">
        <v>59</v>
      </c>
      <c r="C1905" s="5" t="s">
        <v>35</v>
      </c>
      <c r="D1905" s="6">
        <v>6751</v>
      </c>
      <c r="E1905" s="61">
        <v>40306</v>
      </c>
      <c r="F1905" s="63" t="s">
        <v>82</v>
      </c>
    </row>
    <row r="1906" spans="1:6" x14ac:dyDescent="0.45">
      <c r="A1906" s="57">
        <v>2019</v>
      </c>
      <c r="B1906" s="3" t="s">
        <v>59</v>
      </c>
      <c r="C1906" s="3" t="s">
        <v>36</v>
      </c>
      <c r="D1906" s="4">
        <v>22753</v>
      </c>
      <c r="E1906" s="60">
        <v>37901</v>
      </c>
      <c r="F1906" s="63" t="s">
        <v>82</v>
      </c>
    </row>
    <row r="1907" spans="1:6" x14ac:dyDescent="0.45">
      <c r="A1907" s="58">
        <v>2019</v>
      </c>
      <c r="B1907" s="5" t="s">
        <v>59</v>
      </c>
      <c r="C1907" s="5" t="s">
        <v>37</v>
      </c>
      <c r="D1907" s="6">
        <v>32259</v>
      </c>
      <c r="E1907" s="61">
        <v>38593</v>
      </c>
      <c r="F1907" s="63" t="s">
        <v>82</v>
      </c>
    </row>
    <row r="1908" spans="1:6" x14ac:dyDescent="0.45">
      <c r="A1908" s="57">
        <v>2019</v>
      </c>
      <c r="B1908" s="3" t="s">
        <v>59</v>
      </c>
      <c r="C1908" s="3" t="s">
        <v>38</v>
      </c>
      <c r="D1908" s="4">
        <v>3395</v>
      </c>
      <c r="E1908" s="60">
        <v>38566</v>
      </c>
      <c r="F1908" s="63" t="s">
        <v>82</v>
      </c>
    </row>
    <row r="1909" spans="1:6" x14ac:dyDescent="0.45">
      <c r="A1909" s="58">
        <v>2019</v>
      </c>
      <c r="B1909" s="5" t="s">
        <v>59</v>
      </c>
      <c r="C1909" s="5" t="s">
        <v>39</v>
      </c>
      <c r="D1909" s="6">
        <v>11490</v>
      </c>
      <c r="E1909" s="61">
        <v>38842</v>
      </c>
      <c r="F1909" s="63" t="s">
        <v>82</v>
      </c>
    </row>
    <row r="1910" spans="1:6" x14ac:dyDescent="0.45">
      <c r="A1910" s="57">
        <v>2019</v>
      </c>
      <c r="B1910" s="3" t="s">
        <v>59</v>
      </c>
      <c r="C1910" s="3" t="s">
        <v>40</v>
      </c>
      <c r="D1910" s="4">
        <v>2171</v>
      </c>
      <c r="E1910" s="60">
        <v>37403</v>
      </c>
      <c r="F1910" s="63" t="s">
        <v>81</v>
      </c>
    </row>
    <row r="1911" spans="1:6" x14ac:dyDescent="0.45">
      <c r="A1911" s="58">
        <v>2019</v>
      </c>
      <c r="B1911" s="5" t="s">
        <v>59</v>
      </c>
      <c r="C1911" s="5" t="s">
        <v>41</v>
      </c>
      <c r="D1911" s="6">
        <v>14618</v>
      </c>
      <c r="E1911" s="61">
        <v>40443</v>
      </c>
      <c r="F1911" s="63" t="s">
        <v>81</v>
      </c>
    </row>
    <row r="1912" spans="1:6" x14ac:dyDescent="0.45">
      <c r="A1912" s="57">
        <v>2019</v>
      </c>
      <c r="B1912" s="3" t="s">
        <v>59</v>
      </c>
      <c r="C1912" s="3" t="s">
        <v>42</v>
      </c>
      <c r="D1912" s="4">
        <v>56060</v>
      </c>
      <c r="E1912" s="60">
        <v>43841</v>
      </c>
      <c r="F1912" s="63" t="s">
        <v>82</v>
      </c>
    </row>
    <row r="1913" spans="1:6" x14ac:dyDescent="0.45">
      <c r="A1913" s="58">
        <v>2019</v>
      </c>
      <c r="B1913" s="5" t="s">
        <v>59</v>
      </c>
      <c r="C1913" s="5" t="s">
        <v>43</v>
      </c>
      <c r="D1913" s="6">
        <v>6084</v>
      </c>
      <c r="E1913" s="61">
        <v>40421</v>
      </c>
      <c r="F1913" s="63" t="s">
        <v>81</v>
      </c>
    </row>
    <row r="1914" spans="1:6" x14ac:dyDescent="0.45">
      <c r="A1914" s="57">
        <v>2019</v>
      </c>
      <c r="B1914" s="3" t="s">
        <v>59</v>
      </c>
      <c r="C1914" s="3" t="s">
        <v>44</v>
      </c>
      <c r="D1914" s="4">
        <v>1958</v>
      </c>
      <c r="E1914" s="60">
        <v>40757</v>
      </c>
      <c r="F1914" s="63" t="s">
        <v>81</v>
      </c>
    </row>
    <row r="1915" spans="1:6" x14ac:dyDescent="0.45">
      <c r="A1915" s="58">
        <v>2019</v>
      </c>
      <c r="B1915" s="5" t="s">
        <v>59</v>
      </c>
      <c r="C1915" s="5" t="s">
        <v>45</v>
      </c>
      <c r="D1915" s="6">
        <v>32154</v>
      </c>
      <c r="E1915" s="61">
        <v>48290</v>
      </c>
      <c r="F1915" s="63" t="s">
        <v>82</v>
      </c>
    </row>
    <row r="1916" spans="1:6" x14ac:dyDescent="0.45">
      <c r="A1916" s="57">
        <v>2019</v>
      </c>
      <c r="B1916" s="3" t="s">
        <v>59</v>
      </c>
      <c r="C1916" s="3" t="s">
        <v>46</v>
      </c>
      <c r="D1916" s="4">
        <v>19701</v>
      </c>
      <c r="E1916" s="60">
        <v>44822</v>
      </c>
      <c r="F1916" s="63" t="s">
        <v>82</v>
      </c>
    </row>
    <row r="1917" spans="1:6" x14ac:dyDescent="0.45">
      <c r="A1917" s="58">
        <v>2019</v>
      </c>
      <c r="B1917" s="5" t="s">
        <v>59</v>
      </c>
      <c r="C1917" s="5" t="s">
        <v>47</v>
      </c>
      <c r="D1917" s="6">
        <v>5237</v>
      </c>
      <c r="E1917" s="61">
        <v>35927</v>
      </c>
      <c r="F1917" s="63" t="s">
        <v>81</v>
      </c>
    </row>
    <row r="1918" spans="1:6" x14ac:dyDescent="0.45">
      <c r="A1918" s="57">
        <v>2019</v>
      </c>
      <c r="B1918" s="3" t="s">
        <v>59</v>
      </c>
      <c r="C1918" s="3" t="s">
        <v>48</v>
      </c>
      <c r="D1918" s="4">
        <v>14001</v>
      </c>
      <c r="E1918" s="60">
        <v>35242</v>
      </c>
      <c r="F1918" s="63" t="s">
        <v>81</v>
      </c>
    </row>
    <row r="1919" spans="1:6" x14ac:dyDescent="0.45">
      <c r="A1919" s="59">
        <v>2019</v>
      </c>
      <c r="B1919" s="7" t="s">
        <v>59</v>
      </c>
      <c r="C1919" s="7" t="s">
        <v>49</v>
      </c>
      <c r="D1919" s="8">
        <v>1656</v>
      </c>
      <c r="E1919" s="62">
        <v>41035</v>
      </c>
      <c r="F1919" s="63" t="s">
        <v>82</v>
      </c>
    </row>
    <row r="1920" spans="1:6" x14ac:dyDescent="0.45">
      <c r="A1920" s="58">
        <v>2019</v>
      </c>
      <c r="B1920" s="5" t="s">
        <v>59</v>
      </c>
      <c r="C1920" s="5" t="s">
        <v>39</v>
      </c>
      <c r="D1920" s="6">
        <v>11490</v>
      </c>
      <c r="E1920" s="61">
        <v>38842</v>
      </c>
      <c r="F1920" s="63" t="s">
        <v>81</v>
      </c>
    </row>
    <row r="1921" spans="1:6" x14ac:dyDescent="0.45">
      <c r="A1921" s="57">
        <v>2019</v>
      </c>
      <c r="B1921" s="3" t="s">
        <v>59</v>
      </c>
      <c r="C1921" s="3" t="s">
        <v>40</v>
      </c>
      <c r="D1921" s="4">
        <v>2171</v>
      </c>
      <c r="E1921" s="60">
        <v>37403</v>
      </c>
      <c r="F1921" s="63" t="s">
        <v>82</v>
      </c>
    </row>
    <row r="1922" spans="1:6" x14ac:dyDescent="0.45">
      <c r="A1922" s="58">
        <v>2019</v>
      </c>
      <c r="B1922" s="5" t="s">
        <v>59</v>
      </c>
      <c r="C1922" s="5" t="s">
        <v>41</v>
      </c>
      <c r="D1922" s="6">
        <v>14618</v>
      </c>
      <c r="E1922" s="61">
        <v>40443</v>
      </c>
      <c r="F1922" s="63" t="s">
        <v>81</v>
      </c>
    </row>
    <row r="1923" spans="1:6" x14ac:dyDescent="0.45">
      <c r="A1923" s="57">
        <v>2019</v>
      </c>
      <c r="B1923" s="3" t="s">
        <v>59</v>
      </c>
      <c r="C1923" s="3" t="s">
        <v>42</v>
      </c>
      <c r="D1923" s="4">
        <v>56060</v>
      </c>
      <c r="E1923" s="60">
        <v>43841</v>
      </c>
      <c r="F1923" s="63" t="s">
        <v>81</v>
      </c>
    </row>
    <row r="1924" spans="1:6" x14ac:dyDescent="0.45">
      <c r="A1924" s="58">
        <v>2019</v>
      </c>
      <c r="B1924" s="5" t="s">
        <v>59</v>
      </c>
      <c r="C1924" s="5" t="s">
        <v>43</v>
      </c>
      <c r="D1924" s="6">
        <v>6084</v>
      </c>
      <c r="E1924" s="61">
        <v>40421</v>
      </c>
      <c r="F1924" s="63" t="s">
        <v>82</v>
      </c>
    </row>
    <row r="1925" spans="1:6" x14ac:dyDescent="0.45">
      <c r="A1925" s="57">
        <v>2019</v>
      </c>
      <c r="B1925" s="3" t="s">
        <v>59</v>
      </c>
      <c r="C1925" s="3" t="s">
        <v>44</v>
      </c>
      <c r="D1925" s="4">
        <v>1958</v>
      </c>
      <c r="E1925" s="60">
        <v>40757</v>
      </c>
      <c r="F1925" s="63" t="s">
        <v>82</v>
      </c>
    </row>
    <row r="1926" spans="1:6" x14ac:dyDescent="0.45">
      <c r="A1926" s="58">
        <v>2019</v>
      </c>
      <c r="B1926" s="5" t="s">
        <v>59</v>
      </c>
      <c r="C1926" s="5" t="s">
        <v>45</v>
      </c>
      <c r="D1926" s="6">
        <v>32154</v>
      </c>
      <c r="E1926" s="61">
        <v>48290</v>
      </c>
      <c r="F1926" s="63" t="s">
        <v>81</v>
      </c>
    </row>
    <row r="1927" spans="1:6" x14ac:dyDescent="0.45">
      <c r="A1927" s="57">
        <v>2019</v>
      </c>
      <c r="B1927" s="3" t="s">
        <v>59</v>
      </c>
      <c r="C1927" s="3" t="s">
        <v>46</v>
      </c>
      <c r="D1927" s="4">
        <v>19701</v>
      </c>
      <c r="E1927" s="60">
        <v>44822</v>
      </c>
      <c r="F1927" s="63" t="s">
        <v>81</v>
      </c>
    </row>
    <row r="1928" spans="1:6" x14ac:dyDescent="0.45">
      <c r="A1928" s="58">
        <v>2019</v>
      </c>
      <c r="B1928" s="5" t="s">
        <v>59</v>
      </c>
      <c r="C1928" s="5" t="s">
        <v>47</v>
      </c>
      <c r="D1928" s="6">
        <v>5237</v>
      </c>
      <c r="E1928" s="61">
        <v>35927</v>
      </c>
      <c r="F1928" s="63" t="s">
        <v>82</v>
      </c>
    </row>
    <row r="1929" spans="1:6" x14ac:dyDescent="0.45">
      <c r="A1929" s="57">
        <v>2019</v>
      </c>
      <c r="B1929" s="3" t="s">
        <v>59</v>
      </c>
      <c r="C1929" s="3" t="s">
        <v>48</v>
      </c>
      <c r="D1929" s="4">
        <v>14001</v>
      </c>
      <c r="E1929" s="60">
        <v>35242</v>
      </c>
      <c r="F1929" s="63" t="s">
        <v>82</v>
      </c>
    </row>
    <row r="1930" spans="1:6" x14ac:dyDescent="0.45">
      <c r="A1930" s="59">
        <v>2019</v>
      </c>
      <c r="B1930" s="7" t="s">
        <v>59</v>
      </c>
      <c r="C1930" s="7" t="s">
        <v>49</v>
      </c>
      <c r="D1930" s="8">
        <v>1656</v>
      </c>
      <c r="E1930" s="62">
        <v>41035</v>
      </c>
      <c r="F1930" s="63" t="s">
        <v>82</v>
      </c>
    </row>
    <row r="1931" spans="1:6" x14ac:dyDescent="0.45">
      <c r="A1931" s="57">
        <v>2019</v>
      </c>
      <c r="B1931" s="3" t="s">
        <v>57</v>
      </c>
      <c r="C1931" s="3" t="s">
        <v>36</v>
      </c>
      <c r="D1931" s="4">
        <v>15363</v>
      </c>
      <c r="E1931" s="60">
        <v>56908</v>
      </c>
      <c r="F1931" s="63" t="s">
        <v>82</v>
      </c>
    </row>
    <row r="1932" spans="1:6" x14ac:dyDescent="0.45">
      <c r="A1932" s="58">
        <v>2019</v>
      </c>
      <c r="B1932" s="5" t="s">
        <v>57</v>
      </c>
      <c r="C1932" s="5" t="s">
        <v>37</v>
      </c>
      <c r="D1932" s="6">
        <v>58709</v>
      </c>
      <c r="E1932" s="61">
        <v>56500</v>
      </c>
      <c r="F1932" s="63" t="s">
        <v>82</v>
      </c>
    </row>
    <row r="1933" spans="1:6" x14ac:dyDescent="0.45">
      <c r="A1933" s="57">
        <v>2019</v>
      </c>
      <c r="B1933" s="3" t="s">
        <v>57</v>
      </c>
      <c r="C1933" s="3" t="s">
        <v>38</v>
      </c>
      <c r="D1933" s="4">
        <v>4485</v>
      </c>
      <c r="E1933" s="60">
        <v>53941</v>
      </c>
      <c r="F1933" s="63" t="s">
        <v>81</v>
      </c>
    </row>
    <row r="1934" spans="1:6" x14ac:dyDescent="0.45">
      <c r="A1934" s="58">
        <v>2019</v>
      </c>
      <c r="B1934" s="5" t="s">
        <v>57</v>
      </c>
      <c r="C1934" s="5" t="s">
        <v>39</v>
      </c>
      <c r="D1934" s="6">
        <v>11574</v>
      </c>
      <c r="E1934" s="61">
        <v>51624</v>
      </c>
      <c r="F1934" s="63" t="s">
        <v>81</v>
      </c>
    </row>
    <row r="1935" spans="1:6" x14ac:dyDescent="0.45">
      <c r="A1935" s="57">
        <v>2019</v>
      </c>
      <c r="B1935" s="3" t="s">
        <v>57</v>
      </c>
      <c r="C1935" s="3" t="s">
        <v>40</v>
      </c>
      <c r="D1935" s="4">
        <v>2732</v>
      </c>
      <c r="E1935" s="60">
        <v>55512</v>
      </c>
      <c r="F1935" s="63" t="s">
        <v>82</v>
      </c>
    </row>
    <row r="1936" spans="1:6" x14ac:dyDescent="0.45">
      <c r="A1936" s="58">
        <v>2019</v>
      </c>
      <c r="B1936" s="5" t="s">
        <v>57</v>
      </c>
      <c r="C1936" s="5" t="s">
        <v>41</v>
      </c>
      <c r="D1936" s="6">
        <v>15761</v>
      </c>
      <c r="E1936" s="61">
        <v>56938</v>
      </c>
      <c r="F1936" s="63" t="s">
        <v>81</v>
      </c>
    </row>
    <row r="1937" spans="1:6" x14ac:dyDescent="0.45">
      <c r="A1937" s="57">
        <v>2019</v>
      </c>
      <c r="B1937" s="3" t="s">
        <v>57</v>
      </c>
      <c r="C1937" s="3" t="s">
        <v>42</v>
      </c>
      <c r="D1937" s="4">
        <v>87635</v>
      </c>
      <c r="E1937" s="60">
        <v>53096</v>
      </c>
      <c r="F1937" s="63" t="s">
        <v>81</v>
      </c>
    </row>
    <row r="1938" spans="1:6" x14ac:dyDescent="0.45">
      <c r="A1938" s="58">
        <v>2019</v>
      </c>
      <c r="B1938" s="5" t="s">
        <v>57</v>
      </c>
      <c r="C1938" s="5" t="s">
        <v>43</v>
      </c>
      <c r="D1938" s="6">
        <v>11679</v>
      </c>
      <c r="E1938" s="61">
        <v>48492</v>
      </c>
      <c r="F1938" s="63" t="s">
        <v>82</v>
      </c>
    </row>
    <row r="1939" spans="1:6" x14ac:dyDescent="0.45">
      <c r="A1939" s="57">
        <v>2019</v>
      </c>
      <c r="B1939" s="3" t="s">
        <v>57</v>
      </c>
      <c r="C1939" s="3" t="s">
        <v>44</v>
      </c>
      <c r="D1939" s="4">
        <v>2460</v>
      </c>
      <c r="E1939" s="60">
        <v>51259</v>
      </c>
      <c r="F1939" s="63" t="s">
        <v>82</v>
      </c>
    </row>
    <row r="1940" spans="1:6" x14ac:dyDescent="0.45">
      <c r="A1940" s="58">
        <v>2019</v>
      </c>
      <c r="B1940" s="5" t="s">
        <v>57</v>
      </c>
      <c r="C1940" s="5" t="s">
        <v>45</v>
      </c>
      <c r="D1940" s="6">
        <v>42910</v>
      </c>
      <c r="E1940" s="61">
        <v>54573</v>
      </c>
      <c r="F1940" s="63" t="s">
        <v>81</v>
      </c>
    </row>
    <row r="1941" spans="1:6" x14ac:dyDescent="0.45">
      <c r="A1941" s="57">
        <v>2019</v>
      </c>
      <c r="B1941" s="3" t="s">
        <v>57</v>
      </c>
      <c r="C1941" s="3" t="s">
        <v>46</v>
      </c>
      <c r="D1941" s="4">
        <v>56689</v>
      </c>
      <c r="E1941" s="60">
        <v>55782</v>
      </c>
      <c r="F1941" s="63" t="s">
        <v>81</v>
      </c>
    </row>
    <row r="1942" spans="1:6" x14ac:dyDescent="0.45">
      <c r="A1942" s="58">
        <v>2019</v>
      </c>
      <c r="B1942" s="5" t="s">
        <v>57</v>
      </c>
      <c r="C1942" s="5" t="s">
        <v>47</v>
      </c>
      <c r="D1942" s="6">
        <v>5679</v>
      </c>
      <c r="E1942" s="61">
        <v>50732</v>
      </c>
      <c r="F1942" s="63" t="s">
        <v>82</v>
      </c>
    </row>
    <row r="1943" spans="1:6" x14ac:dyDescent="0.45">
      <c r="A1943" s="57">
        <v>2019</v>
      </c>
      <c r="B1943" s="3" t="s">
        <v>57</v>
      </c>
      <c r="C1943" s="3" t="s">
        <v>48</v>
      </c>
      <c r="D1943" s="4">
        <v>25989</v>
      </c>
      <c r="E1943" s="60">
        <v>53663</v>
      </c>
      <c r="F1943" s="63" t="s">
        <v>81</v>
      </c>
    </row>
    <row r="1944" spans="1:6" x14ac:dyDescent="0.45">
      <c r="A1944" s="58">
        <v>2019</v>
      </c>
      <c r="B1944" s="5" t="s">
        <v>57</v>
      </c>
      <c r="C1944" s="5" t="s">
        <v>49</v>
      </c>
      <c r="D1944" s="6">
        <v>3268</v>
      </c>
      <c r="E1944" s="61">
        <v>47913</v>
      </c>
      <c r="F1944" s="63" t="s">
        <v>82</v>
      </c>
    </row>
    <row r="1945" spans="1:6" x14ac:dyDescent="0.45">
      <c r="A1945" s="57">
        <v>2019</v>
      </c>
      <c r="B1945" s="3" t="s">
        <v>58</v>
      </c>
      <c r="C1945" s="3" t="s">
        <v>2</v>
      </c>
      <c r="D1945" s="4">
        <v>10741</v>
      </c>
      <c r="E1945" s="60">
        <v>22222</v>
      </c>
      <c r="F1945" s="63" t="s">
        <v>81</v>
      </c>
    </row>
    <row r="1946" spans="1:6" x14ac:dyDescent="0.45">
      <c r="A1946" s="58">
        <v>2019</v>
      </c>
      <c r="B1946" s="5" t="s">
        <v>58</v>
      </c>
      <c r="C1946" s="5" t="s">
        <v>3</v>
      </c>
      <c r="D1946" s="6">
        <v>12771</v>
      </c>
      <c r="E1946" s="61">
        <v>29505</v>
      </c>
      <c r="F1946" s="63" t="s">
        <v>81</v>
      </c>
    </row>
    <row r="1947" spans="1:6" x14ac:dyDescent="0.45">
      <c r="A1947" s="57">
        <v>2019</v>
      </c>
      <c r="B1947" s="3" t="s">
        <v>58</v>
      </c>
      <c r="C1947" s="3" t="s">
        <v>4</v>
      </c>
      <c r="D1947" s="4">
        <v>7024</v>
      </c>
      <c r="E1947" s="60">
        <v>22181</v>
      </c>
      <c r="F1947" s="63" t="s">
        <v>82</v>
      </c>
    </row>
    <row r="1948" spans="1:6" x14ac:dyDescent="0.45">
      <c r="A1948" s="58">
        <v>2019</v>
      </c>
      <c r="B1948" s="5" t="s">
        <v>58</v>
      </c>
      <c r="C1948" s="5" t="s">
        <v>5</v>
      </c>
      <c r="D1948" s="6">
        <v>103495</v>
      </c>
      <c r="E1948" s="61">
        <v>35214</v>
      </c>
      <c r="F1948" s="63" t="s">
        <v>82</v>
      </c>
    </row>
    <row r="1949" spans="1:6" x14ac:dyDescent="0.45">
      <c r="A1949" s="57">
        <v>2019</v>
      </c>
      <c r="B1949" s="3" t="s">
        <v>58</v>
      </c>
      <c r="C1949" s="3" t="s">
        <v>6</v>
      </c>
      <c r="D1949" s="4">
        <v>16627</v>
      </c>
      <c r="E1949" s="60">
        <v>30462</v>
      </c>
      <c r="F1949" s="63" t="s">
        <v>81</v>
      </c>
    </row>
    <row r="1950" spans="1:6" x14ac:dyDescent="0.45">
      <c r="A1950" s="58">
        <v>2019</v>
      </c>
      <c r="B1950" s="5" t="s">
        <v>58</v>
      </c>
      <c r="C1950" s="5" t="s">
        <v>7</v>
      </c>
      <c r="D1950" s="6">
        <v>10338</v>
      </c>
      <c r="E1950" s="61">
        <v>29066</v>
      </c>
      <c r="F1950" s="63" t="s">
        <v>81</v>
      </c>
    </row>
    <row r="1951" spans="1:6" x14ac:dyDescent="0.45">
      <c r="A1951" s="57">
        <v>2019</v>
      </c>
      <c r="B1951" s="3" t="s">
        <v>58</v>
      </c>
      <c r="C1951" s="3" t="s">
        <v>8</v>
      </c>
      <c r="D1951" s="4">
        <v>2565</v>
      </c>
      <c r="E1951" s="60">
        <v>25997</v>
      </c>
      <c r="F1951" s="63" t="s">
        <v>82</v>
      </c>
    </row>
    <row r="1952" spans="1:6" x14ac:dyDescent="0.45">
      <c r="A1952" s="58">
        <v>2019</v>
      </c>
      <c r="B1952" s="5" t="s">
        <v>58</v>
      </c>
      <c r="C1952" s="5" t="s">
        <v>9</v>
      </c>
      <c r="D1952" s="6">
        <v>55396</v>
      </c>
      <c r="E1952" s="61">
        <v>30953</v>
      </c>
      <c r="F1952" s="63" t="s">
        <v>82</v>
      </c>
    </row>
    <row r="1953" spans="1:6" x14ac:dyDescent="0.45">
      <c r="A1953" s="57">
        <v>2019</v>
      </c>
      <c r="B1953" s="3" t="s">
        <v>58</v>
      </c>
      <c r="C1953" s="3" t="s">
        <v>10</v>
      </c>
      <c r="D1953" s="4">
        <v>23538</v>
      </c>
      <c r="E1953" s="60">
        <v>26142</v>
      </c>
      <c r="F1953" s="63" t="s">
        <v>82</v>
      </c>
    </row>
    <row r="1954" spans="1:6" x14ac:dyDescent="0.45">
      <c r="A1954" s="58">
        <v>2019</v>
      </c>
      <c r="B1954" s="5" t="s">
        <v>58</v>
      </c>
      <c r="C1954" s="5" t="s">
        <v>11</v>
      </c>
      <c r="D1954" s="6">
        <v>4906</v>
      </c>
      <c r="E1954" s="61">
        <v>22382</v>
      </c>
      <c r="F1954" s="63" t="s">
        <v>82</v>
      </c>
    </row>
    <row r="1955" spans="1:6" x14ac:dyDescent="0.45">
      <c r="A1955" s="57">
        <v>2019</v>
      </c>
      <c r="B1955" s="3" t="s">
        <v>58</v>
      </c>
      <c r="C1955" s="3" t="s">
        <v>12</v>
      </c>
      <c r="D1955" s="4">
        <v>32076</v>
      </c>
      <c r="E1955" s="60">
        <v>28930</v>
      </c>
      <c r="F1955" s="63" t="s">
        <v>82</v>
      </c>
    </row>
    <row r="1956" spans="1:6" x14ac:dyDescent="0.45">
      <c r="A1956" s="58">
        <v>2019</v>
      </c>
      <c r="B1956" s="5" t="s">
        <v>58</v>
      </c>
      <c r="C1956" s="5" t="s">
        <v>13</v>
      </c>
      <c r="D1956" s="6">
        <v>15273</v>
      </c>
      <c r="E1956" s="61">
        <v>24223</v>
      </c>
      <c r="F1956" s="63" t="s">
        <v>81</v>
      </c>
    </row>
    <row r="1957" spans="1:6" x14ac:dyDescent="0.45">
      <c r="A1957" s="57">
        <v>2019</v>
      </c>
      <c r="B1957" s="3" t="s">
        <v>58</v>
      </c>
      <c r="C1957" s="3" t="s">
        <v>14</v>
      </c>
      <c r="D1957" s="4">
        <v>8532</v>
      </c>
      <c r="E1957" s="60">
        <v>22280</v>
      </c>
      <c r="F1957" s="63" t="s">
        <v>81</v>
      </c>
    </row>
    <row r="1958" spans="1:6" x14ac:dyDescent="0.45">
      <c r="A1958" s="58">
        <v>2019</v>
      </c>
      <c r="B1958" s="5" t="s">
        <v>58</v>
      </c>
      <c r="C1958" s="5" t="s">
        <v>15</v>
      </c>
      <c r="D1958" s="6">
        <v>6839</v>
      </c>
      <c r="E1958" s="61">
        <v>22257</v>
      </c>
      <c r="F1958" s="63" t="s">
        <v>82</v>
      </c>
    </row>
    <row r="1959" spans="1:6" x14ac:dyDescent="0.45">
      <c r="A1959" s="57">
        <v>2019</v>
      </c>
      <c r="B1959" s="3" t="s">
        <v>58</v>
      </c>
      <c r="C1959" s="3" t="s">
        <v>16</v>
      </c>
      <c r="D1959" s="4">
        <v>10063</v>
      </c>
      <c r="E1959" s="60">
        <v>23160</v>
      </c>
      <c r="F1959" s="63" t="s">
        <v>81</v>
      </c>
    </row>
    <row r="1960" spans="1:6" x14ac:dyDescent="0.45">
      <c r="A1960" s="58">
        <v>2019</v>
      </c>
      <c r="B1960" s="5" t="s">
        <v>58</v>
      </c>
      <c r="C1960" s="5" t="s">
        <v>17</v>
      </c>
      <c r="D1960" s="6">
        <v>12015</v>
      </c>
      <c r="E1960" s="61">
        <v>26623</v>
      </c>
      <c r="F1960" s="63" t="s">
        <v>81</v>
      </c>
    </row>
    <row r="1961" spans="1:6" x14ac:dyDescent="0.45">
      <c r="A1961" s="57">
        <v>2019</v>
      </c>
      <c r="B1961" s="3" t="s">
        <v>58</v>
      </c>
      <c r="C1961" s="3" t="s">
        <v>18</v>
      </c>
      <c r="D1961" s="4">
        <v>5119</v>
      </c>
      <c r="E1961" s="60">
        <v>27119</v>
      </c>
      <c r="F1961" s="63" t="s">
        <v>82</v>
      </c>
    </row>
    <row r="1962" spans="1:6" x14ac:dyDescent="0.45">
      <c r="A1962" s="58">
        <v>2019</v>
      </c>
      <c r="B1962" s="5" t="s">
        <v>58</v>
      </c>
      <c r="C1962" s="5" t="s">
        <v>19</v>
      </c>
      <c r="D1962" s="6">
        <v>14733</v>
      </c>
      <c r="E1962" s="61">
        <v>29436</v>
      </c>
      <c r="F1962" s="63" t="s">
        <v>82</v>
      </c>
    </row>
    <row r="1963" spans="1:6" x14ac:dyDescent="0.45">
      <c r="A1963" s="57">
        <v>2019</v>
      </c>
      <c r="B1963" s="3" t="s">
        <v>58</v>
      </c>
      <c r="C1963" s="3" t="s">
        <v>20</v>
      </c>
      <c r="D1963" s="4">
        <v>20695</v>
      </c>
      <c r="E1963" s="60">
        <v>32779</v>
      </c>
      <c r="F1963" s="63" t="s">
        <v>81</v>
      </c>
    </row>
    <row r="1964" spans="1:6" x14ac:dyDescent="0.45">
      <c r="A1964" s="58">
        <v>2019</v>
      </c>
      <c r="B1964" s="5" t="s">
        <v>58</v>
      </c>
      <c r="C1964" s="5" t="s">
        <v>21</v>
      </c>
      <c r="D1964" s="6">
        <v>21783</v>
      </c>
      <c r="E1964" s="61">
        <v>25834</v>
      </c>
      <c r="F1964" s="63" t="s">
        <v>81</v>
      </c>
    </row>
    <row r="1965" spans="1:6" x14ac:dyDescent="0.45">
      <c r="A1965" s="57">
        <v>2019</v>
      </c>
      <c r="B1965" s="3" t="s">
        <v>58</v>
      </c>
      <c r="C1965" s="3" t="s">
        <v>22</v>
      </c>
      <c r="D1965" s="4">
        <v>14729</v>
      </c>
      <c r="E1965" s="60">
        <v>27386</v>
      </c>
      <c r="F1965" s="63" t="s">
        <v>82</v>
      </c>
    </row>
    <row r="1966" spans="1:6" x14ac:dyDescent="0.45">
      <c r="A1966" s="58">
        <v>2019</v>
      </c>
      <c r="B1966" s="5" t="s">
        <v>58</v>
      </c>
      <c r="C1966" s="5" t="s">
        <v>23</v>
      </c>
      <c r="D1966" s="6">
        <v>6381</v>
      </c>
      <c r="E1966" s="61">
        <v>23011</v>
      </c>
      <c r="F1966" s="63" t="s">
        <v>81</v>
      </c>
    </row>
    <row r="1967" spans="1:6" x14ac:dyDescent="0.45">
      <c r="A1967" s="57">
        <v>2019</v>
      </c>
      <c r="B1967" s="3" t="s">
        <v>58</v>
      </c>
      <c r="C1967" s="3" t="s">
        <v>24</v>
      </c>
      <c r="D1967" s="4">
        <v>14797</v>
      </c>
      <c r="E1967" s="60">
        <v>26276</v>
      </c>
      <c r="F1967" s="63" t="s">
        <v>82</v>
      </c>
    </row>
    <row r="1968" spans="1:6" x14ac:dyDescent="0.45">
      <c r="A1968" s="58">
        <v>2019</v>
      </c>
      <c r="B1968" s="5" t="s">
        <v>58</v>
      </c>
      <c r="C1968" s="5" t="s">
        <v>25</v>
      </c>
      <c r="D1968" s="6">
        <v>4978</v>
      </c>
      <c r="E1968" s="61">
        <v>24625</v>
      </c>
      <c r="F1968" s="63" t="s">
        <v>81</v>
      </c>
    </row>
    <row r="1969" spans="1:6" x14ac:dyDescent="0.45">
      <c r="A1969" s="57">
        <v>2019</v>
      </c>
      <c r="B1969" s="3" t="s">
        <v>58</v>
      </c>
      <c r="C1969" s="3" t="s">
        <v>26</v>
      </c>
      <c r="D1969" s="4">
        <v>5508</v>
      </c>
      <c r="E1969" s="60">
        <v>22253</v>
      </c>
      <c r="F1969" s="63" t="s">
        <v>81</v>
      </c>
    </row>
    <row r="1970" spans="1:6" x14ac:dyDescent="0.45">
      <c r="A1970" s="58">
        <v>2019</v>
      </c>
      <c r="B1970" s="5" t="s">
        <v>58</v>
      </c>
      <c r="C1970" s="5" t="s">
        <v>27</v>
      </c>
      <c r="D1970" s="6">
        <v>8246</v>
      </c>
      <c r="E1970" s="61">
        <v>39048</v>
      </c>
      <c r="F1970" s="63" t="s">
        <v>82</v>
      </c>
    </row>
    <row r="1971" spans="1:6" x14ac:dyDescent="0.45">
      <c r="A1971" s="57">
        <v>2019</v>
      </c>
      <c r="B1971" s="3" t="s">
        <v>58</v>
      </c>
      <c r="C1971" s="3" t="s">
        <v>28</v>
      </c>
      <c r="D1971" s="4">
        <v>4512</v>
      </c>
      <c r="E1971" s="60">
        <v>27058</v>
      </c>
      <c r="F1971" s="63" t="s">
        <v>82</v>
      </c>
    </row>
    <row r="1972" spans="1:6" x14ac:dyDescent="0.45">
      <c r="A1972" s="58">
        <v>2019</v>
      </c>
      <c r="B1972" s="5" t="s">
        <v>58</v>
      </c>
      <c r="C1972" s="5" t="s">
        <v>29</v>
      </c>
      <c r="D1972" s="6">
        <v>23501</v>
      </c>
      <c r="E1972" s="61">
        <v>30851</v>
      </c>
      <c r="F1972" s="63" t="s">
        <v>81</v>
      </c>
    </row>
    <row r="1973" spans="1:6" x14ac:dyDescent="0.45">
      <c r="A1973" s="57">
        <v>2019</v>
      </c>
      <c r="B1973" s="3" t="s">
        <v>58</v>
      </c>
      <c r="C1973" s="3" t="s">
        <v>30</v>
      </c>
      <c r="D1973" s="4">
        <v>4929</v>
      </c>
      <c r="E1973" s="60">
        <v>23901</v>
      </c>
      <c r="F1973" s="63" t="s">
        <v>81</v>
      </c>
    </row>
    <row r="1974" spans="1:6" x14ac:dyDescent="0.45">
      <c r="A1974" s="58">
        <v>2019</v>
      </c>
      <c r="B1974" s="5" t="s">
        <v>58</v>
      </c>
      <c r="C1974" s="5" t="s">
        <v>31</v>
      </c>
      <c r="D1974" s="6">
        <v>66166</v>
      </c>
      <c r="E1974" s="61">
        <v>38365</v>
      </c>
      <c r="F1974" s="63" t="s">
        <v>82</v>
      </c>
    </row>
    <row r="1975" spans="1:6" x14ac:dyDescent="0.45">
      <c r="A1975" s="57">
        <v>2019</v>
      </c>
      <c r="B1975" s="3" t="s">
        <v>58</v>
      </c>
      <c r="C1975" s="3" t="s">
        <v>32</v>
      </c>
      <c r="D1975" s="4">
        <v>25235</v>
      </c>
      <c r="E1975" s="60">
        <v>25111</v>
      </c>
      <c r="F1975" s="63" t="s">
        <v>82</v>
      </c>
    </row>
    <row r="1976" spans="1:6" x14ac:dyDescent="0.45">
      <c r="A1976" s="58">
        <v>2019</v>
      </c>
      <c r="B1976" s="5" t="s">
        <v>58</v>
      </c>
      <c r="C1976" s="5" t="s">
        <v>33</v>
      </c>
      <c r="D1976" s="6">
        <v>2600</v>
      </c>
      <c r="E1976" s="61">
        <v>23400</v>
      </c>
      <c r="F1976" s="63" t="s">
        <v>82</v>
      </c>
    </row>
    <row r="1977" spans="1:6" x14ac:dyDescent="0.45">
      <c r="A1977" s="57">
        <v>2019</v>
      </c>
      <c r="B1977" s="3" t="s">
        <v>58</v>
      </c>
      <c r="C1977" s="3" t="s">
        <v>34</v>
      </c>
      <c r="D1977" s="4">
        <v>28218</v>
      </c>
      <c r="E1977" s="60">
        <v>24856</v>
      </c>
      <c r="F1977" s="63" t="s">
        <v>82</v>
      </c>
    </row>
    <row r="1978" spans="1:6" x14ac:dyDescent="0.45">
      <c r="A1978" s="58">
        <v>2019</v>
      </c>
      <c r="B1978" s="5" t="s">
        <v>58</v>
      </c>
      <c r="C1978" s="5" t="s">
        <v>35</v>
      </c>
      <c r="D1978" s="6">
        <v>8969</v>
      </c>
      <c r="E1978" s="61">
        <v>23729</v>
      </c>
      <c r="F1978" s="63" t="s">
        <v>82</v>
      </c>
    </row>
    <row r="1979" spans="1:6" x14ac:dyDescent="0.45">
      <c r="A1979" s="57">
        <v>2019</v>
      </c>
      <c r="B1979" s="3" t="s">
        <v>58</v>
      </c>
      <c r="C1979" s="3" t="s">
        <v>36</v>
      </c>
      <c r="D1979" s="4">
        <v>13588</v>
      </c>
      <c r="E1979" s="60">
        <v>27379</v>
      </c>
      <c r="F1979" s="63" t="s">
        <v>81</v>
      </c>
    </row>
    <row r="1980" spans="1:6" x14ac:dyDescent="0.45">
      <c r="A1980" s="58">
        <v>2019</v>
      </c>
      <c r="B1980" s="5" t="s">
        <v>58</v>
      </c>
      <c r="C1980" s="5" t="s">
        <v>37</v>
      </c>
      <c r="D1980" s="6">
        <v>33146</v>
      </c>
      <c r="E1980" s="61">
        <v>26389</v>
      </c>
      <c r="F1980" s="63" t="s">
        <v>81</v>
      </c>
    </row>
    <row r="1981" spans="1:6" x14ac:dyDescent="0.45">
      <c r="A1981" s="57">
        <v>2019</v>
      </c>
      <c r="B1981" s="3" t="s">
        <v>58</v>
      </c>
      <c r="C1981" s="3" t="s">
        <v>38</v>
      </c>
      <c r="D1981" s="4">
        <v>3683</v>
      </c>
      <c r="E1981" s="60">
        <v>28353</v>
      </c>
      <c r="F1981" s="63" t="s">
        <v>82</v>
      </c>
    </row>
    <row r="1982" spans="1:6" x14ac:dyDescent="0.45">
      <c r="A1982" s="58">
        <v>2019</v>
      </c>
      <c r="B1982" s="5" t="s">
        <v>58</v>
      </c>
      <c r="C1982" s="5" t="s">
        <v>39</v>
      </c>
      <c r="D1982" s="6">
        <v>12337</v>
      </c>
      <c r="E1982" s="61">
        <v>23885</v>
      </c>
      <c r="F1982" s="63" t="s">
        <v>81</v>
      </c>
    </row>
    <row r="1983" spans="1:6" x14ac:dyDescent="0.45">
      <c r="A1983" s="57">
        <v>2019</v>
      </c>
      <c r="B1983" s="3" t="s">
        <v>58</v>
      </c>
      <c r="C1983" s="3" t="s">
        <v>40</v>
      </c>
      <c r="D1983" s="4">
        <v>3109</v>
      </c>
      <c r="E1983" s="60">
        <v>22460</v>
      </c>
      <c r="F1983" s="63" t="s">
        <v>81</v>
      </c>
    </row>
    <row r="1984" spans="1:6" x14ac:dyDescent="0.45">
      <c r="A1984" s="58">
        <v>2019</v>
      </c>
      <c r="B1984" s="5" t="s">
        <v>58</v>
      </c>
      <c r="C1984" s="5" t="s">
        <v>41</v>
      </c>
      <c r="D1984" s="6">
        <v>15932</v>
      </c>
      <c r="E1984" s="61">
        <v>28398</v>
      </c>
      <c r="F1984" s="63" t="s">
        <v>82</v>
      </c>
    </row>
    <row r="1985" spans="1:6" x14ac:dyDescent="0.45">
      <c r="A1985" s="57">
        <v>2019</v>
      </c>
      <c r="B1985" s="3" t="s">
        <v>58</v>
      </c>
      <c r="C1985" s="3" t="s">
        <v>42</v>
      </c>
      <c r="D1985" s="4">
        <v>60744</v>
      </c>
      <c r="E1985" s="60">
        <v>27234</v>
      </c>
      <c r="F1985" s="63" t="s">
        <v>82</v>
      </c>
    </row>
    <row r="1986" spans="1:6" x14ac:dyDescent="0.45">
      <c r="A1986" s="58">
        <v>2019</v>
      </c>
      <c r="B1986" s="5" t="s">
        <v>58</v>
      </c>
      <c r="C1986" s="5" t="s">
        <v>43</v>
      </c>
      <c r="D1986" s="6">
        <v>7068</v>
      </c>
      <c r="E1986" s="61">
        <v>25510</v>
      </c>
      <c r="F1986" s="63" t="s">
        <v>81</v>
      </c>
    </row>
    <row r="1987" spans="1:6" x14ac:dyDescent="0.45">
      <c r="A1987" s="57">
        <v>2019</v>
      </c>
      <c r="B1987" s="3" t="s">
        <v>58</v>
      </c>
      <c r="C1987" s="3" t="s">
        <v>44</v>
      </c>
      <c r="D1987" s="4">
        <v>2266</v>
      </c>
      <c r="E1987" s="60">
        <v>28375</v>
      </c>
      <c r="F1987" s="63" t="s">
        <v>81</v>
      </c>
    </row>
    <row r="1988" spans="1:6" x14ac:dyDescent="0.45">
      <c r="A1988" s="58">
        <v>2019</v>
      </c>
      <c r="B1988" s="5" t="s">
        <v>58</v>
      </c>
      <c r="C1988" s="5" t="s">
        <v>45</v>
      </c>
      <c r="D1988" s="6">
        <v>20269</v>
      </c>
      <c r="E1988" s="61">
        <v>26078</v>
      </c>
      <c r="F1988" s="63" t="s">
        <v>82</v>
      </c>
    </row>
    <row r="1989" spans="1:6" x14ac:dyDescent="0.45">
      <c r="A1989" s="57">
        <v>2019</v>
      </c>
      <c r="B1989" s="3" t="s">
        <v>58</v>
      </c>
      <c r="C1989" s="3" t="s">
        <v>46</v>
      </c>
      <c r="D1989" s="4">
        <v>20065</v>
      </c>
      <c r="E1989" s="60">
        <v>30250</v>
      </c>
      <c r="F1989" s="63" t="s">
        <v>81</v>
      </c>
    </row>
    <row r="1990" spans="1:6" x14ac:dyDescent="0.45">
      <c r="A1990" s="58">
        <v>2019</v>
      </c>
      <c r="B1990" s="5" t="s">
        <v>58</v>
      </c>
      <c r="C1990" s="5" t="s">
        <v>47</v>
      </c>
      <c r="D1990" s="6">
        <v>4646</v>
      </c>
      <c r="E1990" s="61">
        <v>23335</v>
      </c>
      <c r="F1990" s="63" t="s">
        <v>82</v>
      </c>
    </row>
    <row r="1991" spans="1:6" x14ac:dyDescent="0.45">
      <c r="A1991" s="57">
        <v>2019</v>
      </c>
      <c r="B1991" s="3" t="s">
        <v>58</v>
      </c>
      <c r="C1991" s="3" t="s">
        <v>48</v>
      </c>
      <c r="D1991" s="4">
        <v>16599</v>
      </c>
      <c r="E1991" s="60">
        <v>23248</v>
      </c>
      <c r="F1991" s="63" t="s">
        <v>81</v>
      </c>
    </row>
    <row r="1992" spans="1:6" x14ac:dyDescent="0.45">
      <c r="A1992" s="58">
        <v>2019</v>
      </c>
      <c r="B1992" s="5" t="s">
        <v>58</v>
      </c>
      <c r="C1992" s="5" t="s">
        <v>49</v>
      </c>
      <c r="D1992" s="6">
        <v>2355</v>
      </c>
      <c r="E1992" s="61">
        <v>25867</v>
      </c>
      <c r="F1992" s="63" t="s">
        <v>81</v>
      </c>
    </row>
    <row r="1993" spans="1:6" x14ac:dyDescent="0.45">
      <c r="A1993" s="57">
        <v>2019</v>
      </c>
      <c r="B1993" s="3" t="s">
        <v>59</v>
      </c>
      <c r="C1993" s="3" t="s">
        <v>2</v>
      </c>
      <c r="D1993" s="4">
        <v>9603</v>
      </c>
      <c r="E1993" s="60">
        <v>42539</v>
      </c>
      <c r="F1993" s="63" t="s">
        <v>82</v>
      </c>
    </row>
    <row r="1994" spans="1:6" x14ac:dyDescent="0.45">
      <c r="A1994" s="58">
        <v>2019</v>
      </c>
      <c r="B1994" s="5" t="s">
        <v>59</v>
      </c>
      <c r="C1994" s="5" t="s">
        <v>3</v>
      </c>
      <c r="D1994" s="6">
        <v>10297</v>
      </c>
      <c r="E1994" s="61">
        <v>43061</v>
      </c>
      <c r="F1994" s="63" t="s">
        <v>82</v>
      </c>
    </row>
    <row r="1995" spans="1:6" x14ac:dyDescent="0.45">
      <c r="A1995" s="57">
        <v>2019</v>
      </c>
      <c r="B1995" s="3" t="s">
        <v>59</v>
      </c>
      <c r="C1995" s="3" t="s">
        <v>4</v>
      </c>
      <c r="D1995" s="4">
        <v>5315</v>
      </c>
      <c r="E1995" s="60">
        <v>39179</v>
      </c>
      <c r="F1995" s="63" t="s">
        <v>81</v>
      </c>
    </row>
    <row r="1996" spans="1:6" x14ac:dyDescent="0.45">
      <c r="A1996" s="58">
        <v>2019</v>
      </c>
      <c r="B1996" s="5" t="s">
        <v>59</v>
      </c>
      <c r="C1996" s="5" t="s">
        <v>5</v>
      </c>
      <c r="D1996" s="6">
        <v>88470</v>
      </c>
      <c r="E1996" s="61">
        <v>46412</v>
      </c>
      <c r="F1996" s="63" t="s">
        <v>81</v>
      </c>
    </row>
    <row r="1997" spans="1:6" x14ac:dyDescent="0.45">
      <c r="A1997" s="57">
        <v>2019</v>
      </c>
      <c r="B1997" s="3" t="s">
        <v>59</v>
      </c>
      <c r="C1997" s="3" t="s">
        <v>6</v>
      </c>
      <c r="D1997" s="4">
        <v>15777</v>
      </c>
      <c r="E1997" s="60">
        <v>45558</v>
      </c>
      <c r="F1997" s="63" t="s">
        <v>82</v>
      </c>
    </row>
    <row r="1998" spans="1:6" x14ac:dyDescent="0.45">
      <c r="A1998" s="58">
        <v>2019</v>
      </c>
      <c r="B1998" s="5" t="s">
        <v>59</v>
      </c>
      <c r="C1998" s="5" t="s">
        <v>7</v>
      </c>
      <c r="D1998" s="6">
        <v>16529</v>
      </c>
      <c r="E1998" s="61">
        <v>39397</v>
      </c>
      <c r="F1998" s="63" t="s">
        <v>82</v>
      </c>
    </row>
    <row r="1999" spans="1:6" x14ac:dyDescent="0.45">
      <c r="A1999" s="57">
        <v>2019</v>
      </c>
      <c r="B1999" s="3" t="s">
        <v>59</v>
      </c>
      <c r="C1999" s="3" t="s">
        <v>8</v>
      </c>
      <c r="D1999" s="4">
        <v>2003</v>
      </c>
      <c r="E1999" s="60">
        <v>39610</v>
      </c>
      <c r="F1999" s="63" t="s">
        <v>82</v>
      </c>
    </row>
    <row r="2000" spans="1:6" x14ac:dyDescent="0.45">
      <c r="A2000" s="58">
        <v>2019</v>
      </c>
      <c r="B2000" s="5" t="s">
        <v>59</v>
      </c>
      <c r="C2000" s="5" t="s">
        <v>9</v>
      </c>
      <c r="D2000" s="6">
        <v>54928</v>
      </c>
      <c r="E2000" s="61">
        <v>41319</v>
      </c>
      <c r="F2000" s="63" t="s">
        <v>82</v>
      </c>
    </row>
    <row r="2001" spans="1:6" x14ac:dyDescent="0.45">
      <c r="A2001" s="57">
        <v>2019</v>
      </c>
      <c r="B2001" s="3" t="s">
        <v>59</v>
      </c>
      <c r="C2001" s="3" t="s">
        <v>10</v>
      </c>
      <c r="D2001" s="4">
        <v>18097</v>
      </c>
      <c r="E2001" s="60">
        <v>41520</v>
      </c>
      <c r="F2001" s="63" t="s">
        <v>82</v>
      </c>
    </row>
    <row r="2002" spans="1:6" x14ac:dyDescent="0.45">
      <c r="A2002" s="58">
        <v>2019</v>
      </c>
      <c r="B2002" s="5" t="s">
        <v>59</v>
      </c>
      <c r="C2002" s="5" t="s">
        <v>11</v>
      </c>
      <c r="D2002" s="6">
        <v>3888</v>
      </c>
      <c r="E2002" s="61">
        <v>36056</v>
      </c>
      <c r="F2002" s="63" t="s">
        <v>81</v>
      </c>
    </row>
    <row r="2003" spans="1:6" x14ac:dyDescent="0.45">
      <c r="A2003" s="57">
        <v>2019</v>
      </c>
      <c r="B2003" s="3" t="s">
        <v>59</v>
      </c>
      <c r="C2003" s="3" t="s">
        <v>12</v>
      </c>
      <c r="D2003" s="4">
        <v>39500</v>
      </c>
      <c r="E2003" s="60">
        <v>47240</v>
      </c>
      <c r="F2003" s="63" t="s">
        <v>81</v>
      </c>
    </row>
    <row r="2004" spans="1:6" x14ac:dyDescent="0.45">
      <c r="A2004" s="58">
        <v>2019</v>
      </c>
      <c r="B2004" s="5" t="s">
        <v>59</v>
      </c>
      <c r="C2004" s="5" t="s">
        <v>13</v>
      </c>
      <c r="D2004" s="6">
        <v>13113</v>
      </c>
      <c r="E2004" s="61">
        <v>37882</v>
      </c>
      <c r="F2004" s="63" t="s">
        <v>82</v>
      </c>
    </row>
    <row r="2005" spans="1:6" x14ac:dyDescent="0.45">
      <c r="A2005" s="57">
        <v>2019</v>
      </c>
      <c r="B2005" s="3" t="s">
        <v>59</v>
      </c>
      <c r="C2005" s="3" t="s">
        <v>14</v>
      </c>
      <c r="D2005" s="4">
        <v>8710</v>
      </c>
      <c r="E2005" s="60">
        <v>39069</v>
      </c>
      <c r="F2005" s="63" t="s">
        <v>81</v>
      </c>
    </row>
    <row r="2006" spans="1:6" x14ac:dyDescent="0.45">
      <c r="A2006" s="58">
        <v>2019</v>
      </c>
      <c r="B2006" s="5" t="s">
        <v>59</v>
      </c>
      <c r="C2006" s="5" t="s">
        <v>15</v>
      </c>
      <c r="D2006" s="6">
        <v>6031</v>
      </c>
      <c r="E2006" s="61">
        <v>39575</v>
      </c>
      <c r="F2006" s="63" t="s">
        <v>81</v>
      </c>
    </row>
    <row r="2007" spans="1:6" x14ac:dyDescent="0.45">
      <c r="A2007" s="57">
        <v>2019</v>
      </c>
      <c r="B2007" s="3" t="s">
        <v>59</v>
      </c>
      <c r="C2007" s="3" t="s">
        <v>16</v>
      </c>
      <c r="D2007" s="4">
        <v>10912</v>
      </c>
      <c r="E2007" s="60">
        <v>38330</v>
      </c>
      <c r="F2007" s="63" t="s">
        <v>82</v>
      </c>
    </row>
    <row r="2008" spans="1:6" x14ac:dyDescent="0.45">
      <c r="A2008" s="58">
        <v>2019</v>
      </c>
      <c r="B2008" s="5" t="s">
        <v>59</v>
      </c>
      <c r="C2008" s="5" t="s">
        <v>17</v>
      </c>
      <c r="D2008" s="6">
        <v>9250</v>
      </c>
      <c r="E2008" s="61">
        <v>42468</v>
      </c>
      <c r="F2008" s="63" t="s">
        <v>82</v>
      </c>
    </row>
    <row r="2009" spans="1:6" x14ac:dyDescent="0.45">
      <c r="A2009" s="57">
        <v>2019</v>
      </c>
      <c r="B2009" s="3" t="s">
        <v>59</v>
      </c>
      <c r="C2009" s="3" t="s">
        <v>18</v>
      </c>
      <c r="D2009" s="4">
        <v>4028</v>
      </c>
      <c r="E2009" s="60">
        <v>38993</v>
      </c>
      <c r="F2009" s="63" t="s">
        <v>81</v>
      </c>
    </row>
    <row r="2010" spans="1:6" x14ac:dyDescent="0.45">
      <c r="A2010" s="58">
        <v>2019</v>
      </c>
      <c r="B2010" s="5" t="s">
        <v>59</v>
      </c>
      <c r="C2010" s="5" t="s">
        <v>19</v>
      </c>
      <c r="D2010" s="6">
        <v>19506</v>
      </c>
      <c r="E2010" s="61">
        <v>47793</v>
      </c>
      <c r="F2010" s="63" t="s">
        <v>81</v>
      </c>
    </row>
    <row r="2011" spans="1:6" x14ac:dyDescent="0.45">
      <c r="A2011" s="57">
        <v>2019</v>
      </c>
      <c r="B2011" s="3" t="s">
        <v>59</v>
      </c>
      <c r="C2011" s="3" t="s">
        <v>20</v>
      </c>
      <c r="D2011" s="4">
        <v>21677</v>
      </c>
      <c r="E2011" s="60">
        <v>43032</v>
      </c>
      <c r="F2011" s="63" t="s">
        <v>82</v>
      </c>
    </row>
    <row r="2012" spans="1:6" x14ac:dyDescent="0.45">
      <c r="A2012" s="58">
        <v>2019</v>
      </c>
      <c r="B2012" s="5" t="s">
        <v>59</v>
      </c>
      <c r="C2012" s="5" t="s">
        <v>21</v>
      </c>
      <c r="D2012" s="6">
        <v>29930</v>
      </c>
      <c r="E2012" s="61">
        <v>38157</v>
      </c>
      <c r="F2012" s="63" t="s">
        <v>81</v>
      </c>
    </row>
    <row r="2013" spans="1:6" x14ac:dyDescent="0.45">
      <c r="A2013" s="57">
        <v>2019</v>
      </c>
      <c r="B2013" s="3" t="s">
        <v>59</v>
      </c>
      <c r="C2013" s="3" t="s">
        <v>22</v>
      </c>
      <c r="D2013" s="4">
        <v>16226</v>
      </c>
      <c r="E2013" s="60">
        <v>39237</v>
      </c>
      <c r="F2013" s="63" t="s">
        <v>82</v>
      </c>
    </row>
    <row r="2014" spans="1:6" x14ac:dyDescent="0.45">
      <c r="A2014" s="58">
        <v>2019</v>
      </c>
      <c r="B2014" s="5" t="s">
        <v>59</v>
      </c>
      <c r="C2014" s="5" t="s">
        <v>23</v>
      </c>
      <c r="D2014" s="6">
        <v>4726</v>
      </c>
      <c r="E2014" s="61">
        <v>39958</v>
      </c>
      <c r="F2014" s="63" t="s">
        <v>81</v>
      </c>
    </row>
    <row r="2015" spans="1:6" x14ac:dyDescent="0.45">
      <c r="A2015" s="57">
        <v>2019</v>
      </c>
      <c r="B2015" s="3" t="s">
        <v>59</v>
      </c>
      <c r="C2015" s="3" t="s">
        <v>24</v>
      </c>
      <c r="D2015" s="4">
        <v>13734</v>
      </c>
      <c r="E2015" s="60">
        <v>38705</v>
      </c>
      <c r="F2015" s="63" t="s">
        <v>81</v>
      </c>
    </row>
    <row r="2016" spans="1:6" x14ac:dyDescent="0.45">
      <c r="A2016" s="58">
        <v>2019</v>
      </c>
      <c r="B2016" s="5" t="s">
        <v>59</v>
      </c>
      <c r="C2016" s="5" t="s">
        <v>25</v>
      </c>
      <c r="D2016" s="6">
        <v>4094</v>
      </c>
      <c r="E2016" s="61">
        <v>35177</v>
      </c>
      <c r="F2016" s="63" t="s">
        <v>82</v>
      </c>
    </row>
    <row r="2017" spans="1:6" x14ac:dyDescent="0.45">
      <c r="A2017" s="57">
        <v>2019</v>
      </c>
      <c r="B2017" s="3" t="s">
        <v>59</v>
      </c>
      <c r="C2017" s="3" t="s">
        <v>26</v>
      </c>
      <c r="D2017" s="4">
        <v>4671</v>
      </c>
      <c r="E2017" s="60">
        <v>37310</v>
      </c>
      <c r="F2017" s="63" t="s">
        <v>82</v>
      </c>
    </row>
    <row r="2018" spans="1:6" x14ac:dyDescent="0.45">
      <c r="A2018" s="58">
        <v>2019</v>
      </c>
      <c r="B2018" s="5" t="s">
        <v>59</v>
      </c>
      <c r="C2018" s="5" t="s">
        <v>27</v>
      </c>
      <c r="D2018" s="6">
        <v>4959</v>
      </c>
      <c r="E2018" s="61">
        <v>42336</v>
      </c>
      <c r="F2018" s="63" t="s">
        <v>81</v>
      </c>
    </row>
    <row r="2019" spans="1:6" x14ac:dyDescent="0.45">
      <c r="A2019" s="57">
        <v>2019</v>
      </c>
      <c r="B2019" s="3" t="s">
        <v>59</v>
      </c>
      <c r="C2019" s="3" t="s">
        <v>28</v>
      </c>
      <c r="D2019" s="4">
        <v>3871</v>
      </c>
      <c r="E2019" s="60">
        <v>42646</v>
      </c>
      <c r="F2019" s="63" t="s">
        <v>81</v>
      </c>
    </row>
    <row r="2020" spans="1:6" x14ac:dyDescent="0.45">
      <c r="A2020" s="58">
        <v>2019</v>
      </c>
      <c r="B2020" s="5" t="s">
        <v>59</v>
      </c>
      <c r="C2020" s="5" t="s">
        <v>29</v>
      </c>
      <c r="D2020" s="6">
        <v>25881</v>
      </c>
      <c r="E2020" s="61">
        <v>41059</v>
      </c>
      <c r="F2020" s="63" t="s">
        <v>82</v>
      </c>
    </row>
    <row r="2021" spans="1:6" x14ac:dyDescent="0.45">
      <c r="A2021" s="57">
        <v>2019</v>
      </c>
      <c r="B2021" s="3" t="s">
        <v>59</v>
      </c>
      <c r="C2021" s="3" t="s">
        <v>30</v>
      </c>
      <c r="D2021" s="4">
        <v>3961</v>
      </c>
      <c r="E2021" s="60">
        <v>38578</v>
      </c>
      <c r="F2021" s="63" t="s">
        <v>82</v>
      </c>
    </row>
    <row r="2022" spans="1:6" x14ac:dyDescent="0.45">
      <c r="A2022" s="58">
        <v>2019</v>
      </c>
      <c r="B2022" s="5" t="s">
        <v>59</v>
      </c>
      <c r="C2022" s="5" t="s">
        <v>31</v>
      </c>
      <c r="D2022" s="6">
        <v>74536</v>
      </c>
      <c r="E2022" s="61">
        <v>46436</v>
      </c>
      <c r="F2022" s="63" t="s">
        <v>82</v>
      </c>
    </row>
    <row r="2023" spans="1:6" x14ac:dyDescent="0.45">
      <c r="A2023" s="57">
        <v>2019</v>
      </c>
      <c r="B2023" s="3" t="s">
        <v>59</v>
      </c>
      <c r="C2023" s="3" t="s">
        <v>32</v>
      </c>
      <c r="D2023" s="4">
        <v>23024</v>
      </c>
      <c r="E2023" s="60">
        <v>39978</v>
      </c>
      <c r="F2023" s="63" t="s">
        <v>82</v>
      </c>
    </row>
    <row r="2024" spans="1:6" x14ac:dyDescent="0.45">
      <c r="A2024" s="58">
        <v>2019</v>
      </c>
      <c r="B2024" s="5" t="s">
        <v>59</v>
      </c>
      <c r="C2024" s="5" t="s">
        <v>33</v>
      </c>
      <c r="D2024" s="6">
        <v>2040</v>
      </c>
      <c r="E2024" s="61">
        <v>40167</v>
      </c>
      <c r="F2024" s="63" t="s">
        <v>82</v>
      </c>
    </row>
    <row r="2025" spans="1:6" x14ac:dyDescent="0.45">
      <c r="A2025" s="57">
        <v>2019</v>
      </c>
      <c r="B2025" s="3" t="s">
        <v>59</v>
      </c>
      <c r="C2025" s="3" t="s">
        <v>34</v>
      </c>
      <c r="D2025" s="4">
        <v>23601</v>
      </c>
      <c r="E2025" s="60">
        <v>39039</v>
      </c>
      <c r="F2025" s="63" t="s">
        <v>81</v>
      </c>
    </row>
    <row r="2026" spans="1:6" x14ac:dyDescent="0.45">
      <c r="A2026" s="58">
        <v>2019</v>
      </c>
      <c r="B2026" s="5" t="s">
        <v>59</v>
      </c>
      <c r="C2026" s="5" t="s">
        <v>35</v>
      </c>
      <c r="D2026" s="6">
        <v>6751</v>
      </c>
      <c r="E2026" s="61">
        <v>40306</v>
      </c>
      <c r="F2026" s="63" t="s">
        <v>81</v>
      </c>
    </row>
    <row r="2027" spans="1:6" x14ac:dyDescent="0.45">
      <c r="A2027" s="57">
        <v>2019</v>
      </c>
      <c r="B2027" s="3" t="s">
        <v>59</v>
      </c>
      <c r="C2027" s="3" t="s">
        <v>36</v>
      </c>
      <c r="D2027" s="4">
        <v>22753</v>
      </c>
      <c r="E2027" s="60">
        <v>37901</v>
      </c>
      <c r="F2027" s="63" t="s">
        <v>82</v>
      </c>
    </row>
    <row r="2028" spans="1:6" x14ac:dyDescent="0.45">
      <c r="A2028" s="58">
        <v>2019</v>
      </c>
      <c r="B2028" s="5" t="s">
        <v>59</v>
      </c>
      <c r="C2028" s="5" t="s">
        <v>37</v>
      </c>
      <c r="D2028" s="6">
        <v>32259</v>
      </c>
      <c r="E2028" s="61">
        <v>38593</v>
      </c>
      <c r="F2028" s="63" t="s">
        <v>81</v>
      </c>
    </row>
    <row r="2029" spans="1:6" x14ac:dyDescent="0.45">
      <c r="A2029" s="57">
        <v>2019</v>
      </c>
      <c r="B2029" s="3" t="s">
        <v>59</v>
      </c>
      <c r="C2029" s="3" t="s">
        <v>38</v>
      </c>
      <c r="D2029" s="4">
        <v>3395</v>
      </c>
      <c r="E2029" s="60">
        <v>38566</v>
      </c>
      <c r="F2029" s="63" t="s">
        <v>81</v>
      </c>
    </row>
    <row r="2030" spans="1:6" x14ac:dyDescent="0.45">
      <c r="A2030" s="58">
        <v>2019</v>
      </c>
      <c r="B2030" s="5" t="s">
        <v>59</v>
      </c>
      <c r="C2030" s="5" t="s">
        <v>39</v>
      </c>
      <c r="D2030" s="6">
        <v>11490</v>
      </c>
      <c r="E2030" s="61">
        <v>38842</v>
      </c>
      <c r="F2030" s="63" t="s">
        <v>82</v>
      </c>
    </row>
    <row r="2031" spans="1:6" x14ac:dyDescent="0.45">
      <c r="A2031" s="57">
        <v>2019</v>
      </c>
      <c r="B2031" s="3" t="s">
        <v>59</v>
      </c>
      <c r="C2031" s="3" t="s">
        <v>40</v>
      </c>
      <c r="D2031" s="4">
        <v>2171</v>
      </c>
      <c r="E2031" s="60">
        <v>37403</v>
      </c>
      <c r="F2031" s="63" t="s">
        <v>82</v>
      </c>
    </row>
    <row r="2032" spans="1:6" x14ac:dyDescent="0.45">
      <c r="A2032" s="58">
        <v>2019</v>
      </c>
      <c r="B2032" s="5" t="s">
        <v>59</v>
      </c>
      <c r="C2032" s="5" t="s">
        <v>41</v>
      </c>
      <c r="D2032" s="6">
        <v>14618</v>
      </c>
      <c r="E2032" s="61">
        <v>40443</v>
      </c>
      <c r="F2032" s="63" t="s">
        <v>81</v>
      </c>
    </row>
    <row r="2033" spans="1:6" x14ac:dyDescent="0.45">
      <c r="A2033" s="57">
        <v>2019</v>
      </c>
      <c r="B2033" s="3" t="s">
        <v>59</v>
      </c>
      <c r="C2033" s="3" t="s">
        <v>42</v>
      </c>
      <c r="D2033" s="4">
        <v>56060</v>
      </c>
      <c r="E2033" s="60">
        <v>43841</v>
      </c>
      <c r="F2033" s="63" t="s">
        <v>81</v>
      </c>
    </row>
    <row r="2034" spans="1:6" x14ac:dyDescent="0.45">
      <c r="A2034" s="58">
        <v>2019</v>
      </c>
      <c r="B2034" s="5" t="s">
        <v>59</v>
      </c>
      <c r="C2034" s="5" t="s">
        <v>43</v>
      </c>
      <c r="D2034" s="6">
        <v>6084</v>
      </c>
      <c r="E2034" s="61">
        <v>40421</v>
      </c>
      <c r="F2034" s="63" t="s">
        <v>82</v>
      </c>
    </row>
    <row r="2035" spans="1:6" x14ac:dyDescent="0.45">
      <c r="A2035" s="57">
        <v>2019</v>
      </c>
      <c r="B2035" s="3" t="s">
        <v>59</v>
      </c>
      <c r="C2035" s="3" t="s">
        <v>44</v>
      </c>
      <c r="D2035" s="4">
        <v>1958</v>
      </c>
      <c r="E2035" s="60">
        <v>40757</v>
      </c>
      <c r="F2035" s="63" t="s">
        <v>81</v>
      </c>
    </row>
    <row r="2036" spans="1:6" x14ac:dyDescent="0.45">
      <c r="A2036" s="58">
        <v>2019</v>
      </c>
      <c r="B2036" s="5" t="s">
        <v>59</v>
      </c>
      <c r="C2036" s="5" t="s">
        <v>45</v>
      </c>
      <c r="D2036" s="6">
        <v>32154</v>
      </c>
      <c r="E2036" s="61">
        <v>48290</v>
      </c>
      <c r="F2036" s="63" t="s">
        <v>82</v>
      </c>
    </row>
    <row r="2037" spans="1:6" x14ac:dyDescent="0.45">
      <c r="A2037" s="57">
        <v>2019</v>
      </c>
      <c r="B2037" s="3" t="s">
        <v>59</v>
      </c>
      <c r="C2037" s="3" t="s">
        <v>46</v>
      </c>
      <c r="D2037" s="4">
        <v>19701</v>
      </c>
      <c r="E2037" s="60">
        <v>44822</v>
      </c>
      <c r="F2037" s="63" t="s">
        <v>81</v>
      </c>
    </row>
    <row r="2038" spans="1:6" x14ac:dyDescent="0.45">
      <c r="A2038" s="58">
        <v>2019</v>
      </c>
      <c r="B2038" s="5" t="s">
        <v>59</v>
      </c>
      <c r="C2038" s="5" t="s">
        <v>47</v>
      </c>
      <c r="D2038" s="6">
        <v>5237</v>
      </c>
      <c r="E2038" s="61">
        <v>35927</v>
      </c>
      <c r="F2038" s="63" t="s">
        <v>81</v>
      </c>
    </row>
    <row r="2039" spans="1:6" x14ac:dyDescent="0.45">
      <c r="A2039" s="57">
        <v>2019</v>
      </c>
      <c r="B2039" s="3" t="s">
        <v>59</v>
      </c>
      <c r="C2039" s="3" t="s">
        <v>48</v>
      </c>
      <c r="D2039" s="4">
        <v>14001</v>
      </c>
      <c r="E2039" s="60">
        <v>35242</v>
      </c>
      <c r="F2039" s="63" t="s">
        <v>82</v>
      </c>
    </row>
    <row r="2040" spans="1:6" x14ac:dyDescent="0.45">
      <c r="A2040" s="59">
        <v>2019</v>
      </c>
      <c r="B2040" s="7" t="s">
        <v>59</v>
      </c>
      <c r="C2040" s="7" t="s">
        <v>49</v>
      </c>
      <c r="D2040" s="8">
        <v>1656</v>
      </c>
      <c r="E2040" s="62">
        <v>41035</v>
      </c>
      <c r="F2040" s="63" t="s">
        <v>82</v>
      </c>
    </row>
    <row r="2041" spans="1:6" x14ac:dyDescent="0.45">
      <c r="A2041" s="58">
        <v>2019</v>
      </c>
      <c r="B2041" s="5" t="s">
        <v>59</v>
      </c>
      <c r="C2041" s="5" t="s">
        <v>39</v>
      </c>
      <c r="D2041" s="6">
        <v>11490</v>
      </c>
      <c r="E2041" s="61">
        <v>38842</v>
      </c>
      <c r="F2041" s="63" t="s">
        <v>81</v>
      </c>
    </row>
    <row r="2042" spans="1:6" x14ac:dyDescent="0.45">
      <c r="A2042" s="57">
        <v>2019</v>
      </c>
      <c r="B2042" s="3" t="s">
        <v>59</v>
      </c>
      <c r="C2042" s="3" t="s">
        <v>40</v>
      </c>
      <c r="D2042" s="4">
        <v>2171</v>
      </c>
      <c r="E2042" s="60">
        <v>37403</v>
      </c>
      <c r="F2042" s="63" t="s">
        <v>81</v>
      </c>
    </row>
    <row r="2043" spans="1:6" x14ac:dyDescent="0.45">
      <c r="A2043" s="58">
        <v>2019</v>
      </c>
      <c r="B2043" s="5" t="s">
        <v>59</v>
      </c>
      <c r="C2043" s="5" t="s">
        <v>41</v>
      </c>
      <c r="D2043" s="6">
        <v>14618</v>
      </c>
      <c r="E2043" s="61">
        <v>40443</v>
      </c>
      <c r="F2043" s="63" t="s">
        <v>82</v>
      </c>
    </row>
    <row r="2044" spans="1:6" x14ac:dyDescent="0.45">
      <c r="A2044" s="57">
        <v>2019</v>
      </c>
      <c r="B2044" s="3" t="s">
        <v>59</v>
      </c>
      <c r="C2044" s="3" t="s">
        <v>42</v>
      </c>
      <c r="D2044" s="4">
        <v>56060</v>
      </c>
      <c r="E2044" s="60">
        <v>43841</v>
      </c>
      <c r="F2044" s="63" t="s">
        <v>82</v>
      </c>
    </row>
    <row r="2045" spans="1:6" x14ac:dyDescent="0.45">
      <c r="A2045" s="58">
        <v>2019</v>
      </c>
      <c r="B2045" s="5" t="s">
        <v>59</v>
      </c>
      <c r="C2045" s="5" t="s">
        <v>43</v>
      </c>
      <c r="D2045" s="6">
        <v>6084</v>
      </c>
      <c r="E2045" s="61">
        <v>40421</v>
      </c>
      <c r="F2045" s="63" t="s">
        <v>82</v>
      </c>
    </row>
    <row r="2046" spans="1:6" x14ac:dyDescent="0.45">
      <c r="A2046" s="57">
        <v>2019</v>
      </c>
      <c r="B2046" s="3" t="s">
        <v>59</v>
      </c>
      <c r="C2046" s="3" t="s">
        <v>44</v>
      </c>
      <c r="D2046" s="4">
        <v>1958</v>
      </c>
      <c r="E2046" s="60">
        <v>40757</v>
      </c>
      <c r="F2046" s="63" t="s">
        <v>82</v>
      </c>
    </row>
    <row r="2047" spans="1:6" x14ac:dyDescent="0.45">
      <c r="A2047" s="57">
        <v>2022</v>
      </c>
      <c r="B2047" s="3" t="s">
        <v>50</v>
      </c>
      <c r="C2047" s="3" t="s">
        <v>4</v>
      </c>
      <c r="D2047" s="4">
        <v>2565</v>
      </c>
      <c r="E2047" s="60">
        <v>55909</v>
      </c>
      <c r="F2047" s="63" t="s">
        <v>82</v>
      </c>
    </row>
    <row r="2048" spans="1:6" x14ac:dyDescent="0.45">
      <c r="A2048" s="58">
        <v>2022</v>
      </c>
      <c r="B2048" s="5" t="s">
        <v>50</v>
      </c>
      <c r="C2048" s="5" t="s">
        <v>5</v>
      </c>
      <c r="D2048" s="6">
        <v>17651</v>
      </c>
      <c r="E2048" s="61">
        <v>48534</v>
      </c>
      <c r="F2048" s="63" t="s">
        <v>81</v>
      </c>
    </row>
    <row r="2049" spans="1:6" x14ac:dyDescent="0.45">
      <c r="A2049" s="57">
        <v>2022</v>
      </c>
      <c r="B2049" s="3" t="s">
        <v>50</v>
      </c>
      <c r="C2049" s="3" t="s">
        <v>6</v>
      </c>
      <c r="D2049" s="4">
        <v>3312</v>
      </c>
      <c r="E2049" s="60">
        <v>97879</v>
      </c>
      <c r="F2049" s="63" t="s">
        <v>81</v>
      </c>
    </row>
    <row r="2050" spans="1:6" x14ac:dyDescent="0.45">
      <c r="A2050" s="58">
        <v>2022</v>
      </c>
      <c r="B2050" s="5" t="s">
        <v>50</v>
      </c>
      <c r="C2050" s="5" t="s">
        <v>7</v>
      </c>
      <c r="D2050" s="5">
        <v>467</v>
      </c>
      <c r="E2050" s="61">
        <v>49142</v>
      </c>
      <c r="F2050" s="63" t="s">
        <v>82</v>
      </c>
    </row>
    <row r="2051" spans="1:6" x14ac:dyDescent="0.45">
      <c r="A2051" s="57">
        <v>2022</v>
      </c>
      <c r="B2051" s="3" t="s">
        <v>50</v>
      </c>
      <c r="C2051" s="3" t="s">
        <v>8</v>
      </c>
      <c r="D2051" s="3">
        <v>186</v>
      </c>
      <c r="E2051" s="60">
        <v>49290</v>
      </c>
      <c r="F2051" s="63" t="s">
        <v>81</v>
      </c>
    </row>
    <row r="2052" spans="1:6" x14ac:dyDescent="0.45">
      <c r="A2052" s="58">
        <v>2022</v>
      </c>
      <c r="B2052" s="5" t="s">
        <v>50</v>
      </c>
      <c r="C2052" s="5" t="s">
        <v>9</v>
      </c>
      <c r="D2052" s="6">
        <v>5394</v>
      </c>
      <c r="E2052" s="61">
        <v>43717</v>
      </c>
      <c r="F2052" s="63" t="s">
        <v>81</v>
      </c>
    </row>
    <row r="2053" spans="1:6" x14ac:dyDescent="0.45">
      <c r="A2053" s="57">
        <v>2022</v>
      </c>
      <c r="B2053" s="3" t="s">
        <v>50</v>
      </c>
      <c r="C2053" s="3" t="s">
        <v>10</v>
      </c>
      <c r="D2053" s="4">
        <v>2794</v>
      </c>
      <c r="E2053" s="60">
        <v>51978</v>
      </c>
      <c r="F2053" s="63" t="s">
        <v>82</v>
      </c>
    </row>
    <row r="2054" spans="1:6" x14ac:dyDescent="0.45">
      <c r="A2054" s="58">
        <v>2022</v>
      </c>
      <c r="B2054" s="5" t="s">
        <v>50</v>
      </c>
      <c r="C2054" s="5" t="s">
        <v>11</v>
      </c>
      <c r="D2054" s="6">
        <v>2531</v>
      </c>
      <c r="E2054" s="61">
        <v>48820</v>
      </c>
      <c r="F2054" s="63" t="s">
        <v>82</v>
      </c>
    </row>
    <row r="2055" spans="1:6" x14ac:dyDescent="0.45">
      <c r="A2055" s="57">
        <v>2022</v>
      </c>
      <c r="B2055" s="3" t="s">
        <v>50</v>
      </c>
      <c r="C2055" s="3" t="s">
        <v>12</v>
      </c>
      <c r="D2055" s="4">
        <v>2818</v>
      </c>
      <c r="E2055" s="60">
        <v>58259</v>
      </c>
      <c r="F2055" s="63" t="s">
        <v>81</v>
      </c>
    </row>
    <row r="2056" spans="1:6" x14ac:dyDescent="0.45">
      <c r="A2056" s="58">
        <v>2022</v>
      </c>
      <c r="B2056" s="5" t="s">
        <v>50</v>
      </c>
      <c r="C2056" s="5" t="s">
        <v>13</v>
      </c>
      <c r="D2056" s="6">
        <v>2302</v>
      </c>
      <c r="E2056" s="61">
        <v>56732</v>
      </c>
      <c r="F2056" s="63" t="s">
        <v>81</v>
      </c>
    </row>
    <row r="2057" spans="1:6" x14ac:dyDescent="0.45">
      <c r="A2057" s="57">
        <v>2022</v>
      </c>
      <c r="B2057" s="3" t="s">
        <v>50</v>
      </c>
      <c r="C2057" s="3" t="s">
        <v>14</v>
      </c>
      <c r="D2057" s="4">
        <v>2911</v>
      </c>
      <c r="E2057" s="60">
        <v>51588</v>
      </c>
      <c r="F2057" s="63" t="s">
        <v>82</v>
      </c>
    </row>
    <row r="2058" spans="1:6" x14ac:dyDescent="0.45">
      <c r="A2058" s="58">
        <v>2022</v>
      </c>
      <c r="B2058" s="5" t="s">
        <v>50</v>
      </c>
      <c r="C2058" s="5" t="s">
        <v>15</v>
      </c>
      <c r="D2058" s="6">
        <v>2613</v>
      </c>
      <c r="E2058" s="61">
        <v>53721</v>
      </c>
      <c r="F2058" s="63" t="s">
        <v>81</v>
      </c>
    </row>
    <row r="2059" spans="1:6" x14ac:dyDescent="0.45">
      <c r="A2059" s="57">
        <v>2022</v>
      </c>
      <c r="B2059" s="3" t="s">
        <v>50</v>
      </c>
      <c r="C2059" s="3" t="s">
        <v>16</v>
      </c>
      <c r="D2059" s="4">
        <v>1632</v>
      </c>
      <c r="E2059" s="60">
        <v>60605</v>
      </c>
      <c r="F2059" s="63" t="s">
        <v>82</v>
      </c>
    </row>
    <row r="2060" spans="1:6" x14ac:dyDescent="0.45">
      <c r="A2060" s="58">
        <v>2022</v>
      </c>
      <c r="B2060" s="5" t="s">
        <v>50</v>
      </c>
      <c r="C2060" s="5" t="s">
        <v>17</v>
      </c>
      <c r="D2060" s="6">
        <v>3143</v>
      </c>
      <c r="E2060" s="61">
        <v>92727</v>
      </c>
      <c r="F2060" s="63" t="s">
        <v>81</v>
      </c>
    </row>
    <row r="2061" spans="1:6" x14ac:dyDescent="0.45">
      <c r="A2061" s="57">
        <v>2022</v>
      </c>
      <c r="B2061" s="3" t="s">
        <v>50</v>
      </c>
      <c r="C2061" s="3" t="s">
        <v>18</v>
      </c>
      <c r="D2061" s="4">
        <v>1581</v>
      </c>
      <c r="E2061" s="60">
        <v>47422</v>
      </c>
      <c r="F2061" s="63" t="s">
        <v>81</v>
      </c>
    </row>
    <row r="2062" spans="1:6" x14ac:dyDescent="0.45">
      <c r="A2062" s="58">
        <v>2022</v>
      </c>
      <c r="B2062" s="5" t="s">
        <v>50</v>
      </c>
      <c r="C2062" s="5" t="s">
        <v>19</v>
      </c>
      <c r="D2062" s="5">
        <v>720</v>
      </c>
      <c r="E2062" s="61">
        <v>52887</v>
      </c>
      <c r="F2062" s="63" t="s">
        <v>82</v>
      </c>
    </row>
    <row r="2063" spans="1:6" x14ac:dyDescent="0.45">
      <c r="A2063" s="57">
        <v>2022</v>
      </c>
      <c r="B2063" s="3" t="s">
        <v>50</v>
      </c>
      <c r="C2063" s="3" t="s">
        <v>20</v>
      </c>
      <c r="D2063" s="3">
        <v>999</v>
      </c>
      <c r="E2063" s="60">
        <v>70628</v>
      </c>
      <c r="F2063" s="63" t="s">
        <v>82</v>
      </c>
    </row>
    <row r="2064" spans="1:6" x14ac:dyDescent="0.45">
      <c r="A2064" s="58">
        <v>2021</v>
      </c>
      <c r="B2064" s="5" t="s">
        <v>56</v>
      </c>
      <c r="C2064" s="5" t="s">
        <v>27</v>
      </c>
      <c r="D2064" s="6">
        <v>20106</v>
      </c>
      <c r="E2064" s="61">
        <v>68008</v>
      </c>
      <c r="F2064" s="63" t="s">
        <v>81</v>
      </c>
    </row>
    <row r="2065" spans="1:6" x14ac:dyDescent="0.45">
      <c r="A2065" s="57">
        <v>2021</v>
      </c>
      <c r="B2065" s="3" t="s">
        <v>56</v>
      </c>
      <c r="C2065" s="3" t="s">
        <v>28</v>
      </c>
      <c r="D2065" s="4">
        <v>12808</v>
      </c>
      <c r="E2065" s="60">
        <v>86647</v>
      </c>
      <c r="F2065" s="63" t="s">
        <v>81</v>
      </c>
    </row>
    <row r="2066" spans="1:6" x14ac:dyDescent="0.45">
      <c r="A2066" s="58">
        <v>2021</v>
      </c>
      <c r="B2066" s="5" t="s">
        <v>56</v>
      </c>
      <c r="C2066" s="5" t="s">
        <v>29</v>
      </c>
      <c r="D2066" s="6">
        <v>52040</v>
      </c>
      <c r="E2066" s="61">
        <v>100022</v>
      </c>
      <c r="F2066" s="63" t="s">
        <v>82</v>
      </c>
    </row>
    <row r="2067" spans="1:6" x14ac:dyDescent="0.45">
      <c r="A2067" s="57">
        <v>2021</v>
      </c>
      <c r="B2067" s="3" t="s">
        <v>56</v>
      </c>
      <c r="C2067" s="3" t="s">
        <v>30</v>
      </c>
      <c r="D2067" s="4">
        <v>11347</v>
      </c>
      <c r="E2067" s="60">
        <v>70156</v>
      </c>
      <c r="F2067" s="63" t="s">
        <v>82</v>
      </c>
    </row>
    <row r="2068" spans="1:6" x14ac:dyDescent="0.45">
      <c r="A2068" s="58">
        <v>2021</v>
      </c>
      <c r="B2068" s="5" t="s">
        <v>56</v>
      </c>
      <c r="C2068" s="5" t="s">
        <v>31</v>
      </c>
      <c r="D2068" s="6">
        <v>112890</v>
      </c>
      <c r="E2068" s="61">
        <v>105615</v>
      </c>
      <c r="F2068" s="63" t="s">
        <v>82</v>
      </c>
    </row>
    <row r="2069" spans="1:6" x14ac:dyDescent="0.45">
      <c r="A2069" s="57">
        <v>2021</v>
      </c>
      <c r="B2069" s="3" t="s">
        <v>56</v>
      </c>
      <c r="C2069" s="3" t="s">
        <v>32</v>
      </c>
      <c r="D2069" s="4">
        <v>61321</v>
      </c>
      <c r="E2069" s="60">
        <v>73705</v>
      </c>
      <c r="F2069" s="63" t="s">
        <v>82</v>
      </c>
    </row>
    <row r="2070" spans="1:6" x14ac:dyDescent="0.45">
      <c r="A2070" s="58">
        <v>2021</v>
      </c>
      <c r="B2070" s="5" t="s">
        <v>56</v>
      </c>
      <c r="C2070" s="5" t="s">
        <v>33</v>
      </c>
      <c r="D2070" s="6">
        <v>5198</v>
      </c>
      <c r="E2070" s="61">
        <v>69897</v>
      </c>
      <c r="F2070" s="63" t="s">
        <v>82</v>
      </c>
    </row>
    <row r="2071" spans="1:6" x14ac:dyDescent="0.45">
      <c r="A2071" s="57">
        <v>2021</v>
      </c>
      <c r="B2071" s="3" t="s">
        <v>56</v>
      </c>
      <c r="C2071" s="3" t="s">
        <v>34</v>
      </c>
      <c r="D2071" s="4">
        <v>54330</v>
      </c>
      <c r="E2071" s="60">
        <v>72752</v>
      </c>
      <c r="F2071" s="63" t="s">
        <v>81</v>
      </c>
    </row>
    <row r="2072" spans="1:6" x14ac:dyDescent="0.45">
      <c r="A2072" s="58">
        <v>2021</v>
      </c>
      <c r="B2072" s="5" t="s">
        <v>56</v>
      </c>
      <c r="C2072" s="5" t="s">
        <v>35</v>
      </c>
      <c r="D2072" s="6">
        <v>21148</v>
      </c>
      <c r="E2072" s="61">
        <v>60841</v>
      </c>
      <c r="F2072" s="63" t="s">
        <v>81</v>
      </c>
    </row>
    <row r="2073" spans="1:6" x14ac:dyDescent="0.45">
      <c r="A2073" s="57">
        <v>2021</v>
      </c>
      <c r="B2073" s="3" t="s">
        <v>56</v>
      </c>
      <c r="C2073" s="3" t="s">
        <v>36</v>
      </c>
      <c r="D2073" s="4">
        <v>26161</v>
      </c>
      <c r="E2073" s="60">
        <v>79460</v>
      </c>
      <c r="F2073" s="63" t="s">
        <v>82</v>
      </c>
    </row>
    <row r="2074" spans="1:6" x14ac:dyDescent="0.45">
      <c r="A2074" s="58">
        <v>2021</v>
      </c>
      <c r="B2074" s="5" t="s">
        <v>56</v>
      </c>
      <c r="C2074" s="5" t="s">
        <v>37</v>
      </c>
      <c r="D2074" s="6">
        <v>64541</v>
      </c>
      <c r="E2074" s="61">
        <v>87681</v>
      </c>
      <c r="F2074" s="63" t="s">
        <v>81</v>
      </c>
    </row>
    <row r="2075" spans="1:6" x14ac:dyDescent="0.45">
      <c r="A2075" s="57">
        <v>2021</v>
      </c>
      <c r="B2075" s="3" t="s">
        <v>56</v>
      </c>
      <c r="C2075" s="3" t="s">
        <v>38</v>
      </c>
      <c r="D2075" s="4">
        <v>9043</v>
      </c>
      <c r="E2075" s="60">
        <v>74454</v>
      </c>
      <c r="F2075" s="63" t="s">
        <v>81</v>
      </c>
    </row>
    <row r="2076" spans="1:6" x14ac:dyDescent="0.45">
      <c r="A2076" s="58">
        <v>2021</v>
      </c>
      <c r="B2076" s="5" t="s">
        <v>56</v>
      </c>
      <c r="C2076" s="5" t="s">
        <v>39</v>
      </c>
      <c r="D2076" s="6">
        <v>29329</v>
      </c>
      <c r="E2076" s="61">
        <v>58492</v>
      </c>
      <c r="F2076" s="63" t="s">
        <v>82</v>
      </c>
    </row>
    <row r="2077" spans="1:6" x14ac:dyDescent="0.45">
      <c r="A2077" s="57">
        <v>2021</v>
      </c>
      <c r="B2077" s="3" t="s">
        <v>56</v>
      </c>
      <c r="C2077" s="3" t="s">
        <v>40</v>
      </c>
      <c r="D2077" s="4">
        <v>5498</v>
      </c>
      <c r="E2077" s="60">
        <v>64619</v>
      </c>
      <c r="F2077" s="63" t="s">
        <v>82</v>
      </c>
    </row>
    <row r="2078" spans="1:6" x14ac:dyDescent="0.45">
      <c r="A2078" s="58">
        <v>2021</v>
      </c>
      <c r="B2078" s="5" t="s">
        <v>56</v>
      </c>
      <c r="C2078" s="5" t="s">
        <v>41</v>
      </c>
      <c r="D2078" s="6">
        <v>30774</v>
      </c>
      <c r="E2078" s="61">
        <v>68990</v>
      </c>
      <c r="F2078" s="63" t="s">
        <v>81</v>
      </c>
    </row>
    <row r="2079" spans="1:6" x14ac:dyDescent="0.45">
      <c r="A2079" s="57">
        <v>2021</v>
      </c>
      <c r="B2079" s="3" t="s">
        <v>56</v>
      </c>
      <c r="C2079" s="3" t="s">
        <v>42</v>
      </c>
      <c r="D2079" s="4">
        <v>139953</v>
      </c>
      <c r="E2079" s="60">
        <v>83197</v>
      </c>
      <c r="F2079" s="63" t="s">
        <v>81</v>
      </c>
    </row>
    <row r="2080" spans="1:6" x14ac:dyDescent="0.45">
      <c r="A2080" s="58">
        <v>2021</v>
      </c>
      <c r="B2080" s="5" t="s">
        <v>56</v>
      </c>
      <c r="C2080" s="5" t="s">
        <v>43</v>
      </c>
      <c r="D2080" s="6">
        <v>24485</v>
      </c>
      <c r="E2080" s="61">
        <v>70641</v>
      </c>
      <c r="F2080" s="63" t="s">
        <v>82</v>
      </c>
    </row>
    <row r="2081" spans="1:6" x14ac:dyDescent="0.45">
      <c r="A2081" s="57">
        <v>2021</v>
      </c>
      <c r="B2081" s="3" t="s">
        <v>56</v>
      </c>
      <c r="C2081" s="3" t="s">
        <v>44</v>
      </c>
      <c r="D2081" s="4">
        <v>5970</v>
      </c>
      <c r="E2081" s="60">
        <v>74986</v>
      </c>
      <c r="F2081" s="63" t="s">
        <v>81</v>
      </c>
    </row>
    <row r="2082" spans="1:6" x14ac:dyDescent="0.45">
      <c r="A2082" s="58">
        <v>2021</v>
      </c>
      <c r="B2082" s="5" t="s">
        <v>56</v>
      </c>
      <c r="C2082" s="5" t="s">
        <v>45</v>
      </c>
      <c r="D2082" s="6">
        <v>59342</v>
      </c>
      <c r="E2082" s="61">
        <v>96327</v>
      </c>
      <c r="F2082" s="63" t="s">
        <v>82</v>
      </c>
    </row>
    <row r="2083" spans="1:6" x14ac:dyDescent="0.45">
      <c r="A2083" s="57">
        <v>2021</v>
      </c>
      <c r="B2083" s="3" t="s">
        <v>56</v>
      </c>
      <c r="C2083" s="3" t="s">
        <v>46</v>
      </c>
      <c r="D2083" s="4">
        <v>41249</v>
      </c>
      <c r="E2083" s="60">
        <v>91460</v>
      </c>
      <c r="F2083" s="63" t="s">
        <v>81</v>
      </c>
    </row>
    <row r="2084" spans="1:6" x14ac:dyDescent="0.45">
      <c r="A2084" s="58">
        <v>2021</v>
      </c>
      <c r="B2084" s="5" t="s">
        <v>56</v>
      </c>
      <c r="C2084" s="5" t="s">
        <v>47</v>
      </c>
      <c r="D2084" s="6">
        <v>8381</v>
      </c>
      <c r="E2084" s="61">
        <v>58180</v>
      </c>
      <c r="F2084" s="63" t="s">
        <v>81</v>
      </c>
    </row>
    <row r="2085" spans="1:6" x14ac:dyDescent="0.45">
      <c r="A2085" s="57">
        <v>2021</v>
      </c>
      <c r="B2085" s="3" t="s">
        <v>56</v>
      </c>
      <c r="C2085" s="3" t="s">
        <v>48</v>
      </c>
      <c r="D2085" s="4">
        <v>26927</v>
      </c>
      <c r="E2085" s="60">
        <v>69192</v>
      </c>
      <c r="F2085" s="63" t="s">
        <v>82</v>
      </c>
    </row>
    <row r="2086" spans="1:6" x14ac:dyDescent="0.45">
      <c r="A2086" s="58">
        <v>2021</v>
      </c>
      <c r="B2086" s="5" t="s">
        <v>56</v>
      </c>
      <c r="C2086" s="5" t="s">
        <v>49</v>
      </c>
      <c r="D2086" s="6">
        <v>4728</v>
      </c>
      <c r="E2086" s="61">
        <v>62253</v>
      </c>
      <c r="F2086" s="63" t="s">
        <v>82</v>
      </c>
    </row>
    <row r="2087" spans="1:6" x14ac:dyDescent="0.45">
      <c r="A2087" s="57">
        <v>2021</v>
      </c>
      <c r="B2087" s="3" t="s">
        <v>57</v>
      </c>
      <c r="C2087" s="3" t="s">
        <v>2</v>
      </c>
      <c r="D2087" s="4">
        <v>13692</v>
      </c>
      <c r="E2087" s="60">
        <v>53785</v>
      </c>
      <c r="F2087" s="63" t="s">
        <v>81</v>
      </c>
    </row>
    <row r="2088" spans="1:6" x14ac:dyDescent="0.45">
      <c r="A2088" s="58">
        <v>2021</v>
      </c>
      <c r="B2088" s="5" t="s">
        <v>57</v>
      </c>
      <c r="C2088" s="5" t="s">
        <v>3</v>
      </c>
      <c r="D2088" s="6">
        <v>19924</v>
      </c>
      <c r="E2088" s="61">
        <v>58632</v>
      </c>
      <c r="F2088" s="63" t="s">
        <v>81</v>
      </c>
    </row>
    <row r="2089" spans="1:6" x14ac:dyDescent="0.45">
      <c r="A2089" s="57">
        <v>2021</v>
      </c>
      <c r="B2089" s="3" t="s">
        <v>57</v>
      </c>
      <c r="C2089" s="3" t="s">
        <v>4</v>
      </c>
      <c r="D2089" s="4">
        <v>15780</v>
      </c>
      <c r="E2089" s="60">
        <v>49983</v>
      </c>
      <c r="F2089" s="63" t="s">
        <v>82</v>
      </c>
    </row>
    <row r="2090" spans="1:6" x14ac:dyDescent="0.45">
      <c r="A2090" s="58">
        <v>2021</v>
      </c>
      <c r="B2090" s="5" t="s">
        <v>57</v>
      </c>
      <c r="C2090" s="5" t="s">
        <v>5</v>
      </c>
      <c r="D2090" s="6">
        <v>639529</v>
      </c>
      <c r="E2090" s="61">
        <v>59909</v>
      </c>
      <c r="F2090" s="63" t="s">
        <v>82</v>
      </c>
    </row>
    <row r="2091" spans="1:6" x14ac:dyDescent="0.45">
      <c r="A2091" s="57">
        <v>2021</v>
      </c>
      <c r="B2091" s="3" t="s">
        <v>57</v>
      </c>
      <c r="C2091" s="3" t="s">
        <v>6</v>
      </c>
      <c r="D2091" s="4">
        <v>21747</v>
      </c>
      <c r="E2091" s="60">
        <v>57600</v>
      </c>
      <c r="F2091" s="63" t="s">
        <v>82</v>
      </c>
    </row>
    <row r="2092" spans="1:6" x14ac:dyDescent="0.45">
      <c r="A2092" s="58">
        <v>2021</v>
      </c>
      <c r="B2092" s="5" t="s">
        <v>57</v>
      </c>
      <c r="C2092" s="5" t="s">
        <v>7</v>
      </c>
      <c r="D2092" s="6">
        <v>13478</v>
      </c>
      <c r="E2092" s="61">
        <v>63419</v>
      </c>
      <c r="F2092" s="63" t="s">
        <v>82</v>
      </c>
    </row>
    <row r="2093" spans="1:6" x14ac:dyDescent="0.45">
      <c r="A2093" s="57">
        <v>2021</v>
      </c>
      <c r="B2093" s="3" t="s">
        <v>57</v>
      </c>
      <c r="C2093" s="3" t="s">
        <v>8</v>
      </c>
      <c r="D2093" s="4">
        <v>5386</v>
      </c>
      <c r="E2093" s="60">
        <v>61284</v>
      </c>
      <c r="F2093" s="63" t="s">
        <v>82</v>
      </c>
    </row>
    <row r="2094" spans="1:6" x14ac:dyDescent="0.45">
      <c r="A2094" s="58">
        <v>2021</v>
      </c>
      <c r="B2094" s="5" t="s">
        <v>57</v>
      </c>
      <c r="C2094" s="5" t="s">
        <v>9</v>
      </c>
      <c r="D2094" s="6">
        <v>76615</v>
      </c>
      <c r="E2094" s="61">
        <v>58039</v>
      </c>
      <c r="F2094" s="63" t="s">
        <v>81</v>
      </c>
    </row>
    <row r="2095" spans="1:6" x14ac:dyDescent="0.45">
      <c r="A2095" s="57">
        <v>2021</v>
      </c>
      <c r="B2095" s="3" t="s">
        <v>57</v>
      </c>
      <c r="C2095" s="3" t="s">
        <v>10</v>
      </c>
      <c r="D2095" s="4">
        <v>29998</v>
      </c>
      <c r="E2095" s="60">
        <v>59810</v>
      </c>
      <c r="F2095" s="63" t="s">
        <v>81</v>
      </c>
    </row>
    <row r="2096" spans="1:6" x14ac:dyDescent="0.45">
      <c r="A2096" s="58">
        <v>2021</v>
      </c>
      <c r="B2096" s="5" t="s">
        <v>57</v>
      </c>
      <c r="C2096" s="5" t="s">
        <v>11</v>
      </c>
      <c r="D2096" s="6">
        <v>8163</v>
      </c>
      <c r="E2096" s="61">
        <v>49475</v>
      </c>
      <c r="F2096" s="63" t="s">
        <v>82</v>
      </c>
    </row>
    <row r="2097" spans="1:6" x14ac:dyDescent="0.45">
      <c r="A2097" s="57">
        <v>2021</v>
      </c>
      <c r="B2097" s="3" t="s">
        <v>57</v>
      </c>
      <c r="C2097" s="3" t="s">
        <v>12</v>
      </c>
      <c r="D2097" s="4">
        <v>35102</v>
      </c>
      <c r="E2097" s="60">
        <v>58038</v>
      </c>
      <c r="F2097" s="63" t="s">
        <v>81</v>
      </c>
    </row>
    <row r="2098" spans="1:6" x14ac:dyDescent="0.45">
      <c r="A2098" s="58">
        <v>2021</v>
      </c>
      <c r="B2098" s="5" t="s">
        <v>57</v>
      </c>
      <c r="C2098" s="5" t="s">
        <v>13</v>
      </c>
      <c r="D2098" s="6">
        <v>16247</v>
      </c>
      <c r="E2098" s="61">
        <v>55107</v>
      </c>
      <c r="F2098" s="63" t="s">
        <v>81</v>
      </c>
    </row>
    <row r="2099" spans="1:6" x14ac:dyDescent="0.45">
      <c r="A2099" s="57">
        <v>2021</v>
      </c>
      <c r="B2099" s="3" t="s">
        <v>57</v>
      </c>
      <c r="C2099" s="3" t="s">
        <v>14</v>
      </c>
      <c r="D2099" s="4">
        <v>11966</v>
      </c>
      <c r="E2099" s="60">
        <v>50392</v>
      </c>
      <c r="F2099" s="63" t="s">
        <v>82</v>
      </c>
    </row>
    <row r="2100" spans="1:6" x14ac:dyDescent="0.45">
      <c r="A2100" s="58">
        <v>2021</v>
      </c>
      <c r="B2100" s="5" t="s">
        <v>57</v>
      </c>
      <c r="C2100" s="5" t="s">
        <v>15</v>
      </c>
      <c r="D2100" s="6">
        <v>10085</v>
      </c>
      <c r="E2100" s="61">
        <v>49909</v>
      </c>
      <c r="F2100" s="63" t="s">
        <v>82</v>
      </c>
    </row>
    <row r="2101" spans="1:6" x14ac:dyDescent="0.45">
      <c r="A2101" s="57">
        <v>2021</v>
      </c>
      <c r="B2101" s="3" t="s">
        <v>57</v>
      </c>
      <c r="C2101" s="3" t="s">
        <v>16</v>
      </c>
      <c r="D2101" s="4">
        <v>18442</v>
      </c>
      <c r="E2101" s="60">
        <v>55141</v>
      </c>
      <c r="F2101" s="63" t="s">
        <v>81</v>
      </c>
    </row>
    <row r="2102" spans="1:6" x14ac:dyDescent="0.45">
      <c r="A2102" s="58">
        <v>2021</v>
      </c>
      <c r="B2102" s="5" t="s">
        <v>57</v>
      </c>
      <c r="C2102" s="5" t="s">
        <v>17</v>
      </c>
      <c r="D2102" s="6">
        <v>16110</v>
      </c>
      <c r="E2102" s="61">
        <v>50832</v>
      </c>
      <c r="F2102" s="63" t="s">
        <v>81</v>
      </c>
    </row>
    <row r="2103" spans="1:6" x14ac:dyDescent="0.45">
      <c r="A2103" s="57">
        <v>2021</v>
      </c>
      <c r="B2103" s="3" t="s">
        <v>57</v>
      </c>
      <c r="C2103" s="3" t="s">
        <v>18</v>
      </c>
      <c r="D2103" s="4">
        <v>5474</v>
      </c>
      <c r="E2103" s="60">
        <v>55342</v>
      </c>
      <c r="F2103" s="63" t="s">
        <v>82</v>
      </c>
    </row>
    <row r="2104" spans="1:6" x14ac:dyDescent="0.45">
      <c r="A2104" s="58">
        <v>2021</v>
      </c>
      <c r="B2104" s="5" t="s">
        <v>57</v>
      </c>
      <c r="C2104" s="5" t="s">
        <v>19</v>
      </c>
      <c r="D2104" s="6">
        <v>21419</v>
      </c>
      <c r="E2104" s="61">
        <v>61476</v>
      </c>
      <c r="F2104" s="63" t="s">
        <v>81</v>
      </c>
    </row>
    <row r="2105" spans="1:6" x14ac:dyDescent="0.45">
      <c r="A2105" s="57">
        <v>2021</v>
      </c>
      <c r="B2105" s="3" t="s">
        <v>57</v>
      </c>
      <c r="C2105" s="3" t="s">
        <v>20</v>
      </c>
      <c r="D2105" s="4">
        <v>68761</v>
      </c>
      <c r="E2105" s="60">
        <v>65886</v>
      </c>
      <c r="F2105" s="63" t="s">
        <v>82</v>
      </c>
    </row>
    <row r="2106" spans="1:6" x14ac:dyDescent="0.45">
      <c r="A2106" s="58">
        <v>2021</v>
      </c>
      <c r="B2106" s="5" t="s">
        <v>57</v>
      </c>
      <c r="C2106" s="5" t="s">
        <v>21</v>
      </c>
      <c r="D2106" s="6">
        <v>25357</v>
      </c>
      <c r="E2106" s="61">
        <v>56845</v>
      </c>
      <c r="F2106" s="63" t="s">
        <v>81</v>
      </c>
    </row>
    <row r="2107" spans="1:6" x14ac:dyDescent="0.45">
      <c r="A2107" s="57">
        <v>2021</v>
      </c>
      <c r="B2107" s="3" t="s">
        <v>57</v>
      </c>
      <c r="C2107" s="3" t="s">
        <v>22</v>
      </c>
      <c r="D2107" s="4">
        <v>20728</v>
      </c>
      <c r="E2107" s="60">
        <v>58656</v>
      </c>
      <c r="F2107" s="63" t="s">
        <v>81</v>
      </c>
    </row>
    <row r="2108" spans="1:6" x14ac:dyDescent="0.45">
      <c r="A2108" s="58">
        <v>2021</v>
      </c>
      <c r="B2108" s="5" t="s">
        <v>57</v>
      </c>
      <c r="C2108" s="5" t="s">
        <v>23</v>
      </c>
      <c r="D2108" s="6">
        <v>7557</v>
      </c>
      <c r="E2108" s="61">
        <v>48620</v>
      </c>
      <c r="F2108" s="63" t="s">
        <v>82</v>
      </c>
    </row>
    <row r="2109" spans="1:6" x14ac:dyDescent="0.45">
      <c r="A2109" s="57">
        <v>2021</v>
      </c>
      <c r="B2109" s="3" t="s">
        <v>57</v>
      </c>
      <c r="C2109" s="3" t="s">
        <v>24</v>
      </c>
      <c r="D2109" s="4">
        <v>52078</v>
      </c>
      <c r="E2109" s="60">
        <v>53562</v>
      </c>
      <c r="F2109" s="63" t="s">
        <v>82</v>
      </c>
    </row>
    <row r="2110" spans="1:6" x14ac:dyDescent="0.45">
      <c r="A2110" s="58">
        <v>2021</v>
      </c>
      <c r="B2110" s="5" t="s">
        <v>57</v>
      </c>
      <c r="C2110" s="5" t="s">
        <v>25</v>
      </c>
      <c r="D2110" s="6">
        <v>4834</v>
      </c>
      <c r="E2110" s="61">
        <v>55258</v>
      </c>
      <c r="F2110" s="63" t="s">
        <v>81</v>
      </c>
    </row>
    <row r="2111" spans="1:6" x14ac:dyDescent="0.45">
      <c r="A2111" s="57">
        <v>2021</v>
      </c>
      <c r="B2111" s="3" t="s">
        <v>57</v>
      </c>
      <c r="C2111" s="3" t="s">
        <v>26</v>
      </c>
      <c r="D2111" s="4">
        <v>11559</v>
      </c>
      <c r="E2111" s="60">
        <v>54735</v>
      </c>
      <c r="F2111" s="63" t="s">
        <v>81</v>
      </c>
    </row>
    <row r="2112" spans="1:6" x14ac:dyDescent="0.45">
      <c r="A2112" s="58">
        <v>2021</v>
      </c>
      <c r="B2112" s="5" t="s">
        <v>57</v>
      </c>
      <c r="C2112" s="5" t="s">
        <v>27</v>
      </c>
      <c r="D2112" s="6">
        <v>8934</v>
      </c>
      <c r="E2112" s="61">
        <v>60808</v>
      </c>
      <c r="F2112" s="63" t="s">
        <v>82</v>
      </c>
    </row>
    <row r="2113" spans="1:6" x14ac:dyDescent="0.45">
      <c r="A2113" s="57">
        <v>2021</v>
      </c>
      <c r="B2113" s="3" t="s">
        <v>57</v>
      </c>
      <c r="C2113" s="3" t="s">
        <v>28</v>
      </c>
      <c r="D2113" s="4">
        <v>4773</v>
      </c>
      <c r="E2113" s="60">
        <v>64363</v>
      </c>
      <c r="F2113" s="63" t="s">
        <v>82</v>
      </c>
    </row>
    <row r="2114" spans="1:6" x14ac:dyDescent="0.45">
      <c r="A2114" s="58">
        <v>2021</v>
      </c>
      <c r="B2114" s="5" t="s">
        <v>57</v>
      </c>
      <c r="C2114" s="5" t="s">
        <v>29</v>
      </c>
      <c r="D2114" s="6">
        <v>40687</v>
      </c>
      <c r="E2114" s="61">
        <v>61124</v>
      </c>
      <c r="F2114" s="63" t="s">
        <v>82</v>
      </c>
    </row>
    <row r="2115" spans="1:6" x14ac:dyDescent="0.45">
      <c r="A2115" s="57">
        <v>2021</v>
      </c>
      <c r="B2115" s="3" t="s">
        <v>57</v>
      </c>
      <c r="C2115" s="3" t="s">
        <v>30</v>
      </c>
      <c r="D2115" s="4">
        <v>10974</v>
      </c>
      <c r="E2115" s="60">
        <v>48852</v>
      </c>
      <c r="F2115" s="63" t="s">
        <v>82</v>
      </c>
    </row>
    <row r="2116" spans="1:6" x14ac:dyDescent="0.45">
      <c r="A2116" s="58">
        <v>2021</v>
      </c>
      <c r="B2116" s="5" t="s">
        <v>57</v>
      </c>
      <c r="C2116" s="5" t="s">
        <v>31</v>
      </c>
      <c r="D2116" s="6">
        <v>67202</v>
      </c>
      <c r="E2116" s="61">
        <v>60638</v>
      </c>
      <c r="F2116" s="63" t="s">
        <v>82</v>
      </c>
    </row>
    <row r="2117" spans="1:6" x14ac:dyDescent="0.45">
      <c r="A2117" s="57">
        <v>2021</v>
      </c>
      <c r="B2117" s="3" t="s">
        <v>57</v>
      </c>
      <c r="C2117" s="3" t="s">
        <v>32</v>
      </c>
      <c r="D2117" s="4">
        <v>28199</v>
      </c>
      <c r="E2117" s="60">
        <v>56123</v>
      </c>
      <c r="F2117" s="63" t="s">
        <v>81</v>
      </c>
    </row>
    <row r="2118" spans="1:6" x14ac:dyDescent="0.45">
      <c r="A2118" s="58">
        <v>2021</v>
      </c>
      <c r="B2118" s="5" t="s">
        <v>57</v>
      </c>
      <c r="C2118" s="5" t="s">
        <v>33</v>
      </c>
      <c r="D2118" s="6">
        <v>2581</v>
      </c>
      <c r="E2118" s="61">
        <v>58585</v>
      </c>
      <c r="F2118" s="63" t="s">
        <v>81</v>
      </c>
    </row>
    <row r="2119" spans="1:6" x14ac:dyDescent="0.45">
      <c r="A2119" s="57">
        <v>2021</v>
      </c>
      <c r="B2119" s="3" t="s">
        <v>57</v>
      </c>
      <c r="C2119" s="3" t="s">
        <v>34</v>
      </c>
      <c r="D2119" s="4">
        <v>35525</v>
      </c>
      <c r="E2119" s="60">
        <v>53891</v>
      </c>
      <c r="F2119" s="63" t="s">
        <v>82</v>
      </c>
    </row>
    <row r="2120" spans="1:6" x14ac:dyDescent="0.45">
      <c r="A2120" s="58">
        <v>2021</v>
      </c>
      <c r="B2120" s="5" t="s">
        <v>57</v>
      </c>
      <c r="C2120" s="5" t="s">
        <v>35</v>
      </c>
      <c r="D2120" s="6">
        <v>13345</v>
      </c>
      <c r="E2120" s="61">
        <v>52841</v>
      </c>
      <c r="F2120" s="63" t="s">
        <v>81</v>
      </c>
    </row>
    <row r="2121" spans="1:6" x14ac:dyDescent="0.45">
      <c r="A2121" s="57">
        <v>2021</v>
      </c>
      <c r="B2121" s="3" t="s">
        <v>57</v>
      </c>
      <c r="C2121" s="3" t="s">
        <v>36</v>
      </c>
      <c r="D2121" s="4">
        <v>16113</v>
      </c>
      <c r="E2121" s="60">
        <v>57842</v>
      </c>
      <c r="F2121" s="63" t="s">
        <v>81</v>
      </c>
    </row>
    <row r="2122" spans="1:6" x14ac:dyDescent="0.45">
      <c r="A2122" s="58">
        <v>2021</v>
      </c>
      <c r="B2122" s="5" t="s">
        <v>57</v>
      </c>
      <c r="C2122" s="5" t="s">
        <v>37</v>
      </c>
      <c r="D2122" s="6">
        <v>57945</v>
      </c>
      <c r="E2122" s="61">
        <v>59416</v>
      </c>
      <c r="F2122" s="63" t="s">
        <v>82</v>
      </c>
    </row>
    <row r="2123" spans="1:6" x14ac:dyDescent="0.45">
      <c r="A2123" s="57">
        <v>2021</v>
      </c>
      <c r="B2123" s="3" t="s">
        <v>57</v>
      </c>
      <c r="C2123" s="3" t="s">
        <v>38</v>
      </c>
      <c r="D2123" s="4">
        <v>4664</v>
      </c>
      <c r="E2123" s="60">
        <v>56458</v>
      </c>
      <c r="F2123" s="63" t="s">
        <v>82</v>
      </c>
    </row>
    <row r="2124" spans="1:6" x14ac:dyDescent="0.45">
      <c r="A2124" s="58">
        <v>2021</v>
      </c>
      <c r="B2124" s="5" t="s">
        <v>57</v>
      </c>
      <c r="C2124" s="5" t="s">
        <v>39</v>
      </c>
      <c r="D2124" s="6">
        <v>12757</v>
      </c>
      <c r="E2124" s="61">
        <v>53296</v>
      </c>
      <c r="F2124" s="63" t="s">
        <v>81</v>
      </c>
    </row>
    <row r="2125" spans="1:6" x14ac:dyDescent="0.45">
      <c r="A2125" s="57">
        <v>2021</v>
      </c>
      <c r="B2125" s="3" t="s">
        <v>57</v>
      </c>
      <c r="C2125" s="3" t="s">
        <v>40</v>
      </c>
      <c r="D2125" s="4">
        <v>2904</v>
      </c>
      <c r="E2125" s="60">
        <v>58412</v>
      </c>
      <c r="F2125" s="63" t="s">
        <v>81</v>
      </c>
    </row>
    <row r="2126" spans="1:6" x14ac:dyDescent="0.45">
      <c r="A2126" s="58">
        <v>2021</v>
      </c>
      <c r="B2126" s="5" t="s">
        <v>57</v>
      </c>
      <c r="C2126" s="5" t="s">
        <v>41</v>
      </c>
      <c r="D2126" s="6">
        <v>16563</v>
      </c>
      <c r="E2126" s="61">
        <v>59183</v>
      </c>
      <c r="F2126" s="63" t="s">
        <v>82</v>
      </c>
    </row>
    <row r="2127" spans="1:6" x14ac:dyDescent="0.45">
      <c r="A2127" s="57">
        <v>2021</v>
      </c>
      <c r="B2127" s="3" t="s">
        <v>57</v>
      </c>
      <c r="C2127" s="3" t="s">
        <v>42</v>
      </c>
      <c r="D2127" s="4">
        <v>94237</v>
      </c>
      <c r="E2127" s="60">
        <v>55322</v>
      </c>
      <c r="F2127" s="63" t="s">
        <v>81</v>
      </c>
    </row>
    <row r="2128" spans="1:6" x14ac:dyDescent="0.45">
      <c r="A2128" s="58">
        <v>2021</v>
      </c>
      <c r="B2128" s="5" t="s">
        <v>57</v>
      </c>
      <c r="C2128" s="5" t="s">
        <v>43</v>
      </c>
      <c r="D2128" s="6">
        <v>12857</v>
      </c>
      <c r="E2128" s="61">
        <v>50983</v>
      </c>
      <c r="F2128" s="63" t="s">
        <v>82</v>
      </c>
    </row>
    <row r="2129" spans="1:6" x14ac:dyDescent="0.45">
      <c r="A2129" s="57">
        <v>2021</v>
      </c>
      <c r="B2129" s="3" t="s">
        <v>57</v>
      </c>
      <c r="C2129" s="3" t="s">
        <v>44</v>
      </c>
      <c r="D2129" s="4">
        <v>2503</v>
      </c>
      <c r="E2129" s="60">
        <v>54501</v>
      </c>
      <c r="F2129" s="63" t="s">
        <v>81</v>
      </c>
    </row>
    <row r="2130" spans="1:6" x14ac:dyDescent="0.45">
      <c r="A2130" s="58">
        <v>2021</v>
      </c>
      <c r="B2130" s="5" t="s">
        <v>57</v>
      </c>
      <c r="C2130" s="5" t="s">
        <v>45</v>
      </c>
      <c r="D2130" s="6">
        <v>50144</v>
      </c>
      <c r="E2130" s="61">
        <v>56876</v>
      </c>
      <c r="F2130" s="63" t="s">
        <v>81</v>
      </c>
    </row>
    <row r="2131" spans="1:6" x14ac:dyDescent="0.45">
      <c r="A2131" s="57">
        <v>2021</v>
      </c>
      <c r="B2131" s="3" t="s">
        <v>57</v>
      </c>
      <c r="C2131" s="3" t="s">
        <v>46</v>
      </c>
      <c r="D2131" s="4">
        <v>64023</v>
      </c>
      <c r="E2131" s="60">
        <v>59267</v>
      </c>
      <c r="F2131" s="63" t="s">
        <v>82</v>
      </c>
    </row>
    <row r="2132" spans="1:6" x14ac:dyDescent="0.45">
      <c r="A2132" s="58">
        <v>2021</v>
      </c>
      <c r="B2132" s="5" t="s">
        <v>57</v>
      </c>
      <c r="C2132" s="5" t="s">
        <v>47</v>
      </c>
      <c r="D2132" s="6">
        <v>5755</v>
      </c>
      <c r="E2132" s="61">
        <v>53876</v>
      </c>
      <c r="F2132" s="63" t="s">
        <v>82</v>
      </c>
    </row>
    <row r="2133" spans="1:6" x14ac:dyDescent="0.45">
      <c r="A2133" s="57">
        <v>2021</v>
      </c>
      <c r="B2133" s="3" t="s">
        <v>57</v>
      </c>
      <c r="C2133" s="3" t="s">
        <v>48</v>
      </c>
      <c r="D2133" s="4">
        <v>29257</v>
      </c>
      <c r="E2133" s="60">
        <v>56951</v>
      </c>
      <c r="F2133" s="63" t="s">
        <v>81</v>
      </c>
    </row>
    <row r="2134" spans="1:6" x14ac:dyDescent="0.45">
      <c r="A2134" s="58">
        <v>2021</v>
      </c>
      <c r="B2134" s="5" t="s">
        <v>57</v>
      </c>
      <c r="C2134" s="5" t="s">
        <v>49</v>
      </c>
      <c r="D2134" s="6">
        <v>3384</v>
      </c>
      <c r="E2134" s="61">
        <v>50083</v>
      </c>
      <c r="F2134" s="63" t="s">
        <v>81</v>
      </c>
    </row>
    <row r="2135" spans="1:6" x14ac:dyDescent="0.45">
      <c r="A2135" s="57">
        <v>2021</v>
      </c>
      <c r="B2135" s="3" t="s">
        <v>58</v>
      </c>
      <c r="C2135" s="3" t="s">
        <v>2</v>
      </c>
      <c r="D2135" s="4">
        <v>11180</v>
      </c>
      <c r="E2135" s="60">
        <v>23618</v>
      </c>
      <c r="F2135" s="63" t="s">
        <v>82</v>
      </c>
    </row>
    <row r="2136" spans="1:6" x14ac:dyDescent="0.45">
      <c r="A2136" s="58">
        <v>2021</v>
      </c>
      <c r="B2136" s="5" t="s">
        <v>55</v>
      </c>
      <c r="C2136" s="5" t="s">
        <v>31</v>
      </c>
      <c r="D2136" s="6">
        <v>63310</v>
      </c>
      <c r="E2136" s="61">
        <v>197494</v>
      </c>
      <c r="F2136" s="63" t="s">
        <v>82</v>
      </c>
    </row>
    <row r="2137" spans="1:6" x14ac:dyDescent="0.45">
      <c r="A2137" s="57">
        <v>2021</v>
      </c>
      <c r="B2137" s="3" t="s">
        <v>55</v>
      </c>
      <c r="C2137" s="3" t="s">
        <v>32</v>
      </c>
      <c r="D2137" s="4">
        <v>28672</v>
      </c>
      <c r="E2137" s="60">
        <v>95886</v>
      </c>
      <c r="F2137" s="63" t="s">
        <v>82</v>
      </c>
    </row>
    <row r="2138" spans="1:6" x14ac:dyDescent="0.45">
      <c r="A2138" s="58">
        <v>2021</v>
      </c>
      <c r="B2138" s="5" t="s">
        <v>55</v>
      </c>
      <c r="C2138" s="5" t="s">
        <v>33</v>
      </c>
      <c r="D2138" s="6">
        <v>2985</v>
      </c>
      <c r="E2138" s="61">
        <v>71784</v>
      </c>
      <c r="F2138" s="63" t="s">
        <v>82</v>
      </c>
    </row>
    <row r="2139" spans="1:6" x14ac:dyDescent="0.45">
      <c r="A2139" s="57">
        <v>2021</v>
      </c>
      <c r="B2139" s="3" t="s">
        <v>55</v>
      </c>
      <c r="C2139" s="3" t="s">
        <v>34</v>
      </c>
      <c r="D2139" s="4">
        <v>29119</v>
      </c>
      <c r="E2139" s="60">
        <v>81683</v>
      </c>
      <c r="F2139" s="63" t="s">
        <v>82</v>
      </c>
    </row>
    <row r="2140" spans="1:6" x14ac:dyDescent="0.45">
      <c r="A2140" s="58">
        <v>2021</v>
      </c>
      <c r="B2140" s="5" t="s">
        <v>55</v>
      </c>
      <c r="C2140" s="5" t="s">
        <v>35</v>
      </c>
      <c r="D2140" s="6">
        <v>11672</v>
      </c>
      <c r="E2140" s="61">
        <v>65814</v>
      </c>
      <c r="F2140" s="63" t="s">
        <v>81</v>
      </c>
    </row>
    <row r="2141" spans="1:6" x14ac:dyDescent="0.45">
      <c r="A2141" s="57">
        <v>2021</v>
      </c>
      <c r="B2141" s="3" t="s">
        <v>55</v>
      </c>
      <c r="C2141" s="3" t="s">
        <v>36</v>
      </c>
      <c r="D2141" s="4">
        <v>13190</v>
      </c>
      <c r="E2141" s="60">
        <v>79291</v>
      </c>
      <c r="F2141" s="63" t="s">
        <v>81</v>
      </c>
    </row>
    <row r="2142" spans="1:6" x14ac:dyDescent="0.45">
      <c r="A2142" s="58">
        <v>2021</v>
      </c>
      <c r="B2142" s="5" t="s">
        <v>55</v>
      </c>
      <c r="C2142" s="5" t="s">
        <v>37</v>
      </c>
      <c r="D2142" s="6">
        <v>29264</v>
      </c>
      <c r="E2142" s="61">
        <v>96778</v>
      </c>
      <c r="F2142" s="63" t="s">
        <v>82</v>
      </c>
    </row>
    <row r="2143" spans="1:6" x14ac:dyDescent="0.45">
      <c r="A2143" s="57">
        <v>2021</v>
      </c>
      <c r="B2143" s="3" t="s">
        <v>55</v>
      </c>
      <c r="C2143" s="3" t="s">
        <v>38</v>
      </c>
      <c r="D2143" s="4">
        <v>2934</v>
      </c>
      <c r="E2143" s="60">
        <v>97537</v>
      </c>
      <c r="F2143" s="63" t="s">
        <v>81</v>
      </c>
    </row>
    <row r="2144" spans="1:6" x14ac:dyDescent="0.45">
      <c r="A2144" s="58">
        <v>2021</v>
      </c>
      <c r="B2144" s="5" t="s">
        <v>55</v>
      </c>
      <c r="C2144" s="5" t="s">
        <v>39</v>
      </c>
      <c r="D2144" s="6">
        <v>14196</v>
      </c>
      <c r="E2144" s="61">
        <v>70481</v>
      </c>
      <c r="F2144" s="63" t="s">
        <v>81</v>
      </c>
    </row>
    <row r="2145" spans="1:6" x14ac:dyDescent="0.45">
      <c r="A2145" s="57">
        <v>2021</v>
      </c>
      <c r="B2145" s="3" t="s">
        <v>55</v>
      </c>
      <c r="C2145" s="3" t="s">
        <v>40</v>
      </c>
      <c r="D2145" s="4">
        <v>3315</v>
      </c>
      <c r="E2145" s="60">
        <v>69499</v>
      </c>
      <c r="F2145" s="63" t="s">
        <v>82</v>
      </c>
    </row>
    <row r="2146" spans="1:6" x14ac:dyDescent="0.45">
      <c r="A2146" s="58">
        <v>2021</v>
      </c>
      <c r="B2146" s="5" t="s">
        <v>55</v>
      </c>
      <c r="C2146" s="5" t="s">
        <v>41</v>
      </c>
      <c r="D2146" s="6">
        <v>16270</v>
      </c>
      <c r="E2146" s="61">
        <v>83805</v>
      </c>
      <c r="F2146" s="63" t="s">
        <v>82</v>
      </c>
    </row>
    <row r="2147" spans="1:6" x14ac:dyDescent="0.45">
      <c r="A2147" s="57">
        <v>2021</v>
      </c>
      <c r="B2147" s="3" t="s">
        <v>55</v>
      </c>
      <c r="C2147" s="3" t="s">
        <v>42</v>
      </c>
      <c r="D2147" s="4">
        <v>76169</v>
      </c>
      <c r="E2147" s="60">
        <v>92718</v>
      </c>
      <c r="F2147" s="63" t="s">
        <v>81</v>
      </c>
    </row>
    <row r="2148" spans="1:6" x14ac:dyDescent="0.45">
      <c r="A2148" s="58">
        <v>2021</v>
      </c>
      <c r="B2148" s="5" t="s">
        <v>55</v>
      </c>
      <c r="C2148" s="5" t="s">
        <v>43</v>
      </c>
      <c r="D2148" s="6">
        <v>11885</v>
      </c>
      <c r="E2148" s="61">
        <v>76967</v>
      </c>
      <c r="F2148" s="63" t="s">
        <v>81</v>
      </c>
    </row>
    <row r="2149" spans="1:6" x14ac:dyDescent="0.45">
      <c r="A2149" s="57">
        <v>2021</v>
      </c>
      <c r="B2149" s="3" t="s">
        <v>55</v>
      </c>
      <c r="C2149" s="3" t="s">
        <v>44</v>
      </c>
      <c r="D2149" s="4">
        <v>1709</v>
      </c>
      <c r="E2149" s="60">
        <v>80642</v>
      </c>
      <c r="F2149" s="63" t="s">
        <v>82</v>
      </c>
    </row>
    <row r="2150" spans="1:6" x14ac:dyDescent="0.45">
      <c r="A2150" s="58">
        <v>2021</v>
      </c>
      <c r="B2150" s="5" t="s">
        <v>55</v>
      </c>
      <c r="C2150" s="5" t="s">
        <v>45</v>
      </c>
      <c r="D2150" s="6">
        <v>22249</v>
      </c>
      <c r="E2150" s="61">
        <v>94029</v>
      </c>
      <c r="F2150" s="63" t="s">
        <v>81</v>
      </c>
    </row>
    <row r="2151" spans="1:6" x14ac:dyDescent="0.45">
      <c r="A2151" s="57">
        <v>2021</v>
      </c>
      <c r="B2151" s="3" t="s">
        <v>55</v>
      </c>
      <c r="C2151" s="3" t="s">
        <v>46</v>
      </c>
      <c r="D2151" s="4">
        <v>17624</v>
      </c>
      <c r="E2151" s="60">
        <v>91242</v>
      </c>
      <c r="F2151" s="63" t="s">
        <v>82</v>
      </c>
    </row>
    <row r="2152" spans="1:6" x14ac:dyDescent="0.45">
      <c r="A2152" s="58">
        <v>2021</v>
      </c>
      <c r="B2152" s="5" t="s">
        <v>55</v>
      </c>
      <c r="C2152" s="5" t="s">
        <v>47</v>
      </c>
      <c r="D2152" s="6">
        <v>4003</v>
      </c>
      <c r="E2152" s="61">
        <v>60528</v>
      </c>
      <c r="F2152" s="63" t="s">
        <v>81</v>
      </c>
    </row>
    <row r="2153" spans="1:6" x14ac:dyDescent="0.45">
      <c r="A2153" s="57">
        <v>2021</v>
      </c>
      <c r="B2153" s="3" t="s">
        <v>55</v>
      </c>
      <c r="C2153" s="3" t="s">
        <v>48</v>
      </c>
      <c r="D2153" s="4">
        <v>14066</v>
      </c>
      <c r="E2153" s="60">
        <v>80040</v>
      </c>
      <c r="F2153" s="63" t="s">
        <v>81</v>
      </c>
    </row>
    <row r="2154" spans="1:6" x14ac:dyDescent="0.45">
      <c r="A2154" s="58">
        <v>2021</v>
      </c>
      <c r="B2154" s="5" t="s">
        <v>55</v>
      </c>
      <c r="C2154" s="5" t="s">
        <v>49</v>
      </c>
      <c r="D2154" s="6">
        <v>2306</v>
      </c>
      <c r="E2154" s="61">
        <v>66849</v>
      </c>
      <c r="F2154" s="63" t="s">
        <v>82</v>
      </c>
    </row>
    <row r="2155" spans="1:6" x14ac:dyDescent="0.45">
      <c r="A2155" s="57">
        <v>2021</v>
      </c>
      <c r="B2155" s="3" t="s">
        <v>56</v>
      </c>
      <c r="C2155" s="3" t="s">
        <v>2</v>
      </c>
      <c r="D2155" s="4">
        <v>22186</v>
      </c>
      <c r="E2155" s="60">
        <v>63061</v>
      </c>
      <c r="F2155" s="63" t="s">
        <v>82</v>
      </c>
    </row>
    <row r="2156" spans="1:6" x14ac:dyDescent="0.45">
      <c r="A2156" s="58">
        <v>2021</v>
      </c>
      <c r="B2156" s="5" t="s">
        <v>56</v>
      </c>
      <c r="C2156" s="5" t="s">
        <v>3</v>
      </c>
      <c r="D2156" s="6">
        <v>38940</v>
      </c>
      <c r="E2156" s="61">
        <v>64892</v>
      </c>
      <c r="F2156" s="63" t="s">
        <v>81</v>
      </c>
    </row>
    <row r="2157" spans="1:6" x14ac:dyDescent="0.45">
      <c r="A2157" s="57">
        <v>2021</v>
      </c>
      <c r="B2157" s="3" t="s">
        <v>56</v>
      </c>
      <c r="C2157" s="3" t="s">
        <v>4</v>
      </c>
      <c r="D2157" s="4">
        <v>14911</v>
      </c>
      <c r="E2157" s="60">
        <v>69354</v>
      </c>
      <c r="F2157" s="63" t="s">
        <v>81</v>
      </c>
    </row>
    <row r="2158" spans="1:6" x14ac:dyDescent="0.45">
      <c r="A2158" s="58">
        <v>2021</v>
      </c>
      <c r="B2158" s="5" t="s">
        <v>56</v>
      </c>
      <c r="C2158" s="5" t="s">
        <v>5</v>
      </c>
      <c r="D2158" s="6">
        <v>215691</v>
      </c>
      <c r="E2158" s="61">
        <v>101348</v>
      </c>
      <c r="F2158" s="63" t="s">
        <v>82</v>
      </c>
    </row>
    <row r="2159" spans="1:6" x14ac:dyDescent="0.45">
      <c r="A2159" s="57">
        <v>2021</v>
      </c>
      <c r="B2159" s="3" t="s">
        <v>56</v>
      </c>
      <c r="C2159" s="3" t="s">
        <v>6</v>
      </c>
      <c r="D2159" s="4">
        <v>55003</v>
      </c>
      <c r="E2159" s="60">
        <v>92477</v>
      </c>
      <c r="F2159" s="63" t="s">
        <v>82</v>
      </c>
    </row>
    <row r="2160" spans="1:6" x14ac:dyDescent="0.45">
      <c r="A2160" s="58">
        <v>2021</v>
      </c>
      <c r="B2160" s="5" t="s">
        <v>56</v>
      </c>
      <c r="C2160" s="5" t="s">
        <v>7</v>
      </c>
      <c r="D2160" s="6">
        <v>23755</v>
      </c>
      <c r="E2160" s="61">
        <v>98139</v>
      </c>
      <c r="F2160" s="63" t="s">
        <v>82</v>
      </c>
    </row>
    <row r="2161" spans="1:6" x14ac:dyDescent="0.45">
      <c r="A2161" s="57">
        <v>2021</v>
      </c>
      <c r="B2161" s="3" t="s">
        <v>56</v>
      </c>
      <c r="C2161" s="3" t="s">
        <v>8</v>
      </c>
      <c r="D2161" s="4">
        <v>9421</v>
      </c>
      <c r="E2161" s="60">
        <v>88658</v>
      </c>
      <c r="F2161" s="63" t="s">
        <v>82</v>
      </c>
    </row>
    <row r="2162" spans="1:6" x14ac:dyDescent="0.45">
      <c r="A2162" s="58">
        <v>2021</v>
      </c>
      <c r="B2162" s="5" t="s">
        <v>56</v>
      </c>
      <c r="C2162" s="5" t="s">
        <v>9</v>
      </c>
      <c r="D2162" s="6">
        <v>170397</v>
      </c>
      <c r="E2162" s="61">
        <v>69740</v>
      </c>
      <c r="F2162" s="63" t="s">
        <v>82</v>
      </c>
    </row>
    <row r="2163" spans="1:6" x14ac:dyDescent="0.45">
      <c r="A2163" s="57">
        <v>2021</v>
      </c>
      <c r="B2163" s="3" t="s">
        <v>56</v>
      </c>
      <c r="C2163" s="3" t="s">
        <v>10</v>
      </c>
      <c r="D2163" s="4">
        <v>56304</v>
      </c>
      <c r="E2163" s="60">
        <v>77861</v>
      </c>
      <c r="F2163" s="63" t="s">
        <v>81</v>
      </c>
    </row>
    <row r="2164" spans="1:6" x14ac:dyDescent="0.45">
      <c r="A2164" s="58">
        <v>2021</v>
      </c>
      <c r="B2164" s="5" t="s">
        <v>56</v>
      </c>
      <c r="C2164" s="5" t="s">
        <v>11</v>
      </c>
      <c r="D2164" s="6">
        <v>11359</v>
      </c>
      <c r="E2164" s="61">
        <v>61072</v>
      </c>
      <c r="F2164" s="63" t="s">
        <v>81</v>
      </c>
    </row>
    <row r="2165" spans="1:6" x14ac:dyDescent="0.45">
      <c r="A2165" s="57">
        <v>2021</v>
      </c>
      <c r="B2165" s="3" t="s">
        <v>56</v>
      </c>
      <c r="C2165" s="3" t="s">
        <v>12</v>
      </c>
      <c r="D2165" s="4">
        <v>75870</v>
      </c>
      <c r="E2165" s="60">
        <v>84228</v>
      </c>
      <c r="F2165" s="63" t="s">
        <v>82</v>
      </c>
    </row>
    <row r="2166" spans="1:6" x14ac:dyDescent="0.45">
      <c r="A2166" s="58">
        <v>2021</v>
      </c>
      <c r="B2166" s="5" t="s">
        <v>56</v>
      </c>
      <c r="C2166" s="5" t="s">
        <v>13</v>
      </c>
      <c r="D2166" s="6">
        <v>30165</v>
      </c>
      <c r="E2166" s="61">
        <v>59817</v>
      </c>
      <c r="F2166" s="63" t="s">
        <v>81</v>
      </c>
    </row>
    <row r="2167" spans="1:6" x14ac:dyDescent="0.45">
      <c r="A2167" s="57">
        <v>2021</v>
      </c>
      <c r="B2167" s="3" t="s">
        <v>56</v>
      </c>
      <c r="C2167" s="3" t="s">
        <v>14</v>
      </c>
      <c r="D2167" s="4">
        <v>16421</v>
      </c>
      <c r="E2167" s="60">
        <v>62755</v>
      </c>
      <c r="F2167" s="63" t="s">
        <v>81</v>
      </c>
    </row>
    <row r="2168" spans="1:6" x14ac:dyDescent="0.45">
      <c r="A2168" s="58">
        <v>2021</v>
      </c>
      <c r="B2168" s="5" t="s">
        <v>56</v>
      </c>
      <c r="C2168" s="5" t="s">
        <v>15</v>
      </c>
      <c r="D2168" s="6">
        <v>16598</v>
      </c>
      <c r="E2168" s="61">
        <v>70554</v>
      </c>
      <c r="F2168" s="63" t="s">
        <v>82</v>
      </c>
    </row>
    <row r="2169" spans="1:6" x14ac:dyDescent="0.45">
      <c r="A2169" s="57">
        <v>2021</v>
      </c>
      <c r="B2169" s="3" t="s">
        <v>56</v>
      </c>
      <c r="C2169" s="3" t="s">
        <v>16</v>
      </c>
      <c r="D2169" s="4">
        <v>20866</v>
      </c>
      <c r="E2169" s="60">
        <v>58511</v>
      </c>
      <c r="F2169" s="63" t="s">
        <v>82</v>
      </c>
    </row>
    <row r="2170" spans="1:6" x14ac:dyDescent="0.45">
      <c r="A2170" s="58">
        <v>2021</v>
      </c>
      <c r="B2170" s="5" t="s">
        <v>56</v>
      </c>
      <c r="C2170" s="5" t="s">
        <v>17</v>
      </c>
      <c r="D2170" s="6">
        <v>25304</v>
      </c>
      <c r="E2170" s="61">
        <v>63624</v>
      </c>
      <c r="F2170" s="63" t="s">
        <v>81</v>
      </c>
    </row>
    <row r="2171" spans="1:6" x14ac:dyDescent="0.45">
      <c r="A2171" s="57">
        <v>2021</v>
      </c>
      <c r="B2171" s="3" t="s">
        <v>56</v>
      </c>
      <c r="C2171" s="3" t="s">
        <v>18</v>
      </c>
      <c r="D2171" s="4">
        <v>10504</v>
      </c>
      <c r="E2171" s="60">
        <v>66893</v>
      </c>
      <c r="F2171" s="63" t="s">
        <v>81</v>
      </c>
    </row>
    <row r="2172" spans="1:6" x14ac:dyDescent="0.45">
      <c r="A2172" s="58">
        <v>2021</v>
      </c>
      <c r="B2172" s="5" t="s">
        <v>56</v>
      </c>
      <c r="C2172" s="5" t="s">
        <v>19</v>
      </c>
      <c r="D2172" s="6">
        <v>44172</v>
      </c>
      <c r="E2172" s="61">
        <v>88573</v>
      </c>
      <c r="F2172" s="63" t="s">
        <v>82</v>
      </c>
    </row>
    <row r="2173" spans="1:6" x14ac:dyDescent="0.45">
      <c r="A2173" s="57">
        <v>2021</v>
      </c>
      <c r="B2173" s="3" t="s">
        <v>56</v>
      </c>
      <c r="C2173" s="3" t="s">
        <v>20</v>
      </c>
      <c r="D2173" s="4">
        <v>47892</v>
      </c>
      <c r="E2173" s="60">
        <v>119872</v>
      </c>
      <c r="F2173" s="63" t="s">
        <v>81</v>
      </c>
    </row>
    <row r="2174" spans="1:6" x14ac:dyDescent="0.45">
      <c r="A2174" s="58">
        <v>2021</v>
      </c>
      <c r="B2174" s="5" t="s">
        <v>56</v>
      </c>
      <c r="C2174" s="5" t="s">
        <v>21</v>
      </c>
      <c r="D2174" s="6">
        <v>44483</v>
      </c>
      <c r="E2174" s="61">
        <v>76805</v>
      </c>
      <c r="F2174" s="63" t="s">
        <v>82</v>
      </c>
    </row>
    <row r="2175" spans="1:6" x14ac:dyDescent="0.45">
      <c r="A2175" s="57">
        <v>2021</v>
      </c>
      <c r="B2175" s="3" t="s">
        <v>56</v>
      </c>
      <c r="C2175" s="3" t="s">
        <v>22</v>
      </c>
      <c r="D2175" s="4">
        <v>32903</v>
      </c>
      <c r="E2175" s="60">
        <v>91736</v>
      </c>
      <c r="F2175" s="63" t="s">
        <v>81</v>
      </c>
    </row>
    <row r="2176" spans="1:6" x14ac:dyDescent="0.45">
      <c r="A2176" s="58">
        <v>2021</v>
      </c>
      <c r="B2176" s="5" t="s">
        <v>56</v>
      </c>
      <c r="C2176" s="5" t="s">
        <v>23</v>
      </c>
      <c r="D2176" s="6">
        <v>12421</v>
      </c>
      <c r="E2176" s="61">
        <v>49023</v>
      </c>
      <c r="F2176" s="63" t="s">
        <v>81</v>
      </c>
    </row>
    <row r="2177" spans="1:6" x14ac:dyDescent="0.45">
      <c r="A2177" s="57">
        <v>2021</v>
      </c>
      <c r="B2177" s="3" t="s">
        <v>56</v>
      </c>
      <c r="C2177" s="3" t="s">
        <v>24</v>
      </c>
      <c r="D2177" s="4">
        <v>34349</v>
      </c>
      <c r="E2177" s="60">
        <v>74700</v>
      </c>
      <c r="F2177" s="63" t="s">
        <v>82</v>
      </c>
    </row>
    <row r="2178" spans="1:6" x14ac:dyDescent="0.45">
      <c r="A2178" s="58">
        <v>2021</v>
      </c>
      <c r="B2178" s="5" t="s">
        <v>56</v>
      </c>
      <c r="C2178" s="5" t="s">
        <v>25</v>
      </c>
      <c r="D2178" s="6">
        <v>9482</v>
      </c>
      <c r="E2178" s="61">
        <v>60553</v>
      </c>
      <c r="F2178" s="63" t="s">
        <v>82</v>
      </c>
    </row>
    <row r="2179" spans="1:6" x14ac:dyDescent="0.45">
      <c r="A2179" s="57">
        <v>2021</v>
      </c>
      <c r="B2179" s="3" t="s">
        <v>56</v>
      </c>
      <c r="C2179" s="3" t="s">
        <v>26</v>
      </c>
      <c r="D2179" s="4">
        <v>11737</v>
      </c>
      <c r="E2179" s="60">
        <v>66603</v>
      </c>
      <c r="F2179" s="63" t="s">
        <v>81</v>
      </c>
    </row>
    <row r="2180" spans="1:6" x14ac:dyDescent="0.45">
      <c r="A2180" s="58">
        <v>2021</v>
      </c>
      <c r="B2180" s="5" t="s">
        <v>56</v>
      </c>
      <c r="C2180" s="5" t="s">
        <v>27</v>
      </c>
      <c r="D2180" s="6">
        <v>20106</v>
      </c>
      <c r="E2180" s="61">
        <v>68008</v>
      </c>
      <c r="F2180" s="63" t="s">
        <v>81</v>
      </c>
    </row>
    <row r="2181" spans="1:6" x14ac:dyDescent="0.45">
      <c r="A2181" s="57">
        <v>2021</v>
      </c>
      <c r="B2181" s="3" t="s">
        <v>56</v>
      </c>
      <c r="C2181" s="3" t="s">
        <v>28</v>
      </c>
      <c r="D2181" s="4">
        <v>12808</v>
      </c>
      <c r="E2181" s="60">
        <v>86647</v>
      </c>
      <c r="F2181" s="63" t="s">
        <v>82</v>
      </c>
    </row>
    <row r="2182" spans="1:6" x14ac:dyDescent="0.45">
      <c r="A2182" s="58">
        <v>2021</v>
      </c>
      <c r="B2182" s="5" t="s">
        <v>56</v>
      </c>
      <c r="C2182" s="5" t="s">
        <v>29</v>
      </c>
      <c r="D2182" s="6">
        <v>52040</v>
      </c>
      <c r="E2182" s="61">
        <v>100022</v>
      </c>
      <c r="F2182" s="63" t="s">
        <v>82</v>
      </c>
    </row>
    <row r="2183" spans="1:6" x14ac:dyDescent="0.45">
      <c r="A2183" s="57">
        <v>2021</v>
      </c>
      <c r="B2183" s="3" t="s">
        <v>56</v>
      </c>
      <c r="C2183" s="3" t="s">
        <v>30</v>
      </c>
      <c r="D2183" s="4">
        <v>11347</v>
      </c>
      <c r="E2183" s="60">
        <v>70156</v>
      </c>
      <c r="F2183" s="63" t="s">
        <v>82</v>
      </c>
    </row>
    <row r="2184" spans="1:6" x14ac:dyDescent="0.45">
      <c r="A2184" s="58">
        <v>2021</v>
      </c>
      <c r="B2184" s="5" t="s">
        <v>56</v>
      </c>
      <c r="C2184" s="5" t="s">
        <v>31</v>
      </c>
      <c r="D2184" s="6">
        <v>112890</v>
      </c>
      <c r="E2184" s="61">
        <v>105615</v>
      </c>
      <c r="F2184" s="63" t="s">
        <v>82</v>
      </c>
    </row>
    <row r="2185" spans="1:6" x14ac:dyDescent="0.45">
      <c r="A2185" s="57">
        <v>2021</v>
      </c>
      <c r="B2185" s="3" t="s">
        <v>56</v>
      </c>
      <c r="C2185" s="3" t="s">
        <v>32</v>
      </c>
      <c r="D2185" s="4">
        <v>61321</v>
      </c>
      <c r="E2185" s="60">
        <v>73705</v>
      </c>
      <c r="F2185" s="63" t="s">
        <v>82</v>
      </c>
    </row>
    <row r="2186" spans="1:6" x14ac:dyDescent="0.45">
      <c r="A2186" s="58">
        <v>2021</v>
      </c>
      <c r="B2186" s="5" t="s">
        <v>56</v>
      </c>
      <c r="C2186" s="5" t="s">
        <v>33</v>
      </c>
      <c r="D2186" s="6">
        <v>5198</v>
      </c>
      <c r="E2186" s="61">
        <v>69897</v>
      </c>
      <c r="F2186" s="63" t="s">
        <v>81</v>
      </c>
    </row>
    <row r="2187" spans="1:6" x14ac:dyDescent="0.45">
      <c r="A2187" s="57">
        <v>2021</v>
      </c>
      <c r="B2187" s="3" t="s">
        <v>56</v>
      </c>
      <c r="C2187" s="3" t="s">
        <v>34</v>
      </c>
      <c r="D2187" s="4">
        <v>54330</v>
      </c>
      <c r="E2187" s="60">
        <v>72752</v>
      </c>
      <c r="F2187" s="63" t="s">
        <v>81</v>
      </c>
    </row>
    <row r="2188" spans="1:6" x14ac:dyDescent="0.45">
      <c r="A2188" s="58">
        <v>2021</v>
      </c>
      <c r="B2188" s="5" t="s">
        <v>56</v>
      </c>
      <c r="C2188" s="5" t="s">
        <v>35</v>
      </c>
      <c r="D2188" s="6">
        <v>21148</v>
      </c>
      <c r="E2188" s="61">
        <v>60841</v>
      </c>
      <c r="F2188" s="63" t="s">
        <v>82</v>
      </c>
    </row>
    <row r="2189" spans="1:6" x14ac:dyDescent="0.45">
      <c r="A2189" s="57">
        <v>2021</v>
      </c>
      <c r="B2189" s="3" t="s">
        <v>56</v>
      </c>
      <c r="C2189" s="3" t="s">
        <v>36</v>
      </c>
      <c r="D2189" s="4">
        <v>26161</v>
      </c>
      <c r="E2189" s="60">
        <v>79460</v>
      </c>
      <c r="F2189" s="63" t="s">
        <v>81</v>
      </c>
    </row>
    <row r="2190" spans="1:6" x14ac:dyDescent="0.45">
      <c r="A2190" s="58">
        <v>2021</v>
      </c>
      <c r="B2190" s="5" t="s">
        <v>56</v>
      </c>
      <c r="C2190" s="5" t="s">
        <v>37</v>
      </c>
      <c r="D2190" s="6">
        <v>64541</v>
      </c>
      <c r="E2190" s="61">
        <v>87681</v>
      </c>
      <c r="F2190" s="63" t="s">
        <v>81</v>
      </c>
    </row>
    <row r="2191" spans="1:6" x14ac:dyDescent="0.45">
      <c r="A2191" s="57">
        <v>2021</v>
      </c>
      <c r="B2191" s="3" t="s">
        <v>56</v>
      </c>
      <c r="C2191" s="3" t="s">
        <v>38</v>
      </c>
      <c r="D2191" s="4">
        <v>9043</v>
      </c>
      <c r="E2191" s="60">
        <v>74454</v>
      </c>
      <c r="F2191" s="63" t="s">
        <v>82</v>
      </c>
    </row>
    <row r="2192" spans="1:6" x14ac:dyDescent="0.45">
      <c r="A2192" s="58">
        <v>2021</v>
      </c>
      <c r="B2192" s="5" t="s">
        <v>56</v>
      </c>
      <c r="C2192" s="5" t="s">
        <v>39</v>
      </c>
      <c r="D2192" s="6">
        <v>29329</v>
      </c>
      <c r="E2192" s="61">
        <v>58492</v>
      </c>
      <c r="F2192" s="63" t="s">
        <v>82</v>
      </c>
    </row>
    <row r="2193" spans="1:6" x14ac:dyDescent="0.45">
      <c r="A2193" s="57">
        <v>2021</v>
      </c>
      <c r="B2193" s="3" t="s">
        <v>56</v>
      </c>
      <c r="C2193" s="3" t="s">
        <v>40</v>
      </c>
      <c r="D2193" s="4">
        <v>5498</v>
      </c>
      <c r="E2193" s="60">
        <v>64619</v>
      </c>
      <c r="F2193" s="63" t="s">
        <v>81</v>
      </c>
    </row>
    <row r="2194" spans="1:6" x14ac:dyDescent="0.45">
      <c r="A2194" s="58">
        <v>2021</v>
      </c>
      <c r="B2194" s="5" t="s">
        <v>56</v>
      </c>
      <c r="C2194" s="5" t="s">
        <v>41</v>
      </c>
      <c r="D2194" s="6">
        <v>30774</v>
      </c>
      <c r="E2194" s="61">
        <v>68990</v>
      </c>
      <c r="F2194" s="63" t="s">
        <v>81</v>
      </c>
    </row>
    <row r="2195" spans="1:6" x14ac:dyDescent="0.45">
      <c r="A2195" s="57">
        <v>2021</v>
      </c>
      <c r="B2195" s="3" t="s">
        <v>56</v>
      </c>
      <c r="C2195" s="3" t="s">
        <v>42</v>
      </c>
      <c r="D2195" s="4">
        <v>139953</v>
      </c>
      <c r="E2195" s="60">
        <v>83197</v>
      </c>
      <c r="F2195" s="63" t="s">
        <v>82</v>
      </c>
    </row>
    <row r="2196" spans="1:6" x14ac:dyDescent="0.45">
      <c r="A2196" s="58">
        <v>2021</v>
      </c>
      <c r="B2196" s="5" t="s">
        <v>56</v>
      </c>
      <c r="C2196" s="5" t="s">
        <v>43</v>
      </c>
      <c r="D2196" s="6">
        <v>24485</v>
      </c>
      <c r="E2196" s="61">
        <v>70641</v>
      </c>
      <c r="F2196" s="63" t="s">
        <v>81</v>
      </c>
    </row>
    <row r="2197" spans="1:6" x14ac:dyDescent="0.45">
      <c r="A2197" s="57">
        <v>2021</v>
      </c>
      <c r="B2197" s="3" t="s">
        <v>56</v>
      </c>
      <c r="C2197" s="3" t="s">
        <v>44</v>
      </c>
      <c r="D2197" s="4">
        <v>5970</v>
      </c>
      <c r="E2197" s="60">
        <v>74986</v>
      </c>
      <c r="F2197" s="63" t="s">
        <v>82</v>
      </c>
    </row>
    <row r="2198" spans="1:6" x14ac:dyDescent="0.45">
      <c r="A2198" s="58">
        <v>2021</v>
      </c>
      <c r="B2198" s="5" t="s">
        <v>56</v>
      </c>
      <c r="C2198" s="5" t="s">
        <v>45</v>
      </c>
      <c r="D2198" s="6">
        <v>59342</v>
      </c>
      <c r="E2198" s="61">
        <v>96327</v>
      </c>
      <c r="F2198" s="63" t="s">
        <v>81</v>
      </c>
    </row>
    <row r="2199" spans="1:6" x14ac:dyDescent="0.45">
      <c r="A2199" s="57">
        <v>2021</v>
      </c>
      <c r="B2199" s="3" t="s">
        <v>56</v>
      </c>
      <c r="C2199" s="3" t="s">
        <v>46</v>
      </c>
      <c r="D2199" s="4">
        <v>41249</v>
      </c>
      <c r="E2199" s="60">
        <v>91460</v>
      </c>
      <c r="F2199" s="63" t="s">
        <v>81</v>
      </c>
    </row>
    <row r="2200" spans="1:6" x14ac:dyDescent="0.45">
      <c r="A2200" s="58">
        <v>2021</v>
      </c>
      <c r="B2200" s="5" t="s">
        <v>56</v>
      </c>
      <c r="C2200" s="5" t="s">
        <v>47</v>
      </c>
      <c r="D2200" s="6">
        <v>8381</v>
      </c>
      <c r="E2200" s="61">
        <v>58180</v>
      </c>
      <c r="F2200" s="63" t="s">
        <v>82</v>
      </c>
    </row>
    <row r="2201" spans="1:6" x14ac:dyDescent="0.45">
      <c r="A2201" s="57">
        <v>2021</v>
      </c>
      <c r="B2201" s="3" t="s">
        <v>56</v>
      </c>
      <c r="C2201" s="3" t="s">
        <v>48</v>
      </c>
      <c r="D2201" s="4">
        <v>26927</v>
      </c>
      <c r="E2201" s="60">
        <v>69192</v>
      </c>
      <c r="F2201" s="63" t="s">
        <v>82</v>
      </c>
    </row>
    <row r="2202" spans="1:6" x14ac:dyDescent="0.45">
      <c r="A2202" s="58">
        <v>2021</v>
      </c>
      <c r="B2202" s="5" t="s">
        <v>56</v>
      </c>
      <c r="C2202" s="5" t="s">
        <v>49</v>
      </c>
      <c r="D2202" s="6">
        <v>4728</v>
      </c>
      <c r="E2202" s="61">
        <v>62253</v>
      </c>
      <c r="F2202" s="63" t="s">
        <v>81</v>
      </c>
    </row>
    <row r="2203" spans="1:6" x14ac:dyDescent="0.45">
      <c r="A2203" s="57">
        <v>2021</v>
      </c>
      <c r="B2203" s="3" t="s">
        <v>57</v>
      </c>
      <c r="C2203" s="3" t="s">
        <v>2</v>
      </c>
      <c r="D2203" s="4">
        <v>13692</v>
      </c>
      <c r="E2203" s="60">
        <v>53785</v>
      </c>
      <c r="F2203" s="63" t="s">
        <v>81</v>
      </c>
    </row>
    <row r="2204" spans="1:6" x14ac:dyDescent="0.45">
      <c r="A2204" s="58">
        <v>2021</v>
      </c>
      <c r="B2204" s="5" t="s">
        <v>57</v>
      </c>
      <c r="C2204" s="5" t="s">
        <v>3</v>
      </c>
      <c r="D2204" s="6">
        <v>19924</v>
      </c>
      <c r="E2204" s="61">
        <v>58632</v>
      </c>
      <c r="F2204" s="63" t="s">
        <v>82</v>
      </c>
    </row>
    <row r="2205" spans="1:6" x14ac:dyDescent="0.45">
      <c r="A2205" s="57">
        <v>2021</v>
      </c>
      <c r="B2205" s="3" t="s">
        <v>57</v>
      </c>
      <c r="C2205" s="3" t="s">
        <v>4</v>
      </c>
      <c r="D2205" s="4">
        <v>15780</v>
      </c>
      <c r="E2205" s="60">
        <v>49983</v>
      </c>
      <c r="F2205" s="63" t="s">
        <v>82</v>
      </c>
    </row>
    <row r="2206" spans="1:6" x14ac:dyDescent="0.45">
      <c r="A2206" s="58">
        <v>2021</v>
      </c>
      <c r="B2206" s="5" t="s">
        <v>57</v>
      </c>
      <c r="C2206" s="5" t="s">
        <v>5</v>
      </c>
      <c r="D2206" s="6">
        <v>639529</v>
      </c>
      <c r="E2206" s="61">
        <v>59909</v>
      </c>
      <c r="F2206" s="63" t="s">
        <v>82</v>
      </c>
    </row>
    <row r="2207" spans="1:6" x14ac:dyDescent="0.45">
      <c r="A2207" s="57">
        <v>2021</v>
      </c>
      <c r="B2207" s="3" t="s">
        <v>57</v>
      </c>
      <c r="C2207" s="3" t="s">
        <v>6</v>
      </c>
      <c r="D2207" s="4">
        <v>21747</v>
      </c>
      <c r="E2207" s="60">
        <v>57600</v>
      </c>
      <c r="F2207" s="63" t="s">
        <v>82</v>
      </c>
    </row>
    <row r="2208" spans="1:6" x14ac:dyDescent="0.45">
      <c r="A2208" s="58">
        <v>2021</v>
      </c>
      <c r="B2208" s="5" t="s">
        <v>57</v>
      </c>
      <c r="C2208" s="5" t="s">
        <v>7</v>
      </c>
      <c r="D2208" s="6">
        <v>13478</v>
      </c>
      <c r="E2208" s="61">
        <v>63419</v>
      </c>
      <c r="F2208" s="63" t="s">
        <v>82</v>
      </c>
    </row>
    <row r="2209" spans="1:6" x14ac:dyDescent="0.45">
      <c r="A2209" s="57">
        <v>2021</v>
      </c>
      <c r="B2209" s="3" t="s">
        <v>57</v>
      </c>
      <c r="C2209" s="3" t="s">
        <v>8</v>
      </c>
      <c r="D2209" s="4">
        <v>5386</v>
      </c>
      <c r="E2209" s="60">
        <v>61284</v>
      </c>
      <c r="F2209" s="63" t="s">
        <v>81</v>
      </c>
    </row>
    <row r="2210" spans="1:6" x14ac:dyDescent="0.45">
      <c r="A2210" s="58">
        <v>2021</v>
      </c>
      <c r="B2210" s="5" t="s">
        <v>57</v>
      </c>
      <c r="C2210" s="5" t="s">
        <v>9</v>
      </c>
      <c r="D2210" s="6">
        <v>76615</v>
      </c>
      <c r="E2210" s="61">
        <v>58039</v>
      </c>
      <c r="F2210" s="63" t="s">
        <v>81</v>
      </c>
    </row>
    <row r="2211" spans="1:6" x14ac:dyDescent="0.45">
      <c r="A2211" s="57">
        <v>2021</v>
      </c>
      <c r="B2211" s="3" t="s">
        <v>57</v>
      </c>
      <c r="C2211" s="3" t="s">
        <v>10</v>
      </c>
      <c r="D2211" s="4">
        <v>29998</v>
      </c>
      <c r="E2211" s="60">
        <v>59810</v>
      </c>
      <c r="F2211" s="63" t="s">
        <v>82</v>
      </c>
    </row>
    <row r="2212" spans="1:6" x14ac:dyDescent="0.45">
      <c r="A2212" s="58">
        <v>2021</v>
      </c>
      <c r="B2212" s="5" t="s">
        <v>57</v>
      </c>
      <c r="C2212" s="5" t="s">
        <v>11</v>
      </c>
      <c r="D2212" s="6">
        <v>8163</v>
      </c>
      <c r="E2212" s="61">
        <v>49475</v>
      </c>
      <c r="F2212" s="63" t="s">
        <v>81</v>
      </c>
    </row>
    <row r="2213" spans="1:6" x14ac:dyDescent="0.45">
      <c r="A2213" s="57">
        <v>2021</v>
      </c>
      <c r="B2213" s="3" t="s">
        <v>57</v>
      </c>
      <c r="C2213" s="3" t="s">
        <v>12</v>
      </c>
      <c r="D2213" s="4">
        <v>35102</v>
      </c>
      <c r="E2213" s="60">
        <v>58038</v>
      </c>
      <c r="F2213" s="63" t="s">
        <v>81</v>
      </c>
    </row>
    <row r="2214" spans="1:6" x14ac:dyDescent="0.45">
      <c r="A2214" s="58">
        <v>2021</v>
      </c>
      <c r="B2214" s="5" t="s">
        <v>57</v>
      </c>
      <c r="C2214" s="5" t="s">
        <v>13</v>
      </c>
      <c r="D2214" s="6">
        <v>16247</v>
      </c>
      <c r="E2214" s="61">
        <v>55107</v>
      </c>
      <c r="F2214" s="63" t="s">
        <v>82</v>
      </c>
    </row>
    <row r="2215" spans="1:6" x14ac:dyDescent="0.45">
      <c r="A2215" s="57">
        <v>2021</v>
      </c>
      <c r="B2215" s="3" t="s">
        <v>57</v>
      </c>
      <c r="C2215" s="3" t="s">
        <v>14</v>
      </c>
      <c r="D2215" s="4">
        <v>11966</v>
      </c>
      <c r="E2215" s="60">
        <v>50392</v>
      </c>
      <c r="F2215" s="63" t="s">
        <v>82</v>
      </c>
    </row>
    <row r="2216" spans="1:6" x14ac:dyDescent="0.45">
      <c r="A2216" s="58">
        <v>2021</v>
      </c>
      <c r="B2216" s="5" t="s">
        <v>57</v>
      </c>
      <c r="C2216" s="5" t="s">
        <v>15</v>
      </c>
      <c r="D2216" s="6">
        <v>10085</v>
      </c>
      <c r="E2216" s="61">
        <v>49909</v>
      </c>
      <c r="F2216" s="63" t="s">
        <v>81</v>
      </c>
    </row>
    <row r="2217" spans="1:6" x14ac:dyDescent="0.45">
      <c r="A2217" s="57">
        <v>2021</v>
      </c>
      <c r="B2217" s="3" t="s">
        <v>57</v>
      </c>
      <c r="C2217" s="3" t="s">
        <v>16</v>
      </c>
      <c r="D2217" s="4">
        <v>18442</v>
      </c>
      <c r="E2217" s="60">
        <v>55141</v>
      </c>
      <c r="F2217" s="63" t="s">
        <v>81</v>
      </c>
    </row>
    <row r="2218" spans="1:6" x14ac:dyDescent="0.45">
      <c r="A2218" s="58">
        <v>2021</v>
      </c>
      <c r="B2218" s="5" t="s">
        <v>57</v>
      </c>
      <c r="C2218" s="5" t="s">
        <v>17</v>
      </c>
      <c r="D2218" s="6">
        <v>16110</v>
      </c>
      <c r="E2218" s="61">
        <v>50832</v>
      </c>
      <c r="F2218" s="63" t="s">
        <v>82</v>
      </c>
    </row>
    <row r="2219" spans="1:6" x14ac:dyDescent="0.45">
      <c r="A2219" s="57">
        <v>2021</v>
      </c>
      <c r="B2219" s="3" t="s">
        <v>57</v>
      </c>
      <c r="C2219" s="3" t="s">
        <v>18</v>
      </c>
      <c r="D2219" s="4">
        <v>5474</v>
      </c>
      <c r="E2219" s="60">
        <v>55342</v>
      </c>
      <c r="F2219" s="63" t="s">
        <v>81</v>
      </c>
    </row>
    <row r="2220" spans="1:6" x14ac:dyDescent="0.45">
      <c r="A2220" s="58">
        <v>2021</v>
      </c>
      <c r="B2220" s="5" t="s">
        <v>57</v>
      </c>
      <c r="C2220" s="5" t="s">
        <v>19</v>
      </c>
      <c r="D2220" s="6">
        <v>21419</v>
      </c>
      <c r="E2220" s="61">
        <v>61476</v>
      </c>
      <c r="F2220" s="63" t="s">
        <v>82</v>
      </c>
    </row>
    <row r="2221" spans="1:6" x14ac:dyDescent="0.45">
      <c r="A2221" s="57">
        <v>2021</v>
      </c>
      <c r="B2221" s="3" t="s">
        <v>57</v>
      </c>
      <c r="C2221" s="3" t="s">
        <v>20</v>
      </c>
      <c r="D2221" s="4">
        <v>68761</v>
      </c>
      <c r="E2221" s="60">
        <v>65886</v>
      </c>
      <c r="F2221" s="63" t="s">
        <v>81</v>
      </c>
    </row>
    <row r="2222" spans="1:6" x14ac:dyDescent="0.45">
      <c r="A2222" s="58">
        <v>2021</v>
      </c>
      <c r="B2222" s="5" t="s">
        <v>57</v>
      </c>
      <c r="C2222" s="5" t="s">
        <v>21</v>
      </c>
      <c r="D2222" s="6">
        <v>25357</v>
      </c>
      <c r="E2222" s="61">
        <v>56845</v>
      </c>
      <c r="F2222" s="63" t="s">
        <v>81</v>
      </c>
    </row>
    <row r="2223" spans="1:6" x14ac:dyDescent="0.45">
      <c r="A2223" s="57">
        <v>2021</v>
      </c>
      <c r="B2223" s="3" t="s">
        <v>57</v>
      </c>
      <c r="C2223" s="3" t="s">
        <v>22</v>
      </c>
      <c r="D2223" s="4">
        <v>20728</v>
      </c>
      <c r="E2223" s="60">
        <v>58656</v>
      </c>
      <c r="F2223" s="63" t="s">
        <v>82</v>
      </c>
    </row>
    <row r="2224" spans="1:6" x14ac:dyDescent="0.45">
      <c r="A2224" s="58">
        <v>2021</v>
      </c>
      <c r="B2224" s="5" t="s">
        <v>57</v>
      </c>
      <c r="C2224" s="5" t="s">
        <v>23</v>
      </c>
      <c r="D2224" s="6">
        <v>7557</v>
      </c>
      <c r="E2224" s="61">
        <v>48620</v>
      </c>
      <c r="F2224" s="63" t="s">
        <v>82</v>
      </c>
    </row>
    <row r="2225" spans="1:6" x14ac:dyDescent="0.45">
      <c r="A2225" s="57">
        <v>2021</v>
      </c>
      <c r="B2225" s="3" t="s">
        <v>57</v>
      </c>
      <c r="C2225" s="3" t="s">
        <v>24</v>
      </c>
      <c r="D2225" s="4">
        <v>52078</v>
      </c>
      <c r="E2225" s="60">
        <v>53562</v>
      </c>
      <c r="F2225" s="63" t="s">
        <v>81</v>
      </c>
    </row>
    <row r="2226" spans="1:6" x14ac:dyDescent="0.45">
      <c r="A2226" s="58">
        <v>2021</v>
      </c>
      <c r="B2226" s="5" t="s">
        <v>57</v>
      </c>
      <c r="C2226" s="5" t="s">
        <v>25</v>
      </c>
      <c r="D2226" s="6">
        <v>4834</v>
      </c>
      <c r="E2226" s="61">
        <v>55258</v>
      </c>
      <c r="F2226" s="63" t="s">
        <v>81</v>
      </c>
    </row>
    <row r="2227" spans="1:6" x14ac:dyDescent="0.45">
      <c r="A2227" s="57">
        <v>2021</v>
      </c>
      <c r="B2227" s="3" t="s">
        <v>57</v>
      </c>
      <c r="C2227" s="3" t="s">
        <v>26</v>
      </c>
      <c r="D2227" s="4">
        <v>11559</v>
      </c>
      <c r="E2227" s="60">
        <v>54735</v>
      </c>
      <c r="F2227" s="63" t="s">
        <v>82</v>
      </c>
    </row>
    <row r="2228" spans="1:6" x14ac:dyDescent="0.45">
      <c r="A2228" s="58">
        <v>2021</v>
      </c>
      <c r="B2228" s="5" t="s">
        <v>57</v>
      </c>
      <c r="C2228" s="5" t="s">
        <v>27</v>
      </c>
      <c r="D2228" s="6">
        <v>8934</v>
      </c>
      <c r="E2228" s="61">
        <v>60808</v>
      </c>
      <c r="F2228" s="63" t="s">
        <v>82</v>
      </c>
    </row>
    <row r="2229" spans="1:6" x14ac:dyDescent="0.45">
      <c r="A2229" s="57">
        <v>2021</v>
      </c>
      <c r="B2229" s="3" t="s">
        <v>57</v>
      </c>
      <c r="C2229" s="3" t="s">
        <v>28</v>
      </c>
      <c r="D2229" s="4">
        <v>4773</v>
      </c>
      <c r="E2229" s="60">
        <v>64363</v>
      </c>
      <c r="F2229" s="63" t="s">
        <v>82</v>
      </c>
    </row>
    <row r="2230" spans="1:6" x14ac:dyDescent="0.45">
      <c r="A2230" s="58">
        <v>2021</v>
      </c>
      <c r="B2230" s="5" t="s">
        <v>57</v>
      </c>
      <c r="C2230" s="5" t="s">
        <v>29</v>
      </c>
      <c r="D2230" s="6">
        <v>40687</v>
      </c>
      <c r="E2230" s="61">
        <v>61124</v>
      </c>
      <c r="F2230" s="63" t="s">
        <v>82</v>
      </c>
    </row>
    <row r="2231" spans="1:6" x14ac:dyDescent="0.45">
      <c r="A2231" s="57">
        <v>2021</v>
      </c>
      <c r="B2231" s="3" t="s">
        <v>57</v>
      </c>
      <c r="C2231" s="3" t="s">
        <v>30</v>
      </c>
      <c r="D2231" s="4">
        <v>10974</v>
      </c>
      <c r="E2231" s="60">
        <v>48852</v>
      </c>
      <c r="F2231" s="63" t="s">
        <v>82</v>
      </c>
    </row>
    <row r="2232" spans="1:6" x14ac:dyDescent="0.45">
      <c r="A2232" s="58">
        <v>2021</v>
      </c>
      <c r="B2232" s="5" t="s">
        <v>57</v>
      </c>
      <c r="C2232" s="5" t="s">
        <v>31</v>
      </c>
      <c r="D2232" s="6">
        <v>67202</v>
      </c>
      <c r="E2232" s="61">
        <v>60638</v>
      </c>
      <c r="F2232" s="63" t="s">
        <v>81</v>
      </c>
    </row>
    <row r="2233" spans="1:6" x14ac:dyDescent="0.45">
      <c r="A2233" s="57">
        <v>2021</v>
      </c>
      <c r="B2233" s="3" t="s">
        <v>57</v>
      </c>
      <c r="C2233" s="3" t="s">
        <v>32</v>
      </c>
      <c r="D2233" s="4">
        <v>28199</v>
      </c>
      <c r="E2233" s="60">
        <v>56123</v>
      </c>
      <c r="F2233" s="63" t="s">
        <v>81</v>
      </c>
    </row>
    <row r="2234" spans="1:6" x14ac:dyDescent="0.45">
      <c r="A2234" s="58">
        <v>2021</v>
      </c>
      <c r="B2234" s="5" t="s">
        <v>57</v>
      </c>
      <c r="C2234" s="5" t="s">
        <v>33</v>
      </c>
      <c r="D2234" s="6">
        <v>2581</v>
      </c>
      <c r="E2234" s="61">
        <v>58585</v>
      </c>
      <c r="F2234" s="63" t="s">
        <v>82</v>
      </c>
    </row>
    <row r="2235" spans="1:6" x14ac:dyDescent="0.45">
      <c r="A2235" s="57">
        <v>2021</v>
      </c>
      <c r="B2235" s="3" t="s">
        <v>57</v>
      </c>
      <c r="C2235" s="3" t="s">
        <v>34</v>
      </c>
      <c r="D2235" s="4">
        <v>35525</v>
      </c>
      <c r="E2235" s="60">
        <v>53891</v>
      </c>
      <c r="F2235" s="63" t="s">
        <v>81</v>
      </c>
    </row>
    <row r="2236" spans="1:6" x14ac:dyDescent="0.45">
      <c r="A2236" s="58">
        <v>2021</v>
      </c>
      <c r="B2236" s="5" t="s">
        <v>57</v>
      </c>
      <c r="C2236" s="5" t="s">
        <v>35</v>
      </c>
      <c r="D2236" s="6">
        <v>13345</v>
      </c>
      <c r="E2236" s="61">
        <v>52841</v>
      </c>
      <c r="F2236" s="63" t="s">
        <v>81</v>
      </c>
    </row>
    <row r="2237" spans="1:6" x14ac:dyDescent="0.45">
      <c r="A2237" s="57">
        <v>2021</v>
      </c>
      <c r="B2237" s="3" t="s">
        <v>57</v>
      </c>
      <c r="C2237" s="3" t="s">
        <v>36</v>
      </c>
      <c r="D2237" s="4">
        <v>16113</v>
      </c>
      <c r="E2237" s="60">
        <v>57842</v>
      </c>
      <c r="F2237" s="63" t="s">
        <v>82</v>
      </c>
    </row>
    <row r="2238" spans="1:6" x14ac:dyDescent="0.45">
      <c r="A2238" s="58">
        <v>2021</v>
      </c>
      <c r="B2238" s="5" t="s">
        <v>57</v>
      </c>
      <c r="C2238" s="5" t="s">
        <v>37</v>
      </c>
      <c r="D2238" s="6">
        <v>57945</v>
      </c>
      <c r="E2238" s="61">
        <v>59416</v>
      </c>
      <c r="F2238" s="63" t="s">
        <v>82</v>
      </c>
    </row>
    <row r="2239" spans="1:6" x14ac:dyDescent="0.45">
      <c r="A2239" s="57">
        <v>2021</v>
      </c>
      <c r="B2239" s="3" t="s">
        <v>57</v>
      </c>
      <c r="C2239" s="3" t="s">
        <v>38</v>
      </c>
      <c r="D2239" s="4">
        <v>4664</v>
      </c>
      <c r="E2239" s="60">
        <v>56458</v>
      </c>
      <c r="F2239" s="63" t="s">
        <v>81</v>
      </c>
    </row>
    <row r="2240" spans="1:6" x14ac:dyDescent="0.45">
      <c r="A2240" s="58">
        <v>2021</v>
      </c>
      <c r="B2240" s="5" t="s">
        <v>57</v>
      </c>
      <c r="C2240" s="5" t="s">
        <v>39</v>
      </c>
      <c r="D2240" s="6">
        <v>12757</v>
      </c>
      <c r="E2240" s="61">
        <v>53296</v>
      </c>
      <c r="F2240" s="63" t="s">
        <v>81</v>
      </c>
    </row>
    <row r="2241" spans="1:6" x14ac:dyDescent="0.45">
      <c r="A2241" s="57">
        <v>2021</v>
      </c>
      <c r="B2241" s="3" t="s">
        <v>57</v>
      </c>
      <c r="C2241" s="3" t="s">
        <v>40</v>
      </c>
      <c r="D2241" s="4">
        <v>2904</v>
      </c>
      <c r="E2241" s="60">
        <v>58412</v>
      </c>
      <c r="F2241" s="63" t="s">
        <v>82</v>
      </c>
    </row>
    <row r="2242" spans="1:6" x14ac:dyDescent="0.45">
      <c r="A2242" s="58">
        <v>2021</v>
      </c>
      <c r="B2242" s="5" t="s">
        <v>57</v>
      </c>
      <c r="C2242" s="5" t="s">
        <v>41</v>
      </c>
      <c r="D2242" s="6">
        <v>16563</v>
      </c>
      <c r="E2242" s="61">
        <v>59183</v>
      </c>
      <c r="F2242" s="63" t="s">
        <v>81</v>
      </c>
    </row>
    <row r="2243" spans="1:6" x14ac:dyDescent="0.45">
      <c r="A2243" s="57">
        <v>2021</v>
      </c>
      <c r="B2243" s="3" t="s">
        <v>57</v>
      </c>
      <c r="C2243" s="3" t="s">
        <v>42</v>
      </c>
      <c r="D2243" s="4">
        <v>94237</v>
      </c>
      <c r="E2243" s="60">
        <v>55322</v>
      </c>
      <c r="F2243" s="63" t="s">
        <v>82</v>
      </c>
    </row>
    <row r="2244" spans="1:6" x14ac:dyDescent="0.45">
      <c r="A2244" s="58">
        <v>2021</v>
      </c>
      <c r="B2244" s="5" t="s">
        <v>57</v>
      </c>
      <c r="C2244" s="5" t="s">
        <v>43</v>
      </c>
      <c r="D2244" s="6">
        <v>12857</v>
      </c>
      <c r="E2244" s="61">
        <v>50983</v>
      </c>
      <c r="F2244" s="63" t="s">
        <v>81</v>
      </c>
    </row>
    <row r="2245" spans="1:6" x14ac:dyDescent="0.45">
      <c r="A2245" s="57">
        <v>2021</v>
      </c>
      <c r="B2245" s="3" t="s">
        <v>57</v>
      </c>
      <c r="C2245" s="3" t="s">
        <v>44</v>
      </c>
      <c r="D2245" s="4">
        <v>2503</v>
      </c>
      <c r="E2245" s="60">
        <v>54501</v>
      </c>
      <c r="F2245" s="63" t="s">
        <v>81</v>
      </c>
    </row>
    <row r="2246" spans="1:6" x14ac:dyDescent="0.45">
      <c r="A2246" s="58">
        <v>2021</v>
      </c>
      <c r="B2246" s="5" t="s">
        <v>57</v>
      </c>
      <c r="C2246" s="5" t="s">
        <v>45</v>
      </c>
      <c r="D2246" s="6">
        <v>50144</v>
      </c>
      <c r="E2246" s="61">
        <v>56876</v>
      </c>
      <c r="F2246" s="63" t="s">
        <v>82</v>
      </c>
    </row>
    <row r="2247" spans="1:6" x14ac:dyDescent="0.45">
      <c r="A2247" s="57">
        <v>2021</v>
      </c>
      <c r="B2247" s="3" t="s">
        <v>57</v>
      </c>
      <c r="C2247" s="3" t="s">
        <v>46</v>
      </c>
      <c r="D2247" s="4">
        <v>64023</v>
      </c>
      <c r="E2247" s="60">
        <v>59267</v>
      </c>
      <c r="F2247" s="63" t="s">
        <v>82</v>
      </c>
    </row>
    <row r="2248" spans="1:6" x14ac:dyDescent="0.45">
      <c r="A2248" s="58">
        <v>2021</v>
      </c>
      <c r="B2248" s="5" t="s">
        <v>57</v>
      </c>
      <c r="C2248" s="5" t="s">
        <v>47</v>
      </c>
      <c r="D2248" s="6">
        <v>5755</v>
      </c>
      <c r="E2248" s="61">
        <v>53876</v>
      </c>
      <c r="F2248" s="63" t="s">
        <v>81</v>
      </c>
    </row>
    <row r="2249" spans="1:6" x14ac:dyDescent="0.45">
      <c r="A2249" s="57">
        <v>2021</v>
      </c>
      <c r="B2249" s="3" t="s">
        <v>57</v>
      </c>
      <c r="C2249" s="3" t="s">
        <v>48</v>
      </c>
      <c r="D2249" s="4">
        <v>29257</v>
      </c>
      <c r="E2249" s="60">
        <v>56951</v>
      </c>
      <c r="F2249" s="63" t="s">
        <v>81</v>
      </c>
    </row>
    <row r="2250" spans="1:6" x14ac:dyDescent="0.45">
      <c r="A2250" s="58">
        <v>2021</v>
      </c>
      <c r="B2250" s="5" t="s">
        <v>57</v>
      </c>
      <c r="C2250" s="5" t="s">
        <v>49</v>
      </c>
      <c r="D2250" s="6">
        <v>3384</v>
      </c>
      <c r="E2250" s="61">
        <v>50083</v>
      </c>
      <c r="F2250" s="63" t="s">
        <v>82</v>
      </c>
    </row>
    <row r="2251" spans="1:6" x14ac:dyDescent="0.45">
      <c r="A2251" s="57">
        <v>2021</v>
      </c>
      <c r="B2251" s="3" t="s">
        <v>58</v>
      </c>
      <c r="C2251" s="3" t="s">
        <v>2</v>
      </c>
      <c r="D2251" s="4">
        <v>11180</v>
      </c>
      <c r="E2251" s="60">
        <v>23618</v>
      </c>
      <c r="F2251" s="63" t="s">
        <v>82</v>
      </c>
    </row>
    <row r="2252" spans="1:6" x14ac:dyDescent="0.45">
      <c r="A2252" s="58">
        <v>2021</v>
      </c>
      <c r="B2252" s="5" t="s">
        <v>58</v>
      </c>
      <c r="C2252" s="5" t="s">
        <v>3</v>
      </c>
      <c r="D2252" s="6">
        <v>14256</v>
      </c>
      <c r="E2252" s="61">
        <v>31557</v>
      </c>
      <c r="F2252" s="63" t="s">
        <v>82</v>
      </c>
    </row>
    <row r="2253" spans="1:6" x14ac:dyDescent="0.45">
      <c r="A2253" s="57">
        <v>2021</v>
      </c>
      <c r="B2253" s="3" t="s">
        <v>58</v>
      </c>
      <c r="C2253" s="3" t="s">
        <v>4</v>
      </c>
      <c r="D2253" s="4">
        <v>7315</v>
      </c>
      <c r="E2253" s="60">
        <v>23299</v>
      </c>
      <c r="F2253" s="63" t="s">
        <v>82</v>
      </c>
    </row>
    <row r="2254" spans="1:6" x14ac:dyDescent="0.45">
      <c r="A2254" s="58">
        <v>2021</v>
      </c>
      <c r="B2254" s="5" t="s">
        <v>58</v>
      </c>
      <c r="C2254" s="5" t="s">
        <v>5</v>
      </c>
      <c r="D2254" s="6">
        <v>116191</v>
      </c>
      <c r="E2254" s="61">
        <v>38379</v>
      </c>
      <c r="F2254" s="63" t="s">
        <v>82</v>
      </c>
    </row>
    <row r="2255" spans="1:6" x14ac:dyDescent="0.45">
      <c r="A2255" s="57">
        <v>2021</v>
      </c>
      <c r="B2255" s="3" t="s">
        <v>58</v>
      </c>
      <c r="C2255" s="3" t="s">
        <v>6</v>
      </c>
      <c r="D2255" s="4">
        <v>17317</v>
      </c>
      <c r="E2255" s="60">
        <v>33131</v>
      </c>
      <c r="F2255" s="63" t="s">
        <v>81</v>
      </c>
    </row>
    <row r="2256" spans="1:6" x14ac:dyDescent="0.45">
      <c r="A2256" s="58">
        <v>2021</v>
      </c>
      <c r="B2256" s="5" t="s">
        <v>58</v>
      </c>
      <c r="C2256" s="5" t="s">
        <v>7</v>
      </c>
      <c r="D2256" s="6">
        <v>10917</v>
      </c>
      <c r="E2256" s="61">
        <v>30451</v>
      </c>
      <c r="F2256" s="63" t="s">
        <v>81</v>
      </c>
    </row>
    <row r="2257" spans="1:6" x14ac:dyDescent="0.45">
      <c r="A2257" s="57">
        <v>2021</v>
      </c>
      <c r="B2257" s="3" t="s">
        <v>58</v>
      </c>
      <c r="C2257" s="3" t="s">
        <v>8</v>
      </c>
      <c r="D2257" s="4">
        <v>2710</v>
      </c>
      <c r="E2257" s="60">
        <v>27264</v>
      </c>
      <c r="F2257" s="63" t="s">
        <v>82</v>
      </c>
    </row>
    <row r="2258" spans="1:6" x14ac:dyDescent="0.45">
      <c r="A2258" s="58">
        <v>2021</v>
      </c>
      <c r="B2258" s="5" t="s">
        <v>58</v>
      </c>
      <c r="C2258" s="5" t="s">
        <v>9</v>
      </c>
      <c r="D2258" s="6">
        <v>58596</v>
      </c>
      <c r="E2258" s="61">
        <v>32675</v>
      </c>
      <c r="F2258" s="63" t="s">
        <v>81</v>
      </c>
    </row>
    <row r="2259" spans="1:6" x14ac:dyDescent="0.45">
      <c r="A2259" s="57">
        <v>2021</v>
      </c>
      <c r="B2259" s="3" t="s">
        <v>58</v>
      </c>
      <c r="C2259" s="3" t="s">
        <v>10</v>
      </c>
      <c r="D2259" s="4">
        <v>25254</v>
      </c>
      <c r="E2259" s="60">
        <v>27342</v>
      </c>
      <c r="F2259" s="63" t="s">
        <v>81</v>
      </c>
    </row>
    <row r="2260" spans="1:6" x14ac:dyDescent="0.45">
      <c r="A2260" s="58">
        <v>2021</v>
      </c>
      <c r="B2260" s="5" t="s">
        <v>58</v>
      </c>
      <c r="C2260" s="5" t="s">
        <v>11</v>
      </c>
      <c r="D2260" s="6">
        <v>5038</v>
      </c>
      <c r="E2260" s="61">
        <v>23770</v>
      </c>
      <c r="F2260" s="63" t="s">
        <v>82</v>
      </c>
    </row>
    <row r="2261" spans="1:6" x14ac:dyDescent="0.45">
      <c r="A2261" s="57">
        <v>2021</v>
      </c>
      <c r="B2261" s="3" t="s">
        <v>58</v>
      </c>
      <c r="C2261" s="3" t="s">
        <v>12</v>
      </c>
      <c r="D2261" s="4">
        <v>33183</v>
      </c>
      <c r="E2261" s="60">
        <v>30703</v>
      </c>
      <c r="F2261" s="63" t="s">
        <v>82</v>
      </c>
    </row>
    <row r="2262" spans="1:6" x14ac:dyDescent="0.45">
      <c r="A2262" s="58">
        <v>2021</v>
      </c>
      <c r="B2262" s="5" t="s">
        <v>58</v>
      </c>
      <c r="C2262" s="5" t="s">
        <v>13</v>
      </c>
      <c r="D2262" s="6">
        <v>15776</v>
      </c>
      <c r="E2262" s="61">
        <v>25660</v>
      </c>
      <c r="F2262" s="63" t="s">
        <v>81</v>
      </c>
    </row>
    <row r="2263" spans="1:6" x14ac:dyDescent="0.45">
      <c r="A2263" s="57">
        <v>2021</v>
      </c>
      <c r="B2263" s="3" t="s">
        <v>58</v>
      </c>
      <c r="C2263" s="3" t="s">
        <v>14</v>
      </c>
      <c r="D2263" s="4">
        <v>8796</v>
      </c>
      <c r="E2263" s="60">
        <v>23261</v>
      </c>
      <c r="F2263" s="63" t="s">
        <v>81</v>
      </c>
    </row>
    <row r="2264" spans="1:6" x14ac:dyDescent="0.45">
      <c r="A2264" s="58">
        <v>2021</v>
      </c>
      <c r="B2264" s="5" t="s">
        <v>58</v>
      </c>
      <c r="C2264" s="5" t="s">
        <v>15</v>
      </c>
      <c r="D2264" s="6">
        <v>6871</v>
      </c>
      <c r="E2264" s="61">
        <v>23333</v>
      </c>
      <c r="F2264" s="63" t="s">
        <v>82</v>
      </c>
    </row>
    <row r="2265" spans="1:6" x14ac:dyDescent="0.45">
      <c r="A2265" s="57">
        <v>2021</v>
      </c>
      <c r="B2265" s="3" t="s">
        <v>58</v>
      </c>
      <c r="C2265" s="3" t="s">
        <v>16</v>
      </c>
      <c r="D2265" s="4">
        <v>10118</v>
      </c>
      <c r="E2265" s="60">
        <v>24350</v>
      </c>
      <c r="F2265" s="63" t="s">
        <v>81</v>
      </c>
    </row>
    <row r="2266" spans="1:6" x14ac:dyDescent="0.45">
      <c r="A2266" s="58">
        <v>2021</v>
      </c>
      <c r="B2266" s="5" t="s">
        <v>58</v>
      </c>
      <c r="C2266" s="5" t="s">
        <v>17</v>
      </c>
      <c r="D2266" s="6">
        <v>12912</v>
      </c>
      <c r="E2266" s="61">
        <v>27789</v>
      </c>
      <c r="F2266" s="63" t="s">
        <v>82</v>
      </c>
    </row>
    <row r="2267" spans="1:6" x14ac:dyDescent="0.45">
      <c r="A2267" s="57">
        <v>2021</v>
      </c>
      <c r="B2267" s="3" t="s">
        <v>58</v>
      </c>
      <c r="C2267" s="3" t="s">
        <v>18</v>
      </c>
      <c r="D2267" s="4">
        <v>5132</v>
      </c>
      <c r="E2267" s="60">
        <v>29169</v>
      </c>
      <c r="F2267" s="63" t="s">
        <v>81</v>
      </c>
    </row>
    <row r="2268" spans="1:6" x14ac:dyDescent="0.45">
      <c r="A2268" s="58">
        <v>2021</v>
      </c>
      <c r="B2268" s="5" t="s">
        <v>58</v>
      </c>
      <c r="C2268" s="5" t="s">
        <v>19</v>
      </c>
      <c r="D2268" s="6">
        <v>15043</v>
      </c>
      <c r="E2268" s="61">
        <v>30758</v>
      </c>
      <c r="F2268" s="63" t="s">
        <v>81</v>
      </c>
    </row>
    <row r="2269" spans="1:6" x14ac:dyDescent="0.45">
      <c r="A2269" s="57">
        <v>2021</v>
      </c>
      <c r="B2269" s="3" t="s">
        <v>58</v>
      </c>
      <c r="C2269" s="3" t="s">
        <v>20</v>
      </c>
      <c r="D2269" s="4">
        <v>20740</v>
      </c>
      <c r="E2269" s="60">
        <v>35500</v>
      </c>
      <c r="F2269" s="63" t="s">
        <v>82</v>
      </c>
    </row>
    <row r="2270" spans="1:6" x14ac:dyDescent="0.45">
      <c r="A2270" s="58">
        <v>2021</v>
      </c>
      <c r="B2270" s="5" t="s">
        <v>58</v>
      </c>
      <c r="C2270" s="5" t="s">
        <v>21</v>
      </c>
      <c r="D2270" s="6">
        <v>23113</v>
      </c>
      <c r="E2270" s="61">
        <v>27121</v>
      </c>
      <c r="F2270" s="63" t="s">
        <v>82</v>
      </c>
    </row>
    <row r="2271" spans="1:6" x14ac:dyDescent="0.45">
      <c r="A2271" s="57">
        <v>2021</v>
      </c>
      <c r="B2271" s="3" t="s">
        <v>58</v>
      </c>
      <c r="C2271" s="3" t="s">
        <v>22</v>
      </c>
      <c r="D2271" s="4">
        <v>15325</v>
      </c>
      <c r="E2271" s="60">
        <v>29261</v>
      </c>
      <c r="F2271" s="63" t="s">
        <v>81</v>
      </c>
    </row>
    <row r="2272" spans="1:6" x14ac:dyDescent="0.45">
      <c r="A2272" s="58">
        <v>2021</v>
      </c>
      <c r="B2272" s="5" t="s">
        <v>58</v>
      </c>
      <c r="C2272" s="5" t="s">
        <v>23</v>
      </c>
      <c r="D2272" s="6">
        <v>6514</v>
      </c>
      <c r="E2272" s="61">
        <v>23817</v>
      </c>
      <c r="F2272" s="63" t="s">
        <v>81</v>
      </c>
    </row>
    <row r="2273" spans="1:6" x14ac:dyDescent="0.45">
      <c r="A2273" s="57">
        <v>2021</v>
      </c>
      <c r="B2273" s="3" t="s">
        <v>58</v>
      </c>
      <c r="C2273" s="3" t="s">
        <v>24</v>
      </c>
      <c r="D2273" s="4">
        <v>15195</v>
      </c>
      <c r="E2273" s="60">
        <v>27614</v>
      </c>
      <c r="F2273" s="63" t="s">
        <v>82</v>
      </c>
    </row>
    <row r="2274" spans="1:6" x14ac:dyDescent="0.45">
      <c r="A2274" s="58">
        <v>2021</v>
      </c>
      <c r="B2274" s="5" t="s">
        <v>58</v>
      </c>
      <c r="C2274" s="5" t="s">
        <v>25</v>
      </c>
      <c r="D2274" s="6">
        <v>5052</v>
      </c>
      <c r="E2274" s="61">
        <v>25955</v>
      </c>
      <c r="F2274" s="63" t="s">
        <v>82</v>
      </c>
    </row>
    <row r="2275" spans="1:6" x14ac:dyDescent="0.45">
      <c r="A2275" s="57">
        <v>2021</v>
      </c>
      <c r="B2275" s="3" t="s">
        <v>58</v>
      </c>
      <c r="C2275" s="3" t="s">
        <v>26</v>
      </c>
      <c r="D2275" s="4">
        <v>5609</v>
      </c>
      <c r="E2275" s="60">
        <v>23213</v>
      </c>
      <c r="F2275" s="63" t="s">
        <v>82</v>
      </c>
    </row>
    <row r="2276" spans="1:6" x14ac:dyDescent="0.45">
      <c r="A2276" s="58">
        <v>2021</v>
      </c>
      <c r="B2276" s="5" t="s">
        <v>58</v>
      </c>
      <c r="C2276" s="5" t="s">
        <v>27</v>
      </c>
      <c r="D2276" s="6">
        <v>8716</v>
      </c>
      <c r="E2276" s="61">
        <v>40432</v>
      </c>
      <c r="F2276" s="63" t="s">
        <v>82</v>
      </c>
    </row>
    <row r="2277" spans="1:6" x14ac:dyDescent="0.45">
      <c r="A2277" s="57">
        <v>2021</v>
      </c>
      <c r="B2277" s="3" t="s">
        <v>58</v>
      </c>
      <c r="C2277" s="3" t="s">
        <v>28</v>
      </c>
      <c r="D2277" s="4">
        <v>4675</v>
      </c>
      <c r="E2277" s="60">
        <v>28783</v>
      </c>
      <c r="F2277" s="63" t="s">
        <v>82</v>
      </c>
    </row>
    <row r="2278" spans="1:6" x14ac:dyDescent="0.45">
      <c r="A2278" s="58">
        <v>2021</v>
      </c>
      <c r="B2278" s="5" t="s">
        <v>58</v>
      </c>
      <c r="C2278" s="5" t="s">
        <v>29</v>
      </c>
      <c r="D2278" s="6">
        <v>24526</v>
      </c>
      <c r="E2278" s="61">
        <v>32347</v>
      </c>
      <c r="F2278" s="63" t="s">
        <v>81</v>
      </c>
    </row>
    <row r="2279" spans="1:6" x14ac:dyDescent="0.45">
      <c r="A2279" s="57">
        <v>2021</v>
      </c>
      <c r="B2279" s="3" t="s">
        <v>58</v>
      </c>
      <c r="C2279" s="3" t="s">
        <v>30</v>
      </c>
      <c r="D2279" s="4">
        <v>5277</v>
      </c>
      <c r="E2279" s="60">
        <v>25571</v>
      </c>
      <c r="F2279" s="63" t="s">
        <v>81</v>
      </c>
    </row>
    <row r="2280" spans="1:6" x14ac:dyDescent="0.45">
      <c r="A2280" s="58">
        <v>2021</v>
      </c>
      <c r="B2280" s="5" t="s">
        <v>58</v>
      </c>
      <c r="C2280" s="5" t="s">
        <v>31</v>
      </c>
      <c r="D2280" s="6">
        <v>65868</v>
      </c>
      <c r="E2280" s="61">
        <v>41828</v>
      </c>
      <c r="F2280" s="63" t="s">
        <v>82</v>
      </c>
    </row>
    <row r="2281" spans="1:6" x14ac:dyDescent="0.45">
      <c r="A2281" s="57">
        <v>2021</v>
      </c>
      <c r="B2281" s="3" t="s">
        <v>58</v>
      </c>
      <c r="C2281" s="3" t="s">
        <v>32</v>
      </c>
      <c r="D2281" s="4">
        <v>26474</v>
      </c>
      <c r="E2281" s="60">
        <v>26460</v>
      </c>
      <c r="F2281" s="63" t="s">
        <v>81</v>
      </c>
    </row>
    <row r="2282" spans="1:6" x14ac:dyDescent="0.45">
      <c r="A2282" s="58">
        <v>2021</v>
      </c>
      <c r="B2282" s="5" t="s">
        <v>58</v>
      </c>
      <c r="C2282" s="5" t="s">
        <v>33</v>
      </c>
      <c r="D2282" s="6">
        <v>2610</v>
      </c>
      <c r="E2282" s="61">
        <v>24573</v>
      </c>
      <c r="F2282" s="63" t="s">
        <v>81</v>
      </c>
    </row>
    <row r="2283" spans="1:6" x14ac:dyDescent="0.45">
      <c r="A2283" s="57">
        <v>2021</v>
      </c>
      <c r="B2283" s="3" t="s">
        <v>58</v>
      </c>
      <c r="C2283" s="3" t="s">
        <v>34</v>
      </c>
      <c r="D2283" s="4">
        <v>29035</v>
      </c>
      <c r="E2283" s="60">
        <v>26197</v>
      </c>
      <c r="F2283" s="63" t="s">
        <v>82</v>
      </c>
    </row>
    <row r="2284" spans="1:6" x14ac:dyDescent="0.45">
      <c r="A2284" s="58">
        <v>2021</v>
      </c>
      <c r="B2284" s="5" t="s">
        <v>58</v>
      </c>
      <c r="C2284" s="5" t="s">
        <v>35</v>
      </c>
      <c r="D2284" s="6">
        <v>9209</v>
      </c>
      <c r="E2284" s="61">
        <v>24600</v>
      </c>
      <c r="F2284" s="63" t="s">
        <v>82</v>
      </c>
    </row>
    <row r="2285" spans="1:6" x14ac:dyDescent="0.45">
      <c r="A2285" s="57">
        <v>2021</v>
      </c>
      <c r="B2285" s="3" t="s">
        <v>58</v>
      </c>
      <c r="C2285" s="3" t="s">
        <v>36</v>
      </c>
      <c r="D2285" s="4">
        <v>14116</v>
      </c>
      <c r="E2285" s="60">
        <v>29818</v>
      </c>
      <c r="F2285" s="63" t="s">
        <v>81</v>
      </c>
    </row>
    <row r="2286" spans="1:6" x14ac:dyDescent="0.45">
      <c r="A2286" s="58">
        <v>2021</v>
      </c>
      <c r="B2286" s="5" t="s">
        <v>58</v>
      </c>
      <c r="C2286" s="5" t="s">
        <v>37</v>
      </c>
      <c r="D2286" s="6">
        <v>33729</v>
      </c>
      <c r="E2286" s="61">
        <v>28011</v>
      </c>
      <c r="F2286" s="63" t="s">
        <v>81</v>
      </c>
    </row>
    <row r="2287" spans="1:6" x14ac:dyDescent="0.45">
      <c r="A2287" s="57">
        <v>2021</v>
      </c>
      <c r="B2287" s="3" t="s">
        <v>58</v>
      </c>
      <c r="C2287" s="3" t="s">
        <v>38</v>
      </c>
      <c r="D2287" s="4">
        <v>3873</v>
      </c>
      <c r="E2287" s="60">
        <v>29680</v>
      </c>
      <c r="F2287" s="63" t="s">
        <v>82</v>
      </c>
    </row>
    <row r="2288" spans="1:6" x14ac:dyDescent="0.45">
      <c r="A2288" s="58">
        <v>2021</v>
      </c>
      <c r="B2288" s="5" t="s">
        <v>58</v>
      </c>
      <c r="C2288" s="5" t="s">
        <v>39</v>
      </c>
      <c r="D2288" s="6">
        <v>13400</v>
      </c>
      <c r="E2288" s="61">
        <v>24816</v>
      </c>
      <c r="F2288" s="63" t="s">
        <v>81</v>
      </c>
    </row>
    <row r="2289" spans="1:6" x14ac:dyDescent="0.45">
      <c r="A2289" s="57">
        <v>2021</v>
      </c>
      <c r="B2289" s="3" t="s">
        <v>58</v>
      </c>
      <c r="C2289" s="3" t="s">
        <v>40</v>
      </c>
      <c r="D2289" s="4">
        <v>3191</v>
      </c>
      <c r="E2289" s="60">
        <v>23519</v>
      </c>
      <c r="F2289" s="63" t="s">
        <v>82</v>
      </c>
    </row>
    <row r="2290" spans="1:6" x14ac:dyDescent="0.45">
      <c r="A2290" s="58">
        <v>2021</v>
      </c>
      <c r="B2290" s="5" t="s">
        <v>58</v>
      </c>
      <c r="C2290" s="5" t="s">
        <v>41</v>
      </c>
      <c r="D2290" s="6">
        <v>16924</v>
      </c>
      <c r="E2290" s="61">
        <v>29878</v>
      </c>
      <c r="F2290" s="63" t="s">
        <v>81</v>
      </c>
    </row>
    <row r="2291" spans="1:6" x14ac:dyDescent="0.45">
      <c r="A2291" s="57">
        <v>2021</v>
      </c>
      <c r="B2291" s="3" t="s">
        <v>58</v>
      </c>
      <c r="C2291" s="3" t="s">
        <v>42</v>
      </c>
      <c r="D2291" s="4">
        <v>65057</v>
      </c>
      <c r="E2291" s="60">
        <v>28762</v>
      </c>
      <c r="F2291" s="63" t="s">
        <v>81</v>
      </c>
    </row>
    <row r="2292" spans="1:6" x14ac:dyDescent="0.45">
      <c r="A2292" s="58">
        <v>2021</v>
      </c>
      <c r="B2292" s="5" t="s">
        <v>58</v>
      </c>
      <c r="C2292" s="5" t="s">
        <v>43</v>
      </c>
      <c r="D2292" s="6">
        <v>7570</v>
      </c>
      <c r="E2292" s="61">
        <v>26955</v>
      </c>
      <c r="F2292" s="63" t="s">
        <v>82</v>
      </c>
    </row>
    <row r="2293" spans="1:6" x14ac:dyDescent="0.45">
      <c r="A2293" s="57">
        <v>2021</v>
      </c>
      <c r="B2293" s="3" t="s">
        <v>58</v>
      </c>
      <c r="C2293" s="3" t="s">
        <v>44</v>
      </c>
      <c r="D2293" s="4">
        <v>2268</v>
      </c>
      <c r="E2293" s="60">
        <v>29863</v>
      </c>
      <c r="F2293" s="63" t="s">
        <v>82</v>
      </c>
    </row>
    <row r="2294" spans="1:6" x14ac:dyDescent="0.45">
      <c r="A2294" s="58">
        <v>2021</v>
      </c>
      <c r="B2294" s="5" t="s">
        <v>58</v>
      </c>
      <c r="C2294" s="5" t="s">
        <v>45</v>
      </c>
      <c r="D2294" s="6">
        <v>20743</v>
      </c>
      <c r="E2294" s="61">
        <v>27582</v>
      </c>
      <c r="F2294" s="63" t="s">
        <v>81</v>
      </c>
    </row>
    <row r="2295" spans="1:6" x14ac:dyDescent="0.45">
      <c r="A2295" s="57">
        <v>2021</v>
      </c>
      <c r="B2295" s="3" t="s">
        <v>58</v>
      </c>
      <c r="C2295" s="3" t="s">
        <v>46</v>
      </c>
      <c r="D2295" s="4">
        <v>20637</v>
      </c>
      <c r="E2295" s="60">
        <v>32566</v>
      </c>
      <c r="F2295" s="63" t="s">
        <v>81</v>
      </c>
    </row>
    <row r="2296" spans="1:6" x14ac:dyDescent="0.45">
      <c r="A2296" s="58">
        <v>2021</v>
      </c>
      <c r="B2296" s="5" t="s">
        <v>58</v>
      </c>
      <c r="C2296" s="5" t="s">
        <v>47</v>
      </c>
      <c r="D2296" s="6">
        <v>4658</v>
      </c>
      <c r="E2296" s="61">
        <v>24256</v>
      </c>
      <c r="F2296" s="63" t="s">
        <v>82</v>
      </c>
    </row>
    <row r="2297" spans="1:6" x14ac:dyDescent="0.45">
      <c r="A2297" s="57">
        <v>2021</v>
      </c>
      <c r="B2297" s="3" t="s">
        <v>58</v>
      </c>
      <c r="C2297" s="3" t="s">
        <v>48</v>
      </c>
      <c r="D2297" s="4">
        <v>17015</v>
      </c>
      <c r="E2297" s="60">
        <v>24758</v>
      </c>
      <c r="F2297" s="63" t="s">
        <v>82</v>
      </c>
    </row>
    <row r="2298" spans="1:6" x14ac:dyDescent="0.45">
      <c r="A2298" s="58">
        <v>2021</v>
      </c>
      <c r="B2298" s="5" t="s">
        <v>58</v>
      </c>
      <c r="C2298" s="5" t="s">
        <v>49</v>
      </c>
      <c r="D2298" s="6">
        <v>2398</v>
      </c>
      <c r="E2298" s="61">
        <v>27994</v>
      </c>
      <c r="F2298" s="63" t="s">
        <v>82</v>
      </c>
    </row>
    <row r="2299" spans="1:6" x14ac:dyDescent="0.45">
      <c r="A2299" s="57">
        <v>2021</v>
      </c>
      <c r="B2299" s="3" t="s">
        <v>59</v>
      </c>
      <c r="C2299" s="3" t="s">
        <v>2</v>
      </c>
      <c r="D2299" s="4">
        <v>10189</v>
      </c>
      <c r="E2299" s="60">
        <v>44607</v>
      </c>
      <c r="F2299" s="63" t="s">
        <v>82</v>
      </c>
    </row>
    <row r="2300" spans="1:6" x14ac:dyDescent="0.45">
      <c r="A2300" s="58">
        <v>2021</v>
      </c>
      <c r="B2300" s="5" t="s">
        <v>59</v>
      </c>
      <c r="C2300" s="5" t="s">
        <v>3</v>
      </c>
      <c r="D2300" s="6">
        <v>10674</v>
      </c>
      <c r="E2300" s="61">
        <v>45965</v>
      </c>
      <c r="F2300" s="63" t="s">
        <v>82</v>
      </c>
    </row>
    <row r="2301" spans="1:6" x14ac:dyDescent="0.45">
      <c r="A2301" s="57">
        <v>2021</v>
      </c>
      <c r="B2301" s="3" t="s">
        <v>59</v>
      </c>
      <c r="C2301" s="3" t="s">
        <v>4</v>
      </c>
      <c r="D2301" s="4">
        <v>5359</v>
      </c>
      <c r="E2301" s="60">
        <v>42115</v>
      </c>
      <c r="F2301" s="63" t="s">
        <v>81</v>
      </c>
    </row>
    <row r="2302" spans="1:6" x14ac:dyDescent="0.45">
      <c r="A2302" s="58">
        <v>2021</v>
      </c>
      <c r="B2302" s="5" t="s">
        <v>59</v>
      </c>
      <c r="C2302" s="5" t="s">
        <v>5</v>
      </c>
      <c r="D2302" s="6">
        <v>97442</v>
      </c>
      <c r="E2302" s="61">
        <v>48293</v>
      </c>
      <c r="F2302" s="63" t="s">
        <v>81</v>
      </c>
    </row>
    <row r="2303" spans="1:6" x14ac:dyDescent="0.45">
      <c r="A2303" s="57">
        <v>2021</v>
      </c>
      <c r="B2303" s="3" t="s">
        <v>59</v>
      </c>
      <c r="C2303" s="3" t="s">
        <v>6</v>
      </c>
      <c r="D2303" s="4">
        <v>17008</v>
      </c>
      <c r="E2303" s="60">
        <v>48381</v>
      </c>
      <c r="F2303" s="63" t="s">
        <v>82</v>
      </c>
    </row>
    <row r="2304" spans="1:6" x14ac:dyDescent="0.45">
      <c r="A2304" s="58">
        <v>2021</v>
      </c>
      <c r="B2304" s="5" t="s">
        <v>59</v>
      </c>
      <c r="C2304" s="5" t="s">
        <v>7</v>
      </c>
      <c r="D2304" s="6">
        <v>18146</v>
      </c>
      <c r="E2304" s="61">
        <v>40861</v>
      </c>
      <c r="F2304" s="63" t="s">
        <v>81</v>
      </c>
    </row>
    <row r="2305" spans="1:6" x14ac:dyDescent="0.45">
      <c r="A2305" s="57">
        <v>2021</v>
      </c>
      <c r="B2305" s="3" t="s">
        <v>59</v>
      </c>
      <c r="C2305" s="3" t="s">
        <v>8</v>
      </c>
      <c r="D2305" s="4">
        <v>2052</v>
      </c>
      <c r="E2305" s="60">
        <v>41636</v>
      </c>
      <c r="F2305" s="63" t="s">
        <v>81</v>
      </c>
    </row>
    <row r="2306" spans="1:6" x14ac:dyDescent="0.45">
      <c r="A2306" s="58">
        <v>2021</v>
      </c>
      <c r="B2306" s="5" t="s">
        <v>59</v>
      </c>
      <c r="C2306" s="5" t="s">
        <v>9</v>
      </c>
      <c r="D2306" s="6">
        <v>56765</v>
      </c>
      <c r="E2306" s="61">
        <v>43969</v>
      </c>
      <c r="F2306" s="63" t="s">
        <v>82</v>
      </c>
    </row>
    <row r="2307" spans="1:6" x14ac:dyDescent="0.45">
      <c r="A2307" s="57">
        <v>2021</v>
      </c>
      <c r="B2307" s="3" t="s">
        <v>59</v>
      </c>
      <c r="C2307" s="3" t="s">
        <v>10</v>
      </c>
      <c r="D2307" s="4">
        <v>18227</v>
      </c>
      <c r="E2307" s="60">
        <v>43971</v>
      </c>
      <c r="F2307" s="63" t="s">
        <v>82</v>
      </c>
    </row>
    <row r="2308" spans="1:6" x14ac:dyDescent="0.45">
      <c r="A2308" s="58">
        <v>2021</v>
      </c>
      <c r="B2308" s="5" t="s">
        <v>59</v>
      </c>
      <c r="C2308" s="5" t="s">
        <v>11</v>
      </c>
      <c r="D2308" s="6">
        <v>3845</v>
      </c>
      <c r="E2308" s="61">
        <v>38615</v>
      </c>
      <c r="F2308" s="63" t="s">
        <v>81</v>
      </c>
    </row>
    <row r="2309" spans="1:6" x14ac:dyDescent="0.45">
      <c r="A2309" s="57">
        <v>2021</v>
      </c>
      <c r="B2309" s="3" t="s">
        <v>59</v>
      </c>
      <c r="C2309" s="3" t="s">
        <v>12</v>
      </c>
      <c r="D2309" s="4">
        <v>39884</v>
      </c>
      <c r="E2309" s="60">
        <v>49714</v>
      </c>
      <c r="F2309" s="63" t="s">
        <v>81</v>
      </c>
    </row>
    <row r="2310" spans="1:6" x14ac:dyDescent="0.45">
      <c r="A2310" s="58">
        <v>2021</v>
      </c>
      <c r="B2310" s="5" t="s">
        <v>59</v>
      </c>
      <c r="C2310" s="5" t="s">
        <v>13</v>
      </c>
      <c r="D2310" s="6">
        <v>12916</v>
      </c>
      <c r="E2310" s="61">
        <v>39759</v>
      </c>
      <c r="F2310" s="63" t="s">
        <v>82</v>
      </c>
    </row>
    <row r="2311" spans="1:6" x14ac:dyDescent="0.45">
      <c r="A2311" s="57">
        <v>2021</v>
      </c>
      <c r="B2311" s="3" t="s">
        <v>59</v>
      </c>
      <c r="C2311" s="3" t="s">
        <v>14</v>
      </c>
      <c r="D2311" s="4">
        <v>8547</v>
      </c>
      <c r="E2311" s="60">
        <v>42534</v>
      </c>
      <c r="F2311" s="63" t="s">
        <v>81</v>
      </c>
    </row>
    <row r="2312" spans="1:6" x14ac:dyDescent="0.45">
      <c r="A2312" s="58">
        <v>2021</v>
      </c>
      <c r="B2312" s="5" t="s">
        <v>59</v>
      </c>
      <c r="C2312" s="5" t="s">
        <v>15</v>
      </c>
      <c r="D2312" s="6">
        <v>5938</v>
      </c>
      <c r="E2312" s="61">
        <v>41624</v>
      </c>
      <c r="F2312" s="63" t="s">
        <v>82</v>
      </c>
    </row>
    <row r="2313" spans="1:6" x14ac:dyDescent="0.45">
      <c r="A2313" s="57">
        <v>2021</v>
      </c>
      <c r="B2313" s="3" t="s">
        <v>59</v>
      </c>
      <c r="C2313" s="3" t="s">
        <v>16</v>
      </c>
      <c r="D2313" s="4">
        <v>10404</v>
      </c>
      <c r="E2313" s="60">
        <v>40846</v>
      </c>
      <c r="F2313" s="63" t="s">
        <v>81</v>
      </c>
    </row>
    <row r="2314" spans="1:6" x14ac:dyDescent="0.45">
      <c r="A2314" s="58">
        <v>2021</v>
      </c>
      <c r="B2314" s="5" t="s">
        <v>59</v>
      </c>
      <c r="C2314" s="5" t="s">
        <v>17</v>
      </c>
      <c r="D2314" s="6">
        <v>9280</v>
      </c>
      <c r="E2314" s="61">
        <v>44963</v>
      </c>
      <c r="F2314" s="63" t="s">
        <v>81</v>
      </c>
    </row>
    <row r="2315" spans="1:6" x14ac:dyDescent="0.45">
      <c r="A2315" s="57">
        <v>2021</v>
      </c>
      <c r="B2315" s="3" t="s">
        <v>59</v>
      </c>
      <c r="C2315" s="3" t="s">
        <v>18</v>
      </c>
      <c r="D2315" s="4">
        <v>3777</v>
      </c>
      <c r="E2315" s="60">
        <v>41322</v>
      </c>
      <c r="F2315" s="63" t="s">
        <v>82</v>
      </c>
    </row>
    <row r="2316" spans="1:6" x14ac:dyDescent="0.45">
      <c r="A2316" s="58">
        <v>2021</v>
      </c>
      <c r="B2316" s="5" t="s">
        <v>59</v>
      </c>
      <c r="C2316" s="5" t="s">
        <v>19</v>
      </c>
      <c r="D2316" s="6">
        <v>19358</v>
      </c>
      <c r="E2316" s="61">
        <v>50150</v>
      </c>
      <c r="F2316" s="63" t="s">
        <v>82</v>
      </c>
    </row>
    <row r="2317" spans="1:6" x14ac:dyDescent="0.45">
      <c r="A2317" s="57">
        <v>2021</v>
      </c>
      <c r="B2317" s="3" t="s">
        <v>59</v>
      </c>
      <c r="C2317" s="3" t="s">
        <v>20</v>
      </c>
      <c r="D2317" s="4">
        <v>22046</v>
      </c>
      <c r="E2317" s="60">
        <v>46421</v>
      </c>
      <c r="F2317" s="63" t="s">
        <v>81</v>
      </c>
    </row>
    <row r="2318" spans="1:6" x14ac:dyDescent="0.45">
      <c r="A2318" s="58">
        <v>2021</v>
      </c>
      <c r="B2318" s="5" t="s">
        <v>59</v>
      </c>
      <c r="C2318" s="5" t="s">
        <v>21</v>
      </c>
      <c r="D2318" s="6">
        <v>32480</v>
      </c>
      <c r="E2318" s="61">
        <v>40330</v>
      </c>
      <c r="F2318" s="63" t="s">
        <v>81</v>
      </c>
    </row>
    <row r="2319" spans="1:6" x14ac:dyDescent="0.45">
      <c r="A2319" s="57">
        <v>2021</v>
      </c>
      <c r="B2319" s="3" t="s">
        <v>59</v>
      </c>
      <c r="C2319" s="3" t="s">
        <v>22</v>
      </c>
      <c r="D2319" s="4">
        <v>17266</v>
      </c>
      <c r="E2319" s="60">
        <v>41478</v>
      </c>
      <c r="F2319" s="63" t="s">
        <v>82</v>
      </c>
    </row>
    <row r="2320" spans="1:6" x14ac:dyDescent="0.45">
      <c r="A2320" s="58">
        <v>2021</v>
      </c>
      <c r="B2320" s="5" t="s">
        <v>59</v>
      </c>
      <c r="C2320" s="5" t="s">
        <v>23</v>
      </c>
      <c r="D2320" s="6">
        <v>4589</v>
      </c>
      <c r="E2320" s="61">
        <v>42243</v>
      </c>
      <c r="F2320" s="63" t="s">
        <v>82</v>
      </c>
    </row>
    <row r="2321" spans="1:6" x14ac:dyDescent="0.45">
      <c r="A2321" s="57">
        <v>2021</v>
      </c>
      <c r="B2321" s="3" t="s">
        <v>59</v>
      </c>
      <c r="C2321" s="3" t="s">
        <v>24</v>
      </c>
      <c r="D2321" s="4">
        <v>13240</v>
      </c>
      <c r="E2321" s="60">
        <v>41224</v>
      </c>
      <c r="F2321" s="63" t="s">
        <v>82</v>
      </c>
    </row>
    <row r="2322" spans="1:6" x14ac:dyDescent="0.45">
      <c r="A2322" s="58">
        <v>2021</v>
      </c>
      <c r="B2322" s="5" t="s">
        <v>59</v>
      </c>
      <c r="C2322" s="5" t="s">
        <v>25</v>
      </c>
      <c r="D2322" s="6">
        <v>4153</v>
      </c>
      <c r="E2322" s="61">
        <v>37791</v>
      </c>
      <c r="F2322" s="63" t="s">
        <v>82</v>
      </c>
    </row>
    <row r="2323" spans="1:6" x14ac:dyDescent="0.45">
      <c r="A2323" s="57">
        <v>2021</v>
      </c>
      <c r="B2323" s="3" t="s">
        <v>59</v>
      </c>
      <c r="C2323" s="3" t="s">
        <v>26</v>
      </c>
      <c r="D2323" s="4">
        <v>4572</v>
      </c>
      <c r="E2323" s="60">
        <v>39587</v>
      </c>
      <c r="F2323" s="63" t="s">
        <v>82</v>
      </c>
    </row>
    <row r="2324" spans="1:6" x14ac:dyDescent="0.45">
      <c r="A2324" s="58">
        <v>2021</v>
      </c>
      <c r="B2324" s="5" t="s">
        <v>59</v>
      </c>
      <c r="C2324" s="5" t="s">
        <v>27</v>
      </c>
      <c r="D2324" s="6">
        <v>5140</v>
      </c>
      <c r="E2324" s="61">
        <v>44479</v>
      </c>
      <c r="F2324" s="63" t="s">
        <v>81</v>
      </c>
    </row>
    <row r="2325" spans="1:6" x14ac:dyDescent="0.45">
      <c r="A2325" s="57">
        <v>2021</v>
      </c>
      <c r="B2325" s="3" t="s">
        <v>59</v>
      </c>
      <c r="C2325" s="3" t="s">
        <v>28</v>
      </c>
      <c r="D2325" s="4">
        <v>4011</v>
      </c>
      <c r="E2325" s="60">
        <v>45236</v>
      </c>
      <c r="F2325" s="63" t="s">
        <v>81</v>
      </c>
    </row>
    <row r="2326" spans="1:6" x14ac:dyDescent="0.45">
      <c r="A2326" s="58">
        <v>2021</v>
      </c>
      <c r="B2326" s="5" t="s">
        <v>59</v>
      </c>
      <c r="C2326" s="5" t="s">
        <v>29</v>
      </c>
      <c r="D2326" s="6">
        <v>24469</v>
      </c>
      <c r="E2326" s="61">
        <v>43373</v>
      </c>
      <c r="F2326" s="63" t="s">
        <v>82</v>
      </c>
    </row>
    <row r="2327" spans="1:6" x14ac:dyDescent="0.45">
      <c r="A2327" s="57">
        <v>2021</v>
      </c>
      <c r="B2327" s="3" t="s">
        <v>59</v>
      </c>
      <c r="C2327" s="3" t="s">
        <v>30</v>
      </c>
      <c r="D2327" s="4">
        <v>4216</v>
      </c>
      <c r="E2327" s="60">
        <v>41417</v>
      </c>
      <c r="F2327" s="63" t="s">
        <v>81</v>
      </c>
    </row>
    <row r="2328" spans="1:6" x14ac:dyDescent="0.45">
      <c r="A2328" s="58">
        <v>2021</v>
      </c>
      <c r="B2328" s="5" t="s">
        <v>59</v>
      </c>
      <c r="C2328" s="5" t="s">
        <v>31</v>
      </c>
      <c r="D2328" s="6">
        <v>72430</v>
      </c>
      <c r="E2328" s="61">
        <v>49410</v>
      </c>
      <c r="F2328" s="63" t="s">
        <v>81</v>
      </c>
    </row>
    <row r="2329" spans="1:6" x14ac:dyDescent="0.45">
      <c r="A2329" s="57">
        <v>2021</v>
      </c>
      <c r="B2329" s="3" t="s">
        <v>59</v>
      </c>
      <c r="C2329" s="3" t="s">
        <v>32</v>
      </c>
      <c r="D2329" s="4">
        <v>24457</v>
      </c>
      <c r="E2329" s="60">
        <v>42624</v>
      </c>
      <c r="F2329" s="63" t="s">
        <v>82</v>
      </c>
    </row>
    <row r="2330" spans="1:6" x14ac:dyDescent="0.45">
      <c r="A2330" s="58">
        <v>2021</v>
      </c>
      <c r="B2330" s="5" t="s">
        <v>59</v>
      </c>
      <c r="C2330" s="5" t="s">
        <v>33</v>
      </c>
      <c r="D2330" s="6">
        <v>2047</v>
      </c>
      <c r="E2330" s="61">
        <v>44696</v>
      </c>
      <c r="F2330" s="63" t="s">
        <v>82</v>
      </c>
    </row>
    <row r="2331" spans="1:6" x14ac:dyDescent="0.45">
      <c r="A2331" s="57">
        <v>2021</v>
      </c>
      <c r="B2331" s="3" t="s">
        <v>59</v>
      </c>
      <c r="C2331" s="3" t="s">
        <v>34</v>
      </c>
      <c r="D2331" s="4">
        <v>23639</v>
      </c>
      <c r="E2331" s="60">
        <v>41006</v>
      </c>
      <c r="F2331" s="63" t="s">
        <v>81</v>
      </c>
    </row>
    <row r="2332" spans="1:6" x14ac:dyDescent="0.45">
      <c r="A2332" s="58">
        <v>2021</v>
      </c>
      <c r="B2332" s="5" t="s">
        <v>59</v>
      </c>
      <c r="C2332" s="5" t="s">
        <v>35</v>
      </c>
      <c r="D2332" s="6">
        <v>6589</v>
      </c>
      <c r="E2332" s="61">
        <v>42151</v>
      </c>
      <c r="F2332" s="63" t="s">
        <v>81</v>
      </c>
    </row>
    <row r="2333" spans="1:6" x14ac:dyDescent="0.45">
      <c r="A2333" s="57">
        <v>2021</v>
      </c>
      <c r="B2333" s="3" t="s">
        <v>59</v>
      </c>
      <c r="C2333" s="3" t="s">
        <v>36</v>
      </c>
      <c r="D2333" s="4">
        <v>25468</v>
      </c>
      <c r="E2333" s="60">
        <v>41467</v>
      </c>
      <c r="F2333" s="63" t="s">
        <v>82</v>
      </c>
    </row>
    <row r="2334" spans="1:6" x14ac:dyDescent="0.45">
      <c r="A2334" s="58">
        <v>2021</v>
      </c>
      <c r="B2334" s="5" t="s">
        <v>59</v>
      </c>
      <c r="C2334" s="5" t="s">
        <v>37</v>
      </c>
      <c r="D2334" s="6">
        <v>33082</v>
      </c>
      <c r="E2334" s="61">
        <v>41131</v>
      </c>
      <c r="F2334" s="63" t="s">
        <v>81</v>
      </c>
    </row>
    <row r="2335" spans="1:6" x14ac:dyDescent="0.45">
      <c r="A2335" s="57">
        <v>2021</v>
      </c>
      <c r="B2335" s="3" t="s">
        <v>59</v>
      </c>
      <c r="C2335" s="3" t="s">
        <v>38</v>
      </c>
      <c r="D2335" s="4">
        <v>3537</v>
      </c>
      <c r="E2335" s="60">
        <v>40466</v>
      </c>
      <c r="F2335" s="63" t="s">
        <v>82</v>
      </c>
    </row>
    <row r="2336" spans="1:6" x14ac:dyDescent="0.45">
      <c r="A2336" s="58">
        <v>2021</v>
      </c>
      <c r="B2336" s="5" t="s">
        <v>59</v>
      </c>
      <c r="C2336" s="5" t="s">
        <v>39</v>
      </c>
      <c r="D2336" s="6">
        <v>12142</v>
      </c>
      <c r="E2336" s="61">
        <v>40386</v>
      </c>
      <c r="F2336" s="63" t="s">
        <v>81</v>
      </c>
    </row>
    <row r="2337" spans="1:6" x14ac:dyDescent="0.45">
      <c r="A2337" s="57">
        <v>2021</v>
      </c>
      <c r="B2337" s="3" t="s">
        <v>59</v>
      </c>
      <c r="C2337" s="3" t="s">
        <v>40</v>
      </c>
      <c r="D2337" s="4">
        <v>2223</v>
      </c>
      <c r="E2337" s="60">
        <v>40233</v>
      </c>
      <c r="F2337" s="63" t="s">
        <v>81</v>
      </c>
    </row>
    <row r="2338" spans="1:6" x14ac:dyDescent="0.45">
      <c r="A2338" s="58">
        <v>2021</v>
      </c>
      <c r="B2338" s="5" t="s">
        <v>59</v>
      </c>
      <c r="C2338" s="5" t="s">
        <v>41</v>
      </c>
      <c r="D2338" s="6">
        <v>15931</v>
      </c>
      <c r="E2338" s="61">
        <v>42227</v>
      </c>
      <c r="F2338" s="63" t="s">
        <v>82</v>
      </c>
    </row>
    <row r="2339" spans="1:6" x14ac:dyDescent="0.45">
      <c r="A2339" s="57">
        <v>2021</v>
      </c>
      <c r="B2339" s="3" t="s">
        <v>59</v>
      </c>
      <c r="C2339" s="3" t="s">
        <v>42</v>
      </c>
      <c r="D2339" s="4">
        <v>57504</v>
      </c>
      <c r="E2339" s="60">
        <v>47110</v>
      </c>
      <c r="F2339" s="63" t="s">
        <v>82</v>
      </c>
    </row>
    <row r="2340" spans="1:6" x14ac:dyDescent="0.45">
      <c r="A2340" s="58">
        <v>2021</v>
      </c>
      <c r="B2340" s="5" t="s">
        <v>59</v>
      </c>
      <c r="C2340" s="5" t="s">
        <v>43</v>
      </c>
      <c r="D2340" s="6">
        <v>6492</v>
      </c>
      <c r="E2340" s="61">
        <v>43389</v>
      </c>
      <c r="F2340" s="63" t="s">
        <v>81</v>
      </c>
    </row>
    <row r="2341" spans="1:6" x14ac:dyDescent="0.45">
      <c r="A2341" s="57">
        <v>2021</v>
      </c>
      <c r="B2341" s="3" t="s">
        <v>59</v>
      </c>
      <c r="C2341" s="3" t="s">
        <v>44</v>
      </c>
      <c r="D2341" s="4">
        <v>1990</v>
      </c>
      <c r="E2341" s="60">
        <v>43394</v>
      </c>
      <c r="F2341" s="63" t="s">
        <v>81</v>
      </c>
    </row>
    <row r="2342" spans="1:6" x14ac:dyDescent="0.45">
      <c r="A2342" s="58">
        <v>2021</v>
      </c>
      <c r="B2342" s="5" t="s">
        <v>59</v>
      </c>
      <c r="C2342" s="5" t="s">
        <v>45</v>
      </c>
      <c r="D2342" s="6">
        <v>29777</v>
      </c>
      <c r="E2342" s="61">
        <v>51136</v>
      </c>
      <c r="F2342" s="63" t="s">
        <v>82</v>
      </c>
    </row>
    <row r="2343" spans="1:6" x14ac:dyDescent="0.45">
      <c r="A2343" s="57">
        <v>2021</v>
      </c>
      <c r="B2343" s="3" t="s">
        <v>59</v>
      </c>
      <c r="C2343" s="3" t="s">
        <v>46</v>
      </c>
      <c r="D2343" s="4">
        <v>19915</v>
      </c>
      <c r="E2343" s="60">
        <v>48585</v>
      </c>
      <c r="F2343" s="63" t="s">
        <v>82</v>
      </c>
    </row>
    <row r="2344" spans="1:6" x14ac:dyDescent="0.45">
      <c r="A2344" s="58">
        <v>2021</v>
      </c>
      <c r="B2344" s="5" t="s">
        <v>59</v>
      </c>
      <c r="C2344" s="5" t="s">
        <v>47</v>
      </c>
      <c r="D2344" s="6">
        <v>5797</v>
      </c>
      <c r="E2344" s="61">
        <v>38080</v>
      </c>
      <c r="F2344" s="63" t="s">
        <v>82</v>
      </c>
    </row>
    <row r="2345" spans="1:6" x14ac:dyDescent="0.45">
      <c r="A2345" s="57">
        <v>2021</v>
      </c>
      <c r="B2345" s="3" t="s">
        <v>59</v>
      </c>
      <c r="C2345" s="3" t="s">
        <v>48</v>
      </c>
      <c r="D2345" s="4">
        <v>13757</v>
      </c>
      <c r="E2345" s="60">
        <v>37908</v>
      </c>
      <c r="F2345" s="63" t="s">
        <v>82</v>
      </c>
    </row>
    <row r="2346" spans="1:6" x14ac:dyDescent="0.45">
      <c r="A2346" s="58">
        <v>2021</v>
      </c>
      <c r="B2346" s="5" t="s">
        <v>59</v>
      </c>
      <c r="C2346" s="5" t="s">
        <v>49</v>
      </c>
      <c r="D2346" s="6">
        <v>1655</v>
      </c>
      <c r="E2346" s="61">
        <v>45255</v>
      </c>
      <c r="F2346" s="63" t="s">
        <v>82</v>
      </c>
    </row>
    <row r="2347" spans="1:6" x14ac:dyDescent="0.45">
      <c r="A2347" s="57">
        <v>2020</v>
      </c>
      <c r="B2347" s="3" t="s">
        <v>50</v>
      </c>
      <c r="C2347" s="3" t="s">
        <v>2</v>
      </c>
      <c r="D2347" s="4">
        <v>1843</v>
      </c>
      <c r="E2347" s="60">
        <v>62388</v>
      </c>
      <c r="F2347" s="63" t="s">
        <v>81</v>
      </c>
    </row>
    <row r="2348" spans="1:6" x14ac:dyDescent="0.45">
      <c r="A2348" s="58">
        <v>2020</v>
      </c>
      <c r="B2348" s="5" t="s">
        <v>50</v>
      </c>
      <c r="C2348" s="5" t="s">
        <v>3</v>
      </c>
      <c r="D2348" s="6">
        <v>1328</v>
      </c>
      <c r="E2348" s="61">
        <v>56854</v>
      </c>
      <c r="F2348" s="63" t="s">
        <v>81</v>
      </c>
    </row>
    <row r="2349" spans="1:6" x14ac:dyDescent="0.45">
      <c r="A2349" s="57">
        <v>2020</v>
      </c>
      <c r="B2349" s="3" t="s">
        <v>50</v>
      </c>
      <c r="C2349" s="3" t="s">
        <v>4</v>
      </c>
      <c r="D2349" s="4">
        <v>2525</v>
      </c>
      <c r="E2349" s="60">
        <v>53616</v>
      </c>
      <c r="F2349" s="63" t="s">
        <v>82</v>
      </c>
    </row>
    <row r="2350" spans="1:6" x14ac:dyDescent="0.45">
      <c r="A2350" s="58">
        <v>2020</v>
      </c>
      <c r="B2350" s="5" t="s">
        <v>50</v>
      </c>
      <c r="C2350" s="5" t="s">
        <v>5</v>
      </c>
      <c r="D2350" s="6">
        <v>17605</v>
      </c>
      <c r="E2350" s="61">
        <v>44595</v>
      </c>
      <c r="F2350" s="63" t="s">
        <v>81</v>
      </c>
    </row>
    <row r="2351" spans="1:6" x14ac:dyDescent="0.45">
      <c r="A2351" s="57">
        <v>2020</v>
      </c>
      <c r="B2351" s="3" t="s">
        <v>50</v>
      </c>
      <c r="C2351" s="3" t="s">
        <v>6</v>
      </c>
      <c r="D2351" s="4">
        <v>3256</v>
      </c>
      <c r="E2351" s="60">
        <v>94489</v>
      </c>
      <c r="F2351" s="63" t="s">
        <v>81</v>
      </c>
    </row>
    <row r="2352" spans="1:6" x14ac:dyDescent="0.45">
      <c r="A2352" s="58">
        <v>2020</v>
      </c>
      <c r="B2352" s="5" t="s">
        <v>50</v>
      </c>
      <c r="C2352" s="5" t="s">
        <v>7</v>
      </c>
      <c r="D2352" s="5">
        <v>441</v>
      </c>
      <c r="E2352" s="61">
        <v>46054</v>
      </c>
      <c r="F2352" s="63" t="s">
        <v>82</v>
      </c>
    </row>
    <row r="2353" spans="1:6" x14ac:dyDescent="0.45">
      <c r="A2353" s="57">
        <v>2020</v>
      </c>
      <c r="B2353" s="3" t="s">
        <v>50</v>
      </c>
      <c r="C2353" s="3" t="s">
        <v>8</v>
      </c>
      <c r="D2353" s="3">
        <v>177</v>
      </c>
      <c r="E2353" s="60">
        <v>45987</v>
      </c>
      <c r="F2353" s="63" t="s">
        <v>82</v>
      </c>
    </row>
    <row r="2354" spans="1:6" x14ac:dyDescent="0.45">
      <c r="A2354" s="58">
        <v>2020</v>
      </c>
      <c r="B2354" s="5" t="s">
        <v>50</v>
      </c>
      <c r="C2354" s="5" t="s">
        <v>9</v>
      </c>
      <c r="D2354" s="6">
        <v>5289</v>
      </c>
      <c r="E2354" s="61">
        <v>40681</v>
      </c>
      <c r="F2354" s="63" t="s">
        <v>81</v>
      </c>
    </row>
    <row r="2355" spans="1:6" x14ac:dyDescent="0.45">
      <c r="A2355" s="57">
        <v>2020</v>
      </c>
      <c r="B2355" s="3" t="s">
        <v>50</v>
      </c>
      <c r="C2355" s="3" t="s">
        <v>10</v>
      </c>
      <c r="D2355" s="4">
        <v>2630</v>
      </c>
      <c r="E2355" s="60">
        <v>48010</v>
      </c>
      <c r="F2355" s="63" t="s">
        <v>81</v>
      </c>
    </row>
    <row r="2356" spans="1:6" x14ac:dyDescent="0.45">
      <c r="A2356" s="58">
        <v>2020</v>
      </c>
      <c r="B2356" s="5" t="s">
        <v>50</v>
      </c>
      <c r="C2356" s="5" t="s">
        <v>11</v>
      </c>
      <c r="D2356" s="6">
        <v>2500</v>
      </c>
      <c r="E2356" s="61">
        <v>45998</v>
      </c>
      <c r="F2356" s="63" t="s">
        <v>82</v>
      </c>
    </row>
    <row r="2357" spans="1:6" x14ac:dyDescent="0.45">
      <c r="A2357" s="57">
        <v>2020</v>
      </c>
      <c r="B2357" s="3" t="s">
        <v>50</v>
      </c>
      <c r="C2357" s="3" t="s">
        <v>12</v>
      </c>
      <c r="D2357" s="4">
        <v>2785</v>
      </c>
      <c r="E2357" s="60">
        <v>56101</v>
      </c>
      <c r="F2357" s="63" t="s">
        <v>81</v>
      </c>
    </row>
    <row r="2358" spans="1:6" x14ac:dyDescent="0.45">
      <c r="A2358" s="58">
        <v>2020</v>
      </c>
      <c r="B2358" s="5" t="s">
        <v>50</v>
      </c>
      <c r="C2358" s="5" t="s">
        <v>13</v>
      </c>
      <c r="D2358" s="6">
        <v>2217</v>
      </c>
      <c r="E2358" s="61">
        <v>54605</v>
      </c>
      <c r="F2358" s="63" t="s">
        <v>82</v>
      </c>
    </row>
    <row r="2359" spans="1:6" x14ac:dyDescent="0.45">
      <c r="A2359" s="57">
        <v>2020</v>
      </c>
      <c r="B2359" s="3" t="s">
        <v>50</v>
      </c>
      <c r="C2359" s="3" t="s">
        <v>14</v>
      </c>
      <c r="D2359" s="4">
        <v>2830</v>
      </c>
      <c r="E2359" s="60">
        <v>48989</v>
      </c>
      <c r="F2359" s="63" t="s">
        <v>81</v>
      </c>
    </row>
    <row r="2360" spans="1:6" x14ac:dyDescent="0.45">
      <c r="A2360" s="58">
        <v>2020</v>
      </c>
      <c r="B2360" s="5" t="s">
        <v>50</v>
      </c>
      <c r="C2360" s="5" t="s">
        <v>15</v>
      </c>
      <c r="D2360" s="6">
        <v>2658</v>
      </c>
      <c r="E2360" s="61">
        <v>53004</v>
      </c>
      <c r="F2360" s="63" t="s">
        <v>81</v>
      </c>
    </row>
    <row r="2361" spans="1:6" x14ac:dyDescent="0.45">
      <c r="A2361" s="57">
        <v>2020</v>
      </c>
      <c r="B2361" s="3" t="s">
        <v>50</v>
      </c>
      <c r="C2361" s="3" t="s">
        <v>16</v>
      </c>
      <c r="D2361" s="4">
        <v>1559</v>
      </c>
      <c r="E2361" s="60">
        <v>62223</v>
      </c>
      <c r="F2361" s="63" t="s">
        <v>82</v>
      </c>
    </row>
    <row r="2362" spans="1:6" x14ac:dyDescent="0.45">
      <c r="A2362" s="58">
        <v>2020</v>
      </c>
      <c r="B2362" s="5" t="s">
        <v>50</v>
      </c>
      <c r="C2362" s="5" t="s">
        <v>17</v>
      </c>
      <c r="D2362" s="6">
        <v>3089</v>
      </c>
      <c r="E2362" s="61">
        <v>90277</v>
      </c>
      <c r="F2362" s="63" t="s">
        <v>82</v>
      </c>
    </row>
    <row r="2363" spans="1:6" x14ac:dyDescent="0.45">
      <c r="A2363" s="57">
        <v>2020</v>
      </c>
      <c r="B2363" s="3" t="s">
        <v>50</v>
      </c>
      <c r="C2363" s="3" t="s">
        <v>18</v>
      </c>
      <c r="D2363" s="4">
        <v>1372</v>
      </c>
      <c r="E2363" s="60">
        <v>47187</v>
      </c>
      <c r="F2363" s="63" t="s">
        <v>81</v>
      </c>
    </row>
    <row r="2364" spans="1:6" x14ac:dyDescent="0.45">
      <c r="A2364" s="58">
        <v>2020</v>
      </c>
      <c r="B2364" s="5" t="s">
        <v>50</v>
      </c>
      <c r="C2364" s="5" t="s">
        <v>19</v>
      </c>
      <c r="D2364" s="5">
        <v>723</v>
      </c>
      <c r="E2364" s="61">
        <v>49100</v>
      </c>
      <c r="F2364" s="63" t="s">
        <v>81</v>
      </c>
    </row>
    <row r="2365" spans="1:6" x14ac:dyDescent="0.45">
      <c r="A2365" s="57">
        <v>2020</v>
      </c>
      <c r="B2365" s="3" t="s">
        <v>50</v>
      </c>
      <c r="C2365" s="3" t="s">
        <v>20</v>
      </c>
      <c r="D2365" s="3">
        <v>985</v>
      </c>
      <c r="E2365" s="60">
        <v>67244</v>
      </c>
      <c r="F2365" s="63" t="s">
        <v>82</v>
      </c>
    </row>
    <row r="2366" spans="1:6" x14ac:dyDescent="0.45">
      <c r="A2366" s="58">
        <v>2020</v>
      </c>
      <c r="B2366" s="5" t="s">
        <v>50</v>
      </c>
      <c r="C2366" s="5" t="s">
        <v>21</v>
      </c>
      <c r="D2366" s="6">
        <v>3282</v>
      </c>
      <c r="E2366" s="61">
        <v>46516</v>
      </c>
      <c r="F2366" s="63" t="s">
        <v>82</v>
      </c>
    </row>
    <row r="2367" spans="1:6" x14ac:dyDescent="0.45">
      <c r="A2367" s="57">
        <v>2020</v>
      </c>
      <c r="B2367" s="3" t="s">
        <v>50</v>
      </c>
      <c r="C2367" s="3" t="s">
        <v>22</v>
      </c>
      <c r="D2367" s="4">
        <v>3071</v>
      </c>
      <c r="E2367" s="60">
        <v>56521</v>
      </c>
      <c r="F2367" s="63" t="s">
        <v>82</v>
      </c>
    </row>
    <row r="2368" spans="1:6" x14ac:dyDescent="0.45">
      <c r="A2368" s="58">
        <v>2020</v>
      </c>
      <c r="B2368" s="5" t="s">
        <v>50</v>
      </c>
      <c r="C2368" s="5" t="s">
        <v>23</v>
      </c>
      <c r="D2368" s="6">
        <v>2153</v>
      </c>
      <c r="E2368" s="61">
        <v>53028</v>
      </c>
      <c r="F2368" s="63" t="s">
        <v>82</v>
      </c>
    </row>
    <row r="2369" spans="1:6" x14ac:dyDescent="0.45">
      <c r="A2369" s="57">
        <v>2020</v>
      </c>
      <c r="B2369" s="3" t="s">
        <v>50</v>
      </c>
      <c r="C2369" s="3" t="s">
        <v>24</v>
      </c>
      <c r="D2369" s="4">
        <v>1935</v>
      </c>
      <c r="E2369" s="60">
        <v>49331</v>
      </c>
      <c r="F2369" s="63" t="s">
        <v>82</v>
      </c>
    </row>
    <row r="2370" spans="1:6" x14ac:dyDescent="0.45">
      <c r="A2370" s="58">
        <v>2020</v>
      </c>
      <c r="B2370" s="5" t="s">
        <v>50</v>
      </c>
      <c r="C2370" s="5" t="s">
        <v>25</v>
      </c>
      <c r="D2370" s="6">
        <v>1771</v>
      </c>
      <c r="E2370" s="61">
        <v>73090</v>
      </c>
      <c r="F2370" s="63" t="s">
        <v>81</v>
      </c>
    </row>
    <row r="2371" spans="1:6" x14ac:dyDescent="0.45">
      <c r="A2371" s="57">
        <v>2020</v>
      </c>
      <c r="B2371" s="3" t="s">
        <v>50</v>
      </c>
      <c r="C2371" s="3" t="s">
        <v>26</v>
      </c>
      <c r="D2371" s="4">
        <v>2378</v>
      </c>
      <c r="E2371" s="60">
        <v>47084</v>
      </c>
      <c r="F2371" s="63" t="s">
        <v>81</v>
      </c>
    </row>
    <row r="2372" spans="1:6" x14ac:dyDescent="0.45">
      <c r="A2372" s="58">
        <v>2020</v>
      </c>
      <c r="B2372" s="5" t="s">
        <v>50</v>
      </c>
      <c r="C2372" s="5" t="s">
        <v>27</v>
      </c>
      <c r="D2372" s="5">
        <v>641</v>
      </c>
      <c r="E2372" s="61">
        <v>88872</v>
      </c>
      <c r="F2372" s="63" t="s">
        <v>82</v>
      </c>
    </row>
    <row r="2373" spans="1:6" x14ac:dyDescent="0.45">
      <c r="A2373" s="57">
        <v>2020</v>
      </c>
      <c r="B2373" s="3" t="s">
        <v>50</v>
      </c>
      <c r="C2373" s="3" t="s">
        <v>28</v>
      </c>
      <c r="D2373" s="3">
        <v>344</v>
      </c>
      <c r="E2373" s="60">
        <v>48081</v>
      </c>
      <c r="F2373" s="63" t="s">
        <v>81</v>
      </c>
    </row>
    <row r="2374" spans="1:6" x14ac:dyDescent="0.45">
      <c r="A2374" s="58">
        <v>2020</v>
      </c>
      <c r="B2374" s="5" t="s">
        <v>50</v>
      </c>
      <c r="C2374" s="5" t="s">
        <v>29</v>
      </c>
      <c r="D2374" s="6">
        <v>1003</v>
      </c>
      <c r="E2374" s="61">
        <v>45981</v>
      </c>
      <c r="F2374" s="63" t="s">
        <v>81</v>
      </c>
    </row>
    <row r="2375" spans="1:6" x14ac:dyDescent="0.45">
      <c r="A2375" s="57">
        <v>2020</v>
      </c>
      <c r="B2375" s="3" t="s">
        <v>50</v>
      </c>
      <c r="C2375" s="3" t="s">
        <v>30</v>
      </c>
      <c r="D2375" s="4">
        <v>2007</v>
      </c>
      <c r="E2375" s="60">
        <v>70393</v>
      </c>
      <c r="F2375" s="63" t="s">
        <v>82</v>
      </c>
    </row>
    <row r="2376" spans="1:6" x14ac:dyDescent="0.45">
      <c r="A2376" s="58">
        <v>2020</v>
      </c>
      <c r="B2376" s="5" t="s">
        <v>50</v>
      </c>
      <c r="C2376" s="5" t="s">
        <v>31</v>
      </c>
      <c r="D2376" s="6">
        <v>3062</v>
      </c>
      <c r="E2376" s="61">
        <v>47230</v>
      </c>
      <c r="F2376" s="63" t="s">
        <v>82</v>
      </c>
    </row>
    <row r="2377" spans="1:6" x14ac:dyDescent="0.45">
      <c r="A2377" s="57">
        <v>2020</v>
      </c>
      <c r="B2377" s="3" t="s">
        <v>50</v>
      </c>
      <c r="C2377" s="3" t="s">
        <v>32</v>
      </c>
      <c r="D2377" s="4">
        <v>3330</v>
      </c>
      <c r="E2377" s="60">
        <v>45062</v>
      </c>
      <c r="F2377" s="63" t="s">
        <v>81</v>
      </c>
    </row>
    <row r="2378" spans="1:6" x14ac:dyDescent="0.45">
      <c r="A2378" s="58">
        <v>2020</v>
      </c>
      <c r="B2378" s="5" t="s">
        <v>50</v>
      </c>
      <c r="C2378" s="5" t="s">
        <v>33</v>
      </c>
      <c r="D2378" s="6">
        <v>1766</v>
      </c>
      <c r="E2378" s="61">
        <v>101073</v>
      </c>
      <c r="F2378" s="63" t="s">
        <v>81</v>
      </c>
    </row>
    <row r="2379" spans="1:6" x14ac:dyDescent="0.45">
      <c r="A2379" s="57">
        <v>2020</v>
      </c>
      <c r="B2379" s="3" t="s">
        <v>50</v>
      </c>
      <c r="C2379" s="3" t="s">
        <v>34</v>
      </c>
      <c r="D2379" s="4">
        <v>2470</v>
      </c>
      <c r="E2379" s="60">
        <v>57145</v>
      </c>
      <c r="F2379" s="63" t="s">
        <v>82</v>
      </c>
    </row>
    <row r="2380" spans="1:6" x14ac:dyDescent="0.45">
      <c r="A2380" s="58">
        <v>2020</v>
      </c>
      <c r="B2380" s="5" t="s">
        <v>50</v>
      </c>
      <c r="C2380" s="5" t="s">
        <v>35</v>
      </c>
      <c r="D2380" s="6">
        <v>4348</v>
      </c>
      <c r="E2380" s="61">
        <v>97135</v>
      </c>
      <c r="F2380" s="63" t="s">
        <v>81</v>
      </c>
    </row>
    <row r="2381" spans="1:6" x14ac:dyDescent="0.45">
      <c r="A2381" s="57">
        <v>2020</v>
      </c>
      <c r="B2381" s="3" t="s">
        <v>50</v>
      </c>
      <c r="C2381" s="3" t="s">
        <v>36</v>
      </c>
      <c r="D2381" s="4">
        <v>4560</v>
      </c>
      <c r="E2381" s="60">
        <v>43495</v>
      </c>
      <c r="F2381" s="63" t="s">
        <v>82</v>
      </c>
    </row>
    <row r="2382" spans="1:6" x14ac:dyDescent="0.45">
      <c r="A2382" s="58">
        <v>2020</v>
      </c>
      <c r="B2382" s="5" t="s">
        <v>50</v>
      </c>
      <c r="C2382" s="5" t="s">
        <v>37</v>
      </c>
      <c r="D2382" s="6">
        <v>3585</v>
      </c>
      <c r="E2382" s="61">
        <v>68951</v>
      </c>
      <c r="F2382" s="63" t="s">
        <v>81</v>
      </c>
    </row>
    <row r="2383" spans="1:6" x14ac:dyDescent="0.45">
      <c r="A2383" s="57">
        <v>2020</v>
      </c>
      <c r="B2383" s="3" t="s">
        <v>50</v>
      </c>
      <c r="C2383" s="3" t="s">
        <v>38</v>
      </c>
      <c r="D2383" s="3">
        <v>194</v>
      </c>
      <c r="E2383" s="60">
        <v>45071</v>
      </c>
      <c r="F2383" s="63" t="s">
        <v>81</v>
      </c>
    </row>
    <row r="2384" spans="1:6" x14ac:dyDescent="0.45">
      <c r="A2384" s="58">
        <v>2020</v>
      </c>
      <c r="B2384" s="5" t="s">
        <v>50</v>
      </c>
      <c r="C2384" s="5" t="s">
        <v>39</v>
      </c>
      <c r="D2384" s="6">
        <v>1286</v>
      </c>
      <c r="E2384" s="61">
        <v>46536</v>
      </c>
      <c r="F2384" s="63" t="s">
        <v>82</v>
      </c>
    </row>
    <row r="2385" spans="1:6" x14ac:dyDescent="0.45">
      <c r="A2385" s="57">
        <v>2020</v>
      </c>
      <c r="B2385" s="3" t="s">
        <v>50</v>
      </c>
      <c r="C2385" s="3" t="s">
        <v>40</v>
      </c>
      <c r="D2385" s="4">
        <v>1047</v>
      </c>
      <c r="E2385" s="60">
        <v>48904</v>
      </c>
      <c r="F2385" s="63" t="s">
        <v>82</v>
      </c>
    </row>
    <row r="2386" spans="1:6" x14ac:dyDescent="0.45">
      <c r="A2386" s="58">
        <v>2020</v>
      </c>
      <c r="B2386" s="5" t="s">
        <v>50</v>
      </c>
      <c r="C2386" s="5" t="s">
        <v>41</v>
      </c>
      <c r="D2386" s="6">
        <v>1099</v>
      </c>
      <c r="E2386" s="61">
        <v>52634</v>
      </c>
      <c r="F2386" s="63" t="s">
        <v>81</v>
      </c>
    </row>
    <row r="2387" spans="1:6" x14ac:dyDescent="0.45">
      <c r="A2387" s="57">
        <v>2020</v>
      </c>
      <c r="B2387" s="3" t="s">
        <v>50</v>
      </c>
      <c r="C2387" s="3" t="s">
        <v>42</v>
      </c>
      <c r="D2387" s="4">
        <v>19761</v>
      </c>
      <c r="E2387" s="60">
        <v>115449</v>
      </c>
      <c r="F2387" s="63" t="s">
        <v>81</v>
      </c>
    </row>
    <row r="2388" spans="1:6" x14ac:dyDescent="0.45">
      <c r="A2388" s="58">
        <v>2020</v>
      </c>
      <c r="B2388" s="5" t="s">
        <v>50</v>
      </c>
      <c r="C2388" s="5" t="s">
        <v>43</v>
      </c>
      <c r="D2388" s="6">
        <v>1002</v>
      </c>
      <c r="E2388" s="61">
        <v>67171</v>
      </c>
      <c r="F2388" s="63" t="s">
        <v>82</v>
      </c>
    </row>
    <row r="2389" spans="1:6" x14ac:dyDescent="0.45">
      <c r="A2389" s="57">
        <v>2020</v>
      </c>
      <c r="B2389" s="3" t="s">
        <v>50</v>
      </c>
      <c r="C2389" s="3" t="s">
        <v>44</v>
      </c>
      <c r="D2389" s="3">
        <v>548</v>
      </c>
      <c r="E2389" s="60">
        <v>44605</v>
      </c>
      <c r="F2389" s="63" t="s">
        <v>82</v>
      </c>
    </row>
    <row r="2390" spans="1:6" x14ac:dyDescent="0.45">
      <c r="A2390" s="58">
        <v>2020</v>
      </c>
      <c r="B2390" s="5" t="s">
        <v>50</v>
      </c>
      <c r="C2390" s="5" t="s">
        <v>45</v>
      </c>
      <c r="D2390" s="6">
        <v>2101</v>
      </c>
      <c r="E2390" s="61">
        <v>53043</v>
      </c>
      <c r="F2390" s="63" t="s">
        <v>82</v>
      </c>
    </row>
    <row r="2391" spans="1:6" x14ac:dyDescent="0.45">
      <c r="A2391" s="57">
        <v>2020</v>
      </c>
      <c r="B2391" s="3" t="s">
        <v>50</v>
      </c>
      <c r="C2391" s="3" t="s">
        <v>46</v>
      </c>
      <c r="D2391" s="4">
        <v>7317</v>
      </c>
      <c r="E2391" s="60">
        <v>39346</v>
      </c>
      <c r="F2391" s="63" t="s">
        <v>82</v>
      </c>
    </row>
    <row r="2392" spans="1:6" x14ac:dyDescent="0.45">
      <c r="A2392" s="58">
        <v>2020</v>
      </c>
      <c r="B2392" s="5" t="s">
        <v>50</v>
      </c>
      <c r="C2392" s="5" t="s">
        <v>47</v>
      </c>
      <c r="D2392" s="6">
        <v>1199</v>
      </c>
      <c r="E2392" s="61">
        <v>86012</v>
      </c>
      <c r="F2392" s="63" t="s">
        <v>82</v>
      </c>
    </row>
    <row r="2393" spans="1:6" x14ac:dyDescent="0.45">
      <c r="A2393" s="57">
        <v>2020</v>
      </c>
      <c r="B2393" s="3" t="s">
        <v>50</v>
      </c>
      <c r="C2393" s="3" t="s">
        <v>48</v>
      </c>
      <c r="D2393" s="4">
        <v>2926</v>
      </c>
      <c r="E2393" s="60">
        <v>45437</v>
      </c>
      <c r="F2393" s="63" t="s">
        <v>81</v>
      </c>
    </row>
    <row r="2394" spans="1:6" x14ac:dyDescent="0.45">
      <c r="A2394" s="58">
        <v>2020</v>
      </c>
      <c r="B2394" s="5" t="s">
        <v>50</v>
      </c>
      <c r="C2394" s="5" t="s">
        <v>49</v>
      </c>
      <c r="D2394" s="6">
        <v>1438</v>
      </c>
      <c r="E2394" s="61">
        <v>89751</v>
      </c>
      <c r="F2394" s="63" t="s">
        <v>81</v>
      </c>
    </row>
    <row r="2395" spans="1:6" x14ac:dyDescent="0.45">
      <c r="A2395" s="57">
        <v>2020</v>
      </c>
      <c r="B2395" s="3" t="s">
        <v>51</v>
      </c>
      <c r="C2395" s="3" t="s">
        <v>2</v>
      </c>
      <c r="D2395" s="4">
        <v>9897</v>
      </c>
      <c r="E2395" s="60">
        <v>59957</v>
      </c>
      <c r="F2395" s="63" t="s">
        <v>82</v>
      </c>
    </row>
    <row r="2396" spans="1:6" x14ac:dyDescent="0.45">
      <c r="A2396" s="58">
        <v>2020</v>
      </c>
      <c r="B2396" s="5" t="s">
        <v>51</v>
      </c>
      <c r="C2396" s="5" t="s">
        <v>3</v>
      </c>
      <c r="D2396" s="6">
        <v>12867</v>
      </c>
      <c r="E2396" s="61">
        <v>61989</v>
      </c>
      <c r="F2396" s="63" t="s">
        <v>81</v>
      </c>
    </row>
    <row r="2397" spans="1:6" x14ac:dyDescent="0.45">
      <c r="A2397" s="57">
        <v>2020</v>
      </c>
      <c r="B2397" s="3" t="s">
        <v>51</v>
      </c>
      <c r="C2397" s="3" t="s">
        <v>4</v>
      </c>
      <c r="D2397" s="4">
        <v>6945</v>
      </c>
      <c r="E2397" s="60">
        <v>53988</v>
      </c>
      <c r="F2397" s="63" t="s">
        <v>81</v>
      </c>
    </row>
    <row r="2398" spans="1:6" x14ac:dyDescent="0.45">
      <c r="A2398" s="58">
        <v>2020</v>
      </c>
      <c r="B2398" s="5" t="s">
        <v>51</v>
      </c>
      <c r="C2398" s="5" t="s">
        <v>5</v>
      </c>
      <c r="D2398" s="6">
        <v>80657</v>
      </c>
      <c r="E2398" s="61">
        <v>76084</v>
      </c>
      <c r="F2398" s="63" t="s">
        <v>82</v>
      </c>
    </row>
    <row r="2399" spans="1:6" x14ac:dyDescent="0.45">
      <c r="A2399" s="57">
        <v>2020</v>
      </c>
      <c r="B2399" s="3" t="s">
        <v>51</v>
      </c>
      <c r="C2399" s="3" t="s">
        <v>6</v>
      </c>
      <c r="D2399" s="4">
        <v>19884</v>
      </c>
      <c r="E2399" s="60">
        <v>68414</v>
      </c>
      <c r="F2399" s="63" t="s">
        <v>82</v>
      </c>
    </row>
    <row r="2400" spans="1:6" x14ac:dyDescent="0.45">
      <c r="A2400" s="58">
        <v>2020</v>
      </c>
      <c r="B2400" s="5" t="s">
        <v>51</v>
      </c>
      <c r="C2400" s="5" t="s">
        <v>7</v>
      </c>
      <c r="D2400" s="6">
        <v>9399</v>
      </c>
      <c r="E2400" s="61">
        <v>75727</v>
      </c>
      <c r="F2400" s="63" t="s">
        <v>81</v>
      </c>
    </row>
    <row r="2401" spans="1:6" x14ac:dyDescent="0.45">
      <c r="A2401" s="57">
        <v>2020</v>
      </c>
      <c r="B2401" s="3" t="s">
        <v>51</v>
      </c>
      <c r="C2401" s="3" t="s">
        <v>8</v>
      </c>
      <c r="D2401" s="4">
        <v>2871</v>
      </c>
      <c r="E2401" s="60">
        <v>65797</v>
      </c>
      <c r="F2401" s="63" t="s">
        <v>81</v>
      </c>
    </row>
    <row r="2402" spans="1:6" x14ac:dyDescent="0.45">
      <c r="A2402" s="58">
        <v>2020</v>
      </c>
      <c r="B2402" s="5" t="s">
        <v>51</v>
      </c>
      <c r="C2402" s="5" t="s">
        <v>9</v>
      </c>
      <c r="D2402" s="6">
        <v>70819</v>
      </c>
      <c r="E2402" s="61">
        <v>57286</v>
      </c>
      <c r="F2402" s="63" t="s">
        <v>82</v>
      </c>
    </row>
    <row r="2403" spans="1:6" x14ac:dyDescent="0.45">
      <c r="A2403" s="57">
        <v>2020</v>
      </c>
      <c r="B2403" s="3" t="s">
        <v>51</v>
      </c>
      <c r="C2403" s="3" t="s">
        <v>10</v>
      </c>
      <c r="D2403" s="4">
        <v>20577</v>
      </c>
      <c r="E2403" s="60">
        <v>67018</v>
      </c>
      <c r="F2403" s="63" t="s">
        <v>81</v>
      </c>
    </row>
    <row r="2404" spans="1:6" x14ac:dyDescent="0.45">
      <c r="A2404" s="58">
        <v>2020</v>
      </c>
      <c r="B2404" s="5" t="s">
        <v>51</v>
      </c>
      <c r="C2404" s="5" t="s">
        <v>11</v>
      </c>
      <c r="D2404" s="6">
        <v>8174</v>
      </c>
      <c r="E2404" s="61">
        <v>50285</v>
      </c>
      <c r="F2404" s="63" t="s">
        <v>82</v>
      </c>
    </row>
    <row r="2405" spans="1:6" x14ac:dyDescent="0.45">
      <c r="A2405" s="57">
        <v>2020</v>
      </c>
      <c r="B2405" s="3" t="s">
        <v>51</v>
      </c>
      <c r="C2405" s="3" t="s">
        <v>12</v>
      </c>
      <c r="D2405" s="4">
        <v>32305</v>
      </c>
      <c r="E2405" s="60">
        <v>77957</v>
      </c>
      <c r="F2405" s="63" t="s">
        <v>81</v>
      </c>
    </row>
    <row r="2406" spans="1:6" x14ac:dyDescent="0.45">
      <c r="A2406" s="58">
        <v>2020</v>
      </c>
      <c r="B2406" s="5" t="s">
        <v>51</v>
      </c>
      <c r="C2406" s="5" t="s">
        <v>13</v>
      </c>
      <c r="D2406" s="6">
        <v>15176</v>
      </c>
      <c r="E2406" s="61">
        <v>64404</v>
      </c>
      <c r="F2406" s="63" t="s">
        <v>81</v>
      </c>
    </row>
    <row r="2407" spans="1:6" x14ac:dyDescent="0.45">
      <c r="A2407" s="57">
        <v>2020</v>
      </c>
      <c r="B2407" s="3" t="s">
        <v>51</v>
      </c>
      <c r="C2407" s="3" t="s">
        <v>14</v>
      </c>
      <c r="D2407" s="4">
        <v>9447</v>
      </c>
      <c r="E2407" s="60">
        <v>63435</v>
      </c>
      <c r="F2407" s="63" t="s">
        <v>82</v>
      </c>
    </row>
    <row r="2408" spans="1:6" x14ac:dyDescent="0.45">
      <c r="A2408" s="58">
        <v>2020</v>
      </c>
      <c r="B2408" s="5" t="s">
        <v>51</v>
      </c>
      <c r="C2408" s="5" t="s">
        <v>15</v>
      </c>
      <c r="D2408" s="6">
        <v>7555</v>
      </c>
      <c r="E2408" s="61">
        <v>60735</v>
      </c>
      <c r="F2408" s="63" t="s">
        <v>82</v>
      </c>
    </row>
    <row r="2409" spans="1:6" x14ac:dyDescent="0.45">
      <c r="A2409" s="57">
        <v>2020</v>
      </c>
      <c r="B2409" s="3" t="s">
        <v>51</v>
      </c>
      <c r="C2409" s="3" t="s">
        <v>16</v>
      </c>
      <c r="D2409" s="4">
        <v>9466</v>
      </c>
      <c r="E2409" s="60">
        <v>59957</v>
      </c>
      <c r="F2409" s="63" t="s">
        <v>81</v>
      </c>
    </row>
    <row r="2410" spans="1:6" x14ac:dyDescent="0.45">
      <c r="A2410" s="58">
        <v>2020</v>
      </c>
      <c r="B2410" s="5" t="s">
        <v>51</v>
      </c>
      <c r="C2410" s="5" t="s">
        <v>17</v>
      </c>
      <c r="D2410" s="6">
        <v>10844</v>
      </c>
      <c r="E2410" s="61">
        <v>69892</v>
      </c>
      <c r="F2410" s="63" t="s">
        <v>81</v>
      </c>
    </row>
    <row r="2411" spans="1:6" x14ac:dyDescent="0.45">
      <c r="A2411" s="57">
        <v>2020</v>
      </c>
      <c r="B2411" s="3" t="s">
        <v>51</v>
      </c>
      <c r="C2411" s="3" t="s">
        <v>18</v>
      </c>
      <c r="D2411" s="4">
        <v>5475</v>
      </c>
      <c r="E2411" s="60">
        <v>55575</v>
      </c>
      <c r="F2411" s="63" t="s">
        <v>82</v>
      </c>
    </row>
    <row r="2412" spans="1:6" x14ac:dyDescent="0.45">
      <c r="A2412" s="58">
        <v>2020</v>
      </c>
      <c r="B2412" s="5" t="s">
        <v>51</v>
      </c>
      <c r="C2412" s="5" t="s">
        <v>19</v>
      </c>
      <c r="D2412" s="6">
        <v>16487</v>
      </c>
      <c r="E2412" s="61">
        <v>71971</v>
      </c>
      <c r="F2412" s="63" t="s">
        <v>82</v>
      </c>
    </row>
    <row r="2413" spans="1:6" x14ac:dyDescent="0.45">
      <c r="A2413" s="57">
        <v>2020</v>
      </c>
      <c r="B2413" s="3" t="s">
        <v>51</v>
      </c>
      <c r="C2413" s="3" t="s">
        <v>20</v>
      </c>
      <c r="D2413" s="4">
        <v>21120</v>
      </c>
      <c r="E2413" s="60">
        <v>84802</v>
      </c>
      <c r="F2413" s="63" t="s">
        <v>82</v>
      </c>
    </row>
    <row r="2414" spans="1:6" x14ac:dyDescent="0.45">
      <c r="A2414" s="58">
        <v>2020</v>
      </c>
      <c r="B2414" s="5" t="s">
        <v>51</v>
      </c>
      <c r="C2414" s="5" t="s">
        <v>21</v>
      </c>
      <c r="D2414" s="6">
        <v>19952</v>
      </c>
      <c r="E2414" s="61">
        <v>68378</v>
      </c>
      <c r="F2414" s="63" t="s">
        <v>82</v>
      </c>
    </row>
    <row r="2415" spans="1:6" x14ac:dyDescent="0.45">
      <c r="A2415" s="57">
        <v>2020</v>
      </c>
      <c r="B2415" s="3" t="s">
        <v>51</v>
      </c>
      <c r="C2415" s="3" t="s">
        <v>22</v>
      </c>
      <c r="D2415" s="4">
        <v>16480</v>
      </c>
      <c r="E2415" s="60">
        <v>73248</v>
      </c>
      <c r="F2415" s="63" t="s">
        <v>82</v>
      </c>
    </row>
    <row r="2416" spans="1:6" x14ac:dyDescent="0.45">
      <c r="A2416" s="58">
        <v>2020</v>
      </c>
      <c r="B2416" s="5" t="s">
        <v>51</v>
      </c>
      <c r="C2416" s="5" t="s">
        <v>23</v>
      </c>
      <c r="D2416" s="6">
        <v>5760</v>
      </c>
      <c r="E2416" s="61">
        <v>56325</v>
      </c>
      <c r="F2416" s="63" t="s">
        <v>81</v>
      </c>
    </row>
    <row r="2417" spans="1:6" x14ac:dyDescent="0.45">
      <c r="A2417" s="57">
        <v>2020</v>
      </c>
      <c r="B2417" s="3" t="s">
        <v>51</v>
      </c>
      <c r="C2417" s="3" t="s">
        <v>24</v>
      </c>
      <c r="D2417" s="4">
        <v>14591</v>
      </c>
      <c r="E2417" s="60">
        <v>65442</v>
      </c>
      <c r="F2417" s="63" t="s">
        <v>81</v>
      </c>
    </row>
    <row r="2418" spans="1:6" x14ac:dyDescent="0.45">
      <c r="A2418" s="58">
        <v>2020</v>
      </c>
      <c r="B2418" s="5" t="s">
        <v>51</v>
      </c>
      <c r="C2418" s="5" t="s">
        <v>25</v>
      </c>
      <c r="D2418" s="6">
        <v>6514</v>
      </c>
      <c r="E2418" s="61">
        <v>58969</v>
      </c>
      <c r="F2418" s="63" t="s">
        <v>82</v>
      </c>
    </row>
    <row r="2419" spans="1:6" x14ac:dyDescent="0.45">
      <c r="A2419" s="57">
        <v>2020</v>
      </c>
      <c r="B2419" s="3" t="s">
        <v>51</v>
      </c>
      <c r="C2419" s="3" t="s">
        <v>26</v>
      </c>
      <c r="D2419" s="4">
        <v>7068</v>
      </c>
      <c r="E2419" s="60">
        <v>57657</v>
      </c>
      <c r="F2419" s="63" t="s">
        <v>81</v>
      </c>
    </row>
    <row r="2420" spans="1:6" x14ac:dyDescent="0.45">
      <c r="A2420" s="58">
        <v>2020</v>
      </c>
      <c r="B2420" s="5" t="s">
        <v>51</v>
      </c>
      <c r="C2420" s="5" t="s">
        <v>27</v>
      </c>
      <c r="D2420" s="6">
        <v>5898</v>
      </c>
      <c r="E2420" s="61">
        <v>67123</v>
      </c>
      <c r="F2420" s="63" t="s">
        <v>81</v>
      </c>
    </row>
    <row r="2421" spans="1:6" x14ac:dyDescent="0.45">
      <c r="A2421" s="57">
        <v>2020</v>
      </c>
      <c r="B2421" s="3" t="s">
        <v>51</v>
      </c>
      <c r="C2421" s="3" t="s">
        <v>28</v>
      </c>
      <c r="D2421" s="4">
        <v>4498</v>
      </c>
      <c r="E2421" s="60">
        <v>68661</v>
      </c>
      <c r="F2421" s="63" t="s">
        <v>82</v>
      </c>
    </row>
    <row r="2422" spans="1:6" x14ac:dyDescent="0.45">
      <c r="A2422" s="58">
        <v>2020</v>
      </c>
      <c r="B2422" s="5" t="s">
        <v>51</v>
      </c>
      <c r="C2422" s="5" t="s">
        <v>29</v>
      </c>
      <c r="D2422" s="6">
        <v>22416</v>
      </c>
      <c r="E2422" s="61">
        <v>78658</v>
      </c>
      <c r="F2422" s="63" t="s">
        <v>82</v>
      </c>
    </row>
    <row r="2423" spans="1:6" x14ac:dyDescent="0.45">
      <c r="A2423" s="57">
        <v>2020</v>
      </c>
      <c r="B2423" s="3" t="s">
        <v>51</v>
      </c>
      <c r="C2423" s="3" t="s">
        <v>30</v>
      </c>
      <c r="D2423" s="4">
        <v>5337</v>
      </c>
      <c r="E2423" s="60">
        <v>55350</v>
      </c>
      <c r="F2423" s="63" t="s">
        <v>81</v>
      </c>
    </row>
    <row r="2424" spans="1:6" x14ac:dyDescent="0.45">
      <c r="A2424" s="58">
        <v>2020</v>
      </c>
      <c r="B2424" s="5" t="s">
        <v>51</v>
      </c>
      <c r="C2424" s="5" t="s">
        <v>31</v>
      </c>
      <c r="D2424" s="6">
        <v>50281</v>
      </c>
      <c r="E2424" s="61">
        <v>79248</v>
      </c>
      <c r="F2424" s="63" t="s">
        <v>81</v>
      </c>
    </row>
    <row r="2425" spans="1:6" x14ac:dyDescent="0.45">
      <c r="A2425" s="57">
        <v>2020</v>
      </c>
      <c r="B2425" s="3" t="s">
        <v>51</v>
      </c>
      <c r="C2425" s="3" t="s">
        <v>32</v>
      </c>
      <c r="D2425" s="4">
        <v>26741</v>
      </c>
      <c r="E2425" s="60">
        <v>60587</v>
      </c>
      <c r="F2425" s="63" t="s">
        <v>82</v>
      </c>
    </row>
    <row r="2426" spans="1:6" x14ac:dyDescent="0.45">
      <c r="A2426" s="58">
        <v>2020</v>
      </c>
      <c r="B2426" s="5" t="s">
        <v>51</v>
      </c>
      <c r="C2426" s="5" t="s">
        <v>33</v>
      </c>
      <c r="D2426" s="6">
        <v>3798</v>
      </c>
      <c r="E2426" s="61">
        <v>70586</v>
      </c>
      <c r="F2426" s="63" t="s">
        <v>81</v>
      </c>
    </row>
    <row r="2427" spans="1:6" x14ac:dyDescent="0.45">
      <c r="A2427" s="57">
        <v>2020</v>
      </c>
      <c r="B2427" s="3" t="s">
        <v>51</v>
      </c>
      <c r="C2427" s="3" t="s">
        <v>34</v>
      </c>
      <c r="D2427" s="4">
        <v>23076</v>
      </c>
      <c r="E2427" s="60">
        <v>67194</v>
      </c>
      <c r="F2427" s="63" t="s">
        <v>82</v>
      </c>
    </row>
    <row r="2428" spans="1:6" x14ac:dyDescent="0.45">
      <c r="A2428" s="58">
        <v>2020</v>
      </c>
      <c r="B2428" s="5" t="s">
        <v>51</v>
      </c>
      <c r="C2428" s="5" t="s">
        <v>35</v>
      </c>
      <c r="D2428" s="6">
        <v>9765</v>
      </c>
      <c r="E2428" s="61">
        <v>58777</v>
      </c>
      <c r="F2428" s="63" t="s">
        <v>81</v>
      </c>
    </row>
    <row r="2429" spans="1:6" x14ac:dyDescent="0.45">
      <c r="A2429" s="57">
        <v>2020</v>
      </c>
      <c r="B2429" s="3" t="s">
        <v>51</v>
      </c>
      <c r="C2429" s="3" t="s">
        <v>36</v>
      </c>
      <c r="D2429" s="4">
        <v>14244</v>
      </c>
      <c r="E2429" s="60">
        <v>66523</v>
      </c>
      <c r="F2429" s="63" t="s">
        <v>81</v>
      </c>
    </row>
    <row r="2430" spans="1:6" x14ac:dyDescent="0.45">
      <c r="A2430" s="58">
        <v>2020</v>
      </c>
      <c r="B2430" s="5" t="s">
        <v>51</v>
      </c>
      <c r="C2430" s="5" t="s">
        <v>37</v>
      </c>
      <c r="D2430" s="6">
        <v>28749</v>
      </c>
      <c r="E2430" s="61">
        <v>72852</v>
      </c>
      <c r="F2430" s="63" t="s">
        <v>82</v>
      </c>
    </row>
    <row r="2431" spans="1:6" x14ac:dyDescent="0.45">
      <c r="A2431" s="57">
        <v>2020</v>
      </c>
      <c r="B2431" s="3" t="s">
        <v>51</v>
      </c>
      <c r="C2431" s="3" t="s">
        <v>38</v>
      </c>
      <c r="D2431" s="4">
        <v>3743</v>
      </c>
      <c r="E2431" s="60">
        <v>67579</v>
      </c>
      <c r="F2431" s="63" t="s">
        <v>82</v>
      </c>
    </row>
    <row r="2432" spans="1:6" x14ac:dyDescent="0.45">
      <c r="A2432" s="58">
        <v>2020</v>
      </c>
      <c r="B2432" s="5" t="s">
        <v>51</v>
      </c>
      <c r="C2432" s="5" t="s">
        <v>39</v>
      </c>
      <c r="D2432" s="6">
        <v>12124</v>
      </c>
      <c r="E2432" s="61">
        <v>58634</v>
      </c>
      <c r="F2432" s="63" t="s">
        <v>81</v>
      </c>
    </row>
    <row r="2433" spans="1:6" x14ac:dyDescent="0.45">
      <c r="A2433" s="57">
        <v>2020</v>
      </c>
      <c r="B2433" s="3" t="s">
        <v>51</v>
      </c>
      <c r="C2433" s="3" t="s">
        <v>40</v>
      </c>
      <c r="D2433" s="4">
        <v>3884</v>
      </c>
      <c r="E2433" s="60">
        <v>54981</v>
      </c>
      <c r="F2433" s="63" t="s">
        <v>81</v>
      </c>
    </row>
    <row r="2434" spans="1:6" x14ac:dyDescent="0.45">
      <c r="A2434" s="58">
        <v>2020</v>
      </c>
      <c r="B2434" s="5" t="s">
        <v>51</v>
      </c>
      <c r="C2434" s="5" t="s">
        <v>41</v>
      </c>
      <c r="D2434" s="6">
        <v>12110</v>
      </c>
      <c r="E2434" s="61">
        <v>63033</v>
      </c>
      <c r="F2434" s="63" t="s">
        <v>82</v>
      </c>
    </row>
    <row r="2435" spans="1:6" x14ac:dyDescent="0.45">
      <c r="A2435" s="57">
        <v>2020</v>
      </c>
      <c r="B2435" s="3" t="s">
        <v>51</v>
      </c>
      <c r="C2435" s="3" t="s">
        <v>42</v>
      </c>
      <c r="D2435" s="4">
        <v>51405</v>
      </c>
      <c r="E2435" s="60">
        <v>71554</v>
      </c>
      <c r="F2435" s="63" t="s">
        <v>82</v>
      </c>
    </row>
    <row r="2436" spans="1:6" x14ac:dyDescent="0.45">
      <c r="A2436" s="58">
        <v>2020</v>
      </c>
      <c r="B2436" s="5" t="s">
        <v>51</v>
      </c>
      <c r="C2436" s="5" t="s">
        <v>43</v>
      </c>
      <c r="D2436" s="6">
        <v>11572</v>
      </c>
      <c r="E2436" s="61">
        <v>57052</v>
      </c>
      <c r="F2436" s="63" t="s">
        <v>82</v>
      </c>
    </row>
    <row r="2437" spans="1:6" x14ac:dyDescent="0.45">
      <c r="A2437" s="57">
        <v>2020</v>
      </c>
      <c r="B2437" s="3" t="s">
        <v>51</v>
      </c>
      <c r="C2437" s="3" t="s">
        <v>44</v>
      </c>
      <c r="D2437" s="4">
        <v>2878</v>
      </c>
      <c r="E2437" s="60">
        <v>57025</v>
      </c>
      <c r="F2437" s="63" t="s">
        <v>82</v>
      </c>
    </row>
    <row r="2438" spans="1:6" x14ac:dyDescent="0.45">
      <c r="A2438" s="58">
        <v>2020</v>
      </c>
      <c r="B2438" s="5" t="s">
        <v>51</v>
      </c>
      <c r="C2438" s="5" t="s">
        <v>45</v>
      </c>
      <c r="D2438" s="6">
        <v>21508</v>
      </c>
      <c r="E2438" s="61">
        <v>64050</v>
      </c>
      <c r="F2438" s="63" t="s">
        <v>82</v>
      </c>
    </row>
    <row r="2439" spans="1:6" x14ac:dyDescent="0.45">
      <c r="A2439" s="57">
        <v>2020</v>
      </c>
      <c r="B2439" s="3" t="s">
        <v>51</v>
      </c>
      <c r="C2439" s="3" t="s">
        <v>46</v>
      </c>
      <c r="D2439" s="4">
        <v>26015</v>
      </c>
      <c r="E2439" s="60">
        <v>70432</v>
      </c>
      <c r="F2439" s="63" t="s">
        <v>81</v>
      </c>
    </row>
    <row r="2440" spans="1:6" x14ac:dyDescent="0.45">
      <c r="A2440" s="58">
        <v>2020</v>
      </c>
      <c r="B2440" s="5" t="s">
        <v>51</v>
      </c>
      <c r="C2440" s="5" t="s">
        <v>47</v>
      </c>
      <c r="D2440" s="6">
        <v>4435</v>
      </c>
      <c r="E2440" s="61">
        <v>78255</v>
      </c>
      <c r="F2440" s="63" t="s">
        <v>81</v>
      </c>
    </row>
    <row r="2441" spans="1:6" x14ac:dyDescent="0.45">
      <c r="A2441" s="57">
        <v>2020</v>
      </c>
      <c r="B2441" s="3" t="s">
        <v>51</v>
      </c>
      <c r="C2441" s="3" t="s">
        <v>48</v>
      </c>
      <c r="D2441" s="4">
        <v>14814</v>
      </c>
      <c r="E2441" s="60">
        <v>68063</v>
      </c>
      <c r="F2441" s="63" t="s">
        <v>82</v>
      </c>
    </row>
    <row r="2442" spans="1:6" x14ac:dyDescent="0.45">
      <c r="A2442" s="58">
        <v>2020</v>
      </c>
      <c r="B2442" s="5" t="s">
        <v>51</v>
      </c>
      <c r="C2442" s="5" t="s">
        <v>49</v>
      </c>
      <c r="D2442" s="6">
        <v>3375</v>
      </c>
      <c r="E2442" s="61">
        <v>59554</v>
      </c>
      <c r="F2442" s="63" t="s">
        <v>81</v>
      </c>
    </row>
    <row r="2443" spans="1:6" x14ac:dyDescent="0.45">
      <c r="A2443" s="57">
        <v>2020</v>
      </c>
      <c r="B2443" s="3" t="s">
        <v>52</v>
      </c>
      <c r="C2443" s="3" t="s">
        <v>2</v>
      </c>
      <c r="D2443" s="4">
        <v>5566</v>
      </c>
      <c r="E2443" s="60">
        <v>63068</v>
      </c>
      <c r="F2443" s="63" t="s">
        <v>81</v>
      </c>
    </row>
    <row r="2444" spans="1:6" x14ac:dyDescent="0.45">
      <c r="A2444" s="58">
        <v>2020</v>
      </c>
      <c r="B2444" s="5" t="s">
        <v>52</v>
      </c>
      <c r="C2444" s="5" t="s">
        <v>3</v>
      </c>
      <c r="D2444" s="6">
        <v>4926</v>
      </c>
      <c r="E2444" s="61">
        <v>82139</v>
      </c>
      <c r="F2444" s="63" t="s">
        <v>82</v>
      </c>
    </row>
    <row r="2445" spans="1:6" x14ac:dyDescent="0.45">
      <c r="A2445" s="57">
        <v>2020</v>
      </c>
      <c r="B2445" s="3" t="s">
        <v>52</v>
      </c>
      <c r="C2445" s="3" t="s">
        <v>4</v>
      </c>
      <c r="D2445" s="4">
        <v>2918</v>
      </c>
      <c r="E2445" s="60">
        <v>53984</v>
      </c>
      <c r="F2445" s="63" t="s">
        <v>82</v>
      </c>
    </row>
    <row r="2446" spans="1:6" x14ac:dyDescent="0.45">
      <c r="A2446" s="58">
        <v>2020</v>
      </c>
      <c r="B2446" s="5" t="s">
        <v>52</v>
      </c>
      <c r="C2446" s="5" t="s">
        <v>5</v>
      </c>
      <c r="D2446" s="6">
        <v>44706</v>
      </c>
      <c r="E2446" s="61">
        <v>101627</v>
      </c>
      <c r="F2446" s="63" t="s">
        <v>81</v>
      </c>
    </row>
    <row r="2447" spans="1:6" x14ac:dyDescent="0.45">
      <c r="A2447" s="57">
        <v>2020</v>
      </c>
      <c r="B2447" s="3" t="s">
        <v>52</v>
      </c>
      <c r="C2447" s="3" t="s">
        <v>6</v>
      </c>
      <c r="D2447" s="4">
        <v>5804</v>
      </c>
      <c r="E2447" s="60">
        <v>76677</v>
      </c>
      <c r="F2447" s="63" t="s">
        <v>81</v>
      </c>
    </row>
    <row r="2448" spans="1:6" x14ac:dyDescent="0.45">
      <c r="A2448" s="58">
        <v>2020</v>
      </c>
      <c r="B2448" s="5" t="s">
        <v>52</v>
      </c>
      <c r="C2448" s="5" t="s">
        <v>7</v>
      </c>
      <c r="D2448" s="6">
        <v>4408</v>
      </c>
      <c r="E2448" s="61">
        <v>88569</v>
      </c>
      <c r="F2448" s="63" t="s">
        <v>82</v>
      </c>
    </row>
    <row r="2449" spans="1:6" x14ac:dyDescent="0.45">
      <c r="A2449" s="57">
        <v>2020</v>
      </c>
      <c r="B2449" s="3" t="s">
        <v>52</v>
      </c>
      <c r="C2449" s="3" t="s">
        <v>8</v>
      </c>
      <c r="D2449" s="3">
        <v>661</v>
      </c>
      <c r="E2449" s="60">
        <v>70153</v>
      </c>
      <c r="F2449" s="63" t="s">
        <v>81</v>
      </c>
    </row>
    <row r="2450" spans="1:6" x14ac:dyDescent="0.45">
      <c r="A2450" s="58">
        <v>2020</v>
      </c>
      <c r="B2450" s="5" t="s">
        <v>52</v>
      </c>
      <c r="C2450" s="5" t="s">
        <v>9</v>
      </c>
      <c r="D2450" s="6">
        <v>20548</v>
      </c>
      <c r="E2450" s="61">
        <v>67740</v>
      </c>
      <c r="F2450" s="63" t="s">
        <v>82</v>
      </c>
    </row>
    <row r="2451" spans="1:6" x14ac:dyDescent="0.45">
      <c r="A2451" s="57">
        <v>2020</v>
      </c>
      <c r="B2451" s="3" t="s">
        <v>52</v>
      </c>
      <c r="C2451" s="3" t="s">
        <v>10</v>
      </c>
      <c r="D2451" s="4">
        <v>9884</v>
      </c>
      <c r="E2451" s="60">
        <v>65168</v>
      </c>
      <c r="F2451" s="63" t="s">
        <v>81</v>
      </c>
    </row>
    <row r="2452" spans="1:6" x14ac:dyDescent="0.45">
      <c r="A2452" s="58">
        <v>2020</v>
      </c>
      <c r="B2452" s="5" t="s">
        <v>52</v>
      </c>
      <c r="C2452" s="5" t="s">
        <v>11</v>
      </c>
      <c r="D2452" s="6">
        <v>2807</v>
      </c>
      <c r="E2452" s="61">
        <v>69932</v>
      </c>
      <c r="F2452" s="63" t="s">
        <v>81</v>
      </c>
    </row>
    <row r="2453" spans="1:6" x14ac:dyDescent="0.45">
      <c r="A2453" s="57">
        <v>2020</v>
      </c>
      <c r="B2453" s="3" t="s">
        <v>52</v>
      </c>
      <c r="C2453" s="3" t="s">
        <v>12</v>
      </c>
      <c r="D2453" s="4">
        <v>17883</v>
      </c>
      <c r="E2453" s="60">
        <v>77895</v>
      </c>
      <c r="F2453" s="63" t="s">
        <v>82</v>
      </c>
    </row>
    <row r="2454" spans="1:6" x14ac:dyDescent="0.45">
      <c r="A2454" s="58">
        <v>2020</v>
      </c>
      <c r="B2454" s="5" t="s">
        <v>52</v>
      </c>
      <c r="C2454" s="5" t="s">
        <v>13</v>
      </c>
      <c r="D2454" s="6">
        <v>8825</v>
      </c>
      <c r="E2454" s="61">
        <v>68680</v>
      </c>
      <c r="F2454" s="63" t="s">
        <v>82</v>
      </c>
    </row>
    <row r="2455" spans="1:6" x14ac:dyDescent="0.45">
      <c r="A2455" s="57">
        <v>2020</v>
      </c>
      <c r="B2455" s="3" t="s">
        <v>52</v>
      </c>
      <c r="C2455" s="3" t="s">
        <v>14</v>
      </c>
      <c r="D2455" s="4">
        <v>4142</v>
      </c>
      <c r="E2455" s="60">
        <v>66257</v>
      </c>
      <c r="F2455" s="63" t="s">
        <v>81</v>
      </c>
    </row>
    <row r="2456" spans="1:6" x14ac:dyDescent="0.45">
      <c r="A2456" s="58">
        <v>2020</v>
      </c>
      <c r="B2456" s="5" t="s">
        <v>52</v>
      </c>
      <c r="C2456" s="5" t="s">
        <v>15</v>
      </c>
      <c r="D2456" s="6">
        <v>3143</v>
      </c>
      <c r="E2456" s="61">
        <v>65206</v>
      </c>
      <c r="F2456" s="63" t="s">
        <v>81</v>
      </c>
    </row>
    <row r="2457" spans="1:6" x14ac:dyDescent="0.45">
      <c r="A2457" s="57">
        <v>2020</v>
      </c>
      <c r="B2457" s="3" t="s">
        <v>52</v>
      </c>
      <c r="C2457" s="3" t="s">
        <v>16</v>
      </c>
      <c r="D2457" s="4">
        <v>4443</v>
      </c>
      <c r="E2457" s="60">
        <v>65208</v>
      </c>
      <c r="F2457" s="63" t="s">
        <v>82</v>
      </c>
    </row>
    <row r="2458" spans="1:6" x14ac:dyDescent="0.45">
      <c r="A2458" s="58">
        <v>2020</v>
      </c>
      <c r="B2458" s="5" t="s">
        <v>52</v>
      </c>
      <c r="C2458" s="5" t="s">
        <v>17</v>
      </c>
      <c r="D2458" s="6">
        <v>4428</v>
      </c>
      <c r="E2458" s="61">
        <v>81881</v>
      </c>
      <c r="F2458" s="63" t="s">
        <v>82</v>
      </c>
    </row>
    <row r="2459" spans="1:6" x14ac:dyDescent="0.45">
      <c r="A2459" s="57">
        <v>2020</v>
      </c>
      <c r="B2459" s="3" t="s">
        <v>52</v>
      </c>
      <c r="C2459" s="3" t="s">
        <v>18</v>
      </c>
      <c r="D2459" s="4">
        <v>1856</v>
      </c>
      <c r="E2459" s="60">
        <v>61894</v>
      </c>
      <c r="F2459" s="63" t="s">
        <v>82</v>
      </c>
    </row>
    <row r="2460" spans="1:6" x14ac:dyDescent="0.45">
      <c r="A2460" s="58">
        <v>2020</v>
      </c>
      <c r="B2460" s="5" t="s">
        <v>52</v>
      </c>
      <c r="C2460" s="5" t="s">
        <v>19</v>
      </c>
      <c r="D2460" s="6">
        <v>4035</v>
      </c>
      <c r="E2460" s="61">
        <v>84350</v>
      </c>
      <c r="F2460" s="63" t="s">
        <v>82</v>
      </c>
    </row>
    <row r="2461" spans="1:6" x14ac:dyDescent="0.45">
      <c r="A2461" s="57">
        <v>2020</v>
      </c>
      <c r="B2461" s="3" t="s">
        <v>52</v>
      </c>
      <c r="C2461" s="3" t="s">
        <v>20</v>
      </c>
      <c r="D2461" s="4">
        <v>6711</v>
      </c>
      <c r="E2461" s="60">
        <v>94576</v>
      </c>
      <c r="F2461" s="63" t="s">
        <v>82</v>
      </c>
    </row>
    <row r="2462" spans="1:6" x14ac:dyDescent="0.45">
      <c r="A2462" s="58">
        <v>2020</v>
      </c>
      <c r="B2462" s="5" t="s">
        <v>52</v>
      </c>
      <c r="C2462" s="5" t="s">
        <v>21</v>
      </c>
      <c r="D2462" s="6">
        <v>16070</v>
      </c>
      <c r="E2462" s="61">
        <v>73537</v>
      </c>
      <c r="F2462" s="63" t="s">
        <v>81</v>
      </c>
    </row>
    <row r="2463" spans="1:6" x14ac:dyDescent="0.45">
      <c r="A2463" s="57">
        <v>2020</v>
      </c>
      <c r="B2463" s="3" t="s">
        <v>52</v>
      </c>
      <c r="C2463" s="3" t="s">
        <v>22</v>
      </c>
      <c r="D2463" s="4">
        <v>8487</v>
      </c>
      <c r="E2463" s="60">
        <v>73096</v>
      </c>
      <c r="F2463" s="63" t="s">
        <v>81</v>
      </c>
    </row>
    <row r="2464" spans="1:6" x14ac:dyDescent="0.45">
      <c r="A2464" s="58">
        <v>2020</v>
      </c>
      <c r="B2464" s="5" t="s">
        <v>52</v>
      </c>
      <c r="C2464" s="5" t="s">
        <v>23</v>
      </c>
      <c r="D2464" s="6">
        <v>2421</v>
      </c>
      <c r="E2464" s="61">
        <v>55254</v>
      </c>
      <c r="F2464" s="63" t="s">
        <v>82</v>
      </c>
    </row>
    <row r="2465" spans="1:6" x14ac:dyDescent="0.45">
      <c r="A2465" s="57">
        <v>2020</v>
      </c>
      <c r="B2465" s="3" t="s">
        <v>52</v>
      </c>
      <c r="C2465" s="3" t="s">
        <v>24</v>
      </c>
      <c r="D2465" s="4">
        <v>6476</v>
      </c>
      <c r="E2465" s="60">
        <v>64359</v>
      </c>
      <c r="F2465" s="63" t="s">
        <v>81</v>
      </c>
    </row>
    <row r="2466" spans="1:6" x14ac:dyDescent="0.45">
      <c r="A2466" s="58">
        <v>2020</v>
      </c>
      <c r="B2466" s="5" t="s">
        <v>52</v>
      </c>
      <c r="C2466" s="5" t="s">
        <v>25</v>
      </c>
      <c r="D2466" s="6">
        <v>1634</v>
      </c>
      <c r="E2466" s="61">
        <v>56194</v>
      </c>
      <c r="F2466" s="63" t="s">
        <v>81</v>
      </c>
    </row>
    <row r="2467" spans="1:6" x14ac:dyDescent="0.45">
      <c r="A2467" s="57">
        <v>2020</v>
      </c>
      <c r="B2467" s="3" t="s">
        <v>52</v>
      </c>
      <c r="C2467" s="3" t="s">
        <v>26</v>
      </c>
      <c r="D2467" s="4">
        <v>1988</v>
      </c>
      <c r="E2467" s="60">
        <v>57566</v>
      </c>
      <c r="F2467" s="63" t="s">
        <v>82</v>
      </c>
    </row>
    <row r="2468" spans="1:6" x14ac:dyDescent="0.45">
      <c r="A2468" s="58">
        <v>2020</v>
      </c>
      <c r="B2468" s="5" t="s">
        <v>52</v>
      </c>
      <c r="C2468" s="5" t="s">
        <v>27</v>
      </c>
      <c r="D2468" s="6">
        <v>2066</v>
      </c>
      <c r="E2468" s="61">
        <v>64543</v>
      </c>
      <c r="F2468" s="63" t="s">
        <v>82</v>
      </c>
    </row>
    <row r="2469" spans="1:6" x14ac:dyDescent="0.45">
      <c r="A2469" s="57">
        <v>2020</v>
      </c>
      <c r="B2469" s="3" t="s">
        <v>52</v>
      </c>
      <c r="C2469" s="3" t="s">
        <v>28</v>
      </c>
      <c r="D2469" s="4">
        <v>2032</v>
      </c>
      <c r="E2469" s="60">
        <v>77722</v>
      </c>
      <c r="F2469" s="63" t="s">
        <v>81</v>
      </c>
    </row>
    <row r="2470" spans="1:6" x14ac:dyDescent="0.45">
      <c r="A2470" s="58">
        <v>2020</v>
      </c>
      <c r="B2470" s="5" t="s">
        <v>52</v>
      </c>
      <c r="C2470" s="5" t="s">
        <v>29</v>
      </c>
      <c r="D2470" s="6">
        <v>8976</v>
      </c>
      <c r="E2470" s="61">
        <v>86088</v>
      </c>
      <c r="F2470" s="63" t="s">
        <v>81</v>
      </c>
    </row>
    <row r="2471" spans="1:6" x14ac:dyDescent="0.45">
      <c r="A2471" s="57">
        <v>2020</v>
      </c>
      <c r="B2471" s="3" t="s">
        <v>52</v>
      </c>
      <c r="C2471" s="3" t="s">
        <v>30</v>
      </c>
      <c r="D2471" s="4">
        <v>1768</v>
      </c>
      <c r="E2471" s="60">
        <v>59139</v>
      </c>
      <c r="F2471" s="63" t="s">
        <v>82</v>
      </c>
    </row>
    <row r="2472" spans="1:6" x14ac:dyDescent="0.45">
      <c r="A2472" s="58">
        <v>2020</v>
      </c>
      <c r="B2472" s="5" t="s">
        <v>52</v>
      </c>
      <c r="C2472" s="5" t="s">
        <v>31</v>
      </c>
      <c r="D2472" s="6">
        <v>16910</v>
      </c>
      <c r="E2472" s="61">
        <v>73614</v>
      </c>
      <c r="F2472" s="63" t="s">
        <v>81</v>
      </c>
    </row>
    <row r="2473" spans="1:6" x14ac:dyDescent="0.45">
      <c r="A2473" s="57">
        <v>2020</v>
      </c>
      <c r="B2473" s="3" t="s">
        <v>52</v>
      </c>
      <c r="C2473" s="3" t="s">
        <v>32</v>
      </c>
      <c r="D2473" s="4">
        <v>10219</v>
      </c>
      <c r="E2473" s="60">
        <v>65827</v>
      </c>
      <c r="F2473" s="63" t="s">
        <v>82</v>
      </c>
    </row>
    <row r="2474" spans="1:6" x14ac:dyDescent="0.45">
      <c r="A2474" s="58">
        <v>2020</v>
      </c>
      <c r="B2474" s="5" t="s">
        <v>52</v>
      </c>
      <c r="C2474" s="5" t="s">
        <v>33</v>
      </c>
      <c r="D2474" s="5">
        <v>807</v>
      </c>
      <c r="E2474" s="61">
        <v>59882</v>
      </c>
      <c r="F2474" s="63" t="s">
        <v>81</v>
      </c>
    </row>
    <row r="2475" spans="1:6" x14ac:dyDescent="0.45">
      <c r="A2475" s="57">
        <v>2020</v>
      </c>
      <c r="B2475" s="3" t="s">
        <v>52</v>
      </c>
      <c r="C2475" s="3" t="s">
        <v>34</v>
      </c>
      <c r="D2475" s="4">
        <v>15409</v>
      </c>
      <c r="E2475" s="60">
        <v>67487</v>
      </c>
      <c r="F2475" s="63" t="s">
        <v>81</v>
      </c>
    </row>
    <row r="2476" spans="1:6" x14ac:dyDescent="0.45">
      <c r="A2476" s="58">
        <v>2020</v>
      </c>
      <c r="B2476" s="5" t="s">
        <v>52</v>
      </c>
      <c r="C2476" s="5" t="s">
        <v>35</v>
      </c>
      <c r="D2476" s="6">
        <v>4164</v>
      </c>
      <c r="E2476" s="61">
        <v>64770</v>
      </c>
      <c r="F2476" s="63" t="s">
        <v>82</v>
      </c>
    </row>
    <row r="2477" spans="1:6" x14ac:dyDescent="0.45">
      <c r="A2477" s="57">
        <v>2020</v>
      </c>
      <c r="B2477" s="3" t="s">
        <v>52</v>
      </c>
      <c r="C2477" s="3" t="s">
        <v>36</v>
      </c>
      <c r="D2477" s="4">
        <v>6240</v>
      </c>
      <c r="E2477" s="60">
        <v>76641</v>
      </c>
      <c r="F2477" s="63" t="s">
        <v>82</v>
      </c>
    </row>
    <row r="2478" spans="1:6" x14ac:dyDescent="0.45">
      <c r="A2478" s="58">
        <v>2020</v>
      </c>
      <c r="B2478" s="5" t="s">
        <v>52</v>
      </c>
      <c r="C2478" s="5" t="s">
        <v>37</v>
      </c>
      <c r="D2478" s="6">
        <v>14407</v>
      </c>
      <c r="E2478" s="61">
        <v>68561</v>
      </c>
      <c r="F2478" s="63" t="s">
        <v>81</v>
      </c>
    </row>
    <row r="2479" spans="1:6" x14ac:dyDescent="0.45">
      <c r="A2479" s="57">
        <v>2020</v>
      </c>
      <c r="B2479" s="3" t="s">
        <v>52</v>
      </c>
      <c r="C2479" s="3" t="s">
        <v>38</v>
      </c>
      <c r="D2479" s="4">
        <v>1572</v>
      </c>
      <c r="E2479" s="60">
        <v>64468</v>
      </c>
      <c r="F2479" s="63" t="s">
        <v>81</v>
      </c>
    </row>
    <row r="2480" spans="1:6" x14ac:dyDescent="0.45">
      <c r="A2480" s="58">
        <v>2020</v>
      </c>
      <c r="B2480" s="5" t="s">
        <v>52</v>
      </c>
      <c r="C2480" s="5" t="s">
        <v>39</v>
      </c>
      <c r="D2480" s="6">
        <v>6087</v>
      </c>
      <c r="E2480" s="61">
        <v>65522</v>
      </c>
      <c r="F2480" s="63" t="s">
        <v>82</v>
      </c>
    </row>
    <row r="2481" spans="1:6" x14ac:dyDescent="0.45">
      <c r="A2481" s="57">
        <v>2020</v>
      </c>
      <c r="B2481" s="3" t="s">
        <v>52</v>
      </c>
      <c r="C2481" s="3" t="s">
        <v>40</v>
      </c>
      <c r="D2481" s="4">
        <v>1084</v>
      </c>
      <c r="E2481" s="60">
        <v>55320</v>
      </c>
      <c r="F2481" s="63" t="s">
        <v>82</v>
      </c>
    </row>
    <row r="2482" spans="1:6" x14ac:dyDescent="0.45">
      <c r="A2482" s="58">
        <v>2020</v>
      </c>
      <c r="B2482" s="5" t="s">
        <v>52</v>
      </c>
      <c r="C2482" s="5" t="s">
        <v>41</v>
      </c>
      <c r="D2482" s="6">
        <v>7051</v>
      </c>
      <c r="E2482" s="61">
        <v>65495</v>
      </c>
      <c r="F2482" s="63" t="s">
        <v>82</v>
      </c>
    </row>
    <row r="2483" spans="1:6" x14ac:dyDescent="0.45">
      <c r="A2483" s="57">
        <v>2020</v>
      </c>
      <c r="B2483" s="3" t="s">
        <v>52</v>
      </c>
      <c r="C2483" s="3" t="s">
        <v>42</v>
      </c>
      <c r="D2483" s="4">
        <v>24758</v>
      </c>
      <c r="E2483" s="60">
        <v>83648</v>
      </c>
      <c r="F2483" s="63" t="s">
        <v>82</v>
      </c>
    </row>
    <row r="2484" spans="1:6" x14ac:dyDescent="0.45">
      <c r="A2484" s="58">
        <v>2020</v>
      </c>
      <c r="B2484" s="5" t="s">
        <v>52</v>
      </c>
      <c r="C2484" s="5" t="s">
        <v>43</v>
      </c>
      <c r="D2484" s="6">
        <v>4386</v>
      </c>
      <c r="E2484" s="61">
        <v>64006</v>
      </c>
      <c r="F2484" s="63" t="s">
        <v>82</v>
      </c>
    </row>
    <row r="2485" spans="1:6" x14ac:dyDescent="0.45">
      <c r="A2485" s="57">
        <v>2020</v>
      </c>
      <c r="B2485" s="3" t="s">
        <v>52</v>
      </c>
      <c r="C2485" s="3" t="s">
        <v>44</v>
      </c>
      <c r="D2485" s="4">
        <v>1108</v>
      </c>
      <c r="E2485" s="60">
        <v>65390</v>
      </c>
      <c r="F2485" s="63" t="s">
        <v>81</v>
      </c>
    </row>
    <row r="2486" spans="1:6" x14ac:dyDescent="0.45">
      <c r="A2486" s="58">
        <v>2020</v>
      </c>
      <c r="B2486" s="5" t="s">
        <v>52</v>
      </c>
      <c r="C2486" s="5" t="s">
        <v>45</v>
      </c>
      <c r="D2486" s="6">
        <v>6750</v>
      </c>
      <c r="E2486" s="61">
        <v>65974</v>
      </c>
      <c r="F2486" s="63" t="s">
        <v>81</v>
      </c>
    </row>
    <row r="2487" spans="1:6" x14ac:dyDescent="0.45">
      <c r="A2487" s="57">
        <v>2020</v>
      </c>
      <c r="B2487" s="3" t="s">
        <v>52</v>
      </c>
      <c r="C2487" s="3" t="s">
        <v>46</v>
      </c>
      <c r="D2487" s="4">
        <v>7798</v>
      </c>
      <c r="E2487" s="60">
        <v>85321</v>
      </c>
      <c r="F2487" s="63" t="s">
        <v>82</v>
      </c>
    </row>
    <row r="2488" spans="1:6" x14ac:dyDescent="0.45">
      <c r="A2488" s="58">
        <v>2020</v>
      </c>
      <c r="B2488" s="5" t="s">
        <v>52</v>
      </c>
      <c r="C2488" s="5" t="s">
        <v>47</v>
      </c>
      <c r="D2488" s="6">
        <v>1268</v>
      </c>
      <c r="E2488" s="61">
        <v>66459</v>
      </c>
      <c r="F2488" s="63" t="s">
        <v>81</v>
      </c>
    </row>
    <row r="2489" spans="1:6" x14ac:dyDescent="0.45">
      <c r="A2489" s="57">
        <v>2020</v>
      </c>
      <c r="B2489" s="3" t="s">
        <v>52</v>
      </c>
      <c r="C2489" s="3" t="s">
        <v>48</v>
      </c>
      <c r="D2489" s="4">
        <v>9432</v>
      </c>
      <c r="E2489" s="60">
        <v>64047</v>
      </c>
      <c r="F2489" s="63" t="s">
        <v>81</v>
      </c>
    </row>
    <row r="2490" spans="1:6" x14ac:dyDescent="0.45">
      <c r="A2490" s="58">
        <v>2020</v>
      </c>
      <c r="B2490" s="5" t="s">
        <v>52</v>
      </c>
      <c r="C2490" s="5" t="s">
        <v>49</v>
      </c>
      <c r="D2490" s="5">
        <v>600</v>
      </c>
      <c r="E2490" s="61">
        <v>73060</v>
      </c>
      <c r="F2490" s="63" t="s">
        <v>82</v>
      </c>
    </row>
    <row r="2491" spans="1:6" x14ac:dyDescent="0.45">
      <c r="A2491" s="57">
        <v>2020</v>
      </c>
      <c r="B2491" s="3" t="s">
        <v>53</v>
      </c>
      <c r="C2491" s="3" t="s">
        <v>2</v>
      </c>
      <c r="D2491" s="4">
        <v>32481</v>
      </c>
      <c r="E2491" s="60">
        <v>47970</v>
      </c>
      <c r="F2491" s="63" t="s">
        <v>82</v>
      </c>
    </row>
    <row r="2492" spans="1:6" x14ac:dyDescent="0.45">
      <c r="A2492" s="58">
        <v>2020</v>
      </c>
      <c r="B2492" s="5" t="s">
        <v>53</v>
      </c>
      <c r="C2492" s="5" t="s">
        <v>3</v>
      </c>
      <c r="D2492" s="6">
        <v>31775</v>
      </c>
      <c r="E2492" s="61">
        <v>52734</v>
      </c>
      <c r="F2492" s="63" t="s">
        <v>81</v>
      </c>
    </row>
    <row r="2493" spans="1:6" x14ac:dyDescent="0.45">
      <c r="A2493" s="57">
        <v>2020</v>
      </c>
      <c r="B2493" s="3" t="s">
        <v>53</v>
      </c>
      <c r="C2493" s="3" t="s">
        <v>4</v>
      </c>
      <c r="D2493" s="4">
        <v>21642</v>
      </c>
      <c r="E2493" s="60">
        <v>47450</v>
      </c>
      <c r="F2493" s="63" t="s">
        <v>81</v>
      </c>
    </row>
    <row r="2494" spans="1:6" x14ac:dyDescent="0.45">
      <c r="A2494" s="58">
        <v>2020</v>
      </c>
      <c r="B2494" s="5" t="s">
        <v>53</v>
      </c>
      <c r="C2494" s="5" t="s">
        <v>5</v>
      </c>
      <c r="D2494" s="6">
        <v>196511</v>
      </c>
      <c r="E2494" s="61">
        <v>58020</v>
      </c>
      <c r="F2494" s="63" t="s">
        <v>82</v>
      </c>
    </row>
    <row r="2495" spans="1:6" x14ac:dyDescent="0.45">
      <c r="A2495" s="57">
        <v>2020</v>
      </c>
      <c r="B2495" s="3" t="s">
        <v>53</v>
      </c>
      <c r="C2495" s="3" t="s">
        <v>6</v>
      </c>
      <c r="D2495" s="4">
        <v>35891</v>
      </c>
      <c r="E2495" s="60">
        <v>56043</v>
      </c>
      <c r="F2495" s="63" t="s">
        <v>81</v>
      </c>
    </row>
    <row r="2496" spans="1:6" x14ac:dyDescent="0.45">
      <c r="A2496" s="58">
        <v>2020</v>
      </c>
      <c r="B2496" s="5" t="s">
        <v>53</v>
      </c>
      <c r="C2496" s="5" t="s">
        <v>7</v>
      </c>
      <c r="D2496" s="6">
        <v>24902</v>
      </c>
      <c r="E2496" s="61">
        <v>57041</v>
      </c>
      <c r="F2496" s="63" t="s">
        <v>82</v>
      </c>
    </row>
    <row r="2497" spans="1:6" x14ac:dyDescent="0.45">
      <c r="A2497" s="57">
        <v>2020</v>
      </c>
      <c r="B2497" s="3" t="s">
        <v>53</v>
      </c>
      <c r="C2497" s="3" t="s">
        <v>8</v>
      </c>
      <c r="D2497" s="4">
        <v>6850</v>
      </c>
      <c r="E2497" s="60">
        <v>46843</v>
      </c>
      <c r="F2497" s="63" t="s">
        <v>81</v>
      </c>
    </row>
    <row r="2498" spans="1:6" x14ac:dyDescent="0.45">
      <c r="A2498" s="58">
        <v>2020</v>
      </c>
      <c r="B2498" s="5" t="s">
        <v>53</v>
      </c>
      <c r="C2498" s="5" t="s">
        <v>9</v>
      </c>
      <c r="D2498" s="6">
        <v>139486</v>
      </c>
      <c r="E2498" s="61">
        <v>50766</v>
      </c>
      <c r="F2498" s="63" t="s">
        <v>81</v>
      </c>
    </row>
    <row r="2499" spans="1:6" x14ac:dyDescent="0.45">
      <c r="A2499" s="57">
        <v>2020</v>
      </c>
      <c r="B2499" s="3" t="s">
        <v>53</v>
      </c>
      <c r="C2499" s="3" t="s">
        <v>10</v>
      </c>
      <c r="D2499" s="4">
        <v>60996</v>
      </c>
      <c r="E2499" s="60">
        <v>55352</v>
      </c>
      <c r="F2499" s="63" t="s">
        <v>82</v>
      </c>
    </row>
    <row r="2500" spans="1:6" x14ac:dyDescent="0.45">
      <c r="A2500" s="58">
        <v>2020</v>
      </c>
      <c r="B2500" s="5" t="s">
        <v>53</v>
      </c>
      <c r="C2500" s="5" t="s">
        <v>11</v>
      </c>
      <c r="D2500" s="6">
        <v>11969</v>
      </c>
      <c r="E2500" s="61">
        <v>45972</v>
      </c>
      <c r="F2500" s="63" t="s">
        <v>82</v>
      </c>
    </row>
    <row r="2501" spans="1:6" x14ac:dyDescent="0.45">
      <c r="A2501" s="57">
        <v>2020</v>
      </c>
      <c r="B2501" s="3" t="s">
        <v>53</v>
      </c>
      <c r="C2501" s="3" t="s">
        <v>12</v>
      </c>
      <c r="D2501" s="4">
        <v>78063</v>
      </c>
      <c r="E2501" s="60">
        <v>57570</v>
      </c>
      <c r="F2501" s="63" t="s">
        <v>81</v>
      </c>
    </row>
    <row r="2502" spans="1:6" x14ac:dyDescent="0.45">
      <c r="A2502" s="58">
        <v>2020</v>
      </c>
      <c r="B2502" s="5" t="s">
        <v>53</v>
      </c>
      <c r="C2502" s="5" t="s">
        <v>13</v>
      </c>
      <c r="D2502" s="6">
        <v>40681</v>
      </c>
      <c r="E2502" s="61">
        <v>48092</v>
      </c>
      <c r="F2502" s="63" t="s">
        <v>81</v>
      </c>
    </row>
    <row r="2503" spans="1:6" x14ac:dyDescent="0.45">
      <c r="A2503" s="57">
        <v>2020</v>
      </c>
      <c r="B2503" s="3" t="s">
        <v>53</v>
      </c>
      <c r="C2503" s="3" t="s">
        <v>14</v>
      </c>
      <c r="D2503" s="4">
        <v>23521</v>
      </c>
      <c r="E2503" s="60">
        <v>46539</v>
      </c>
      <c r="F2503" s="63" t="s">
        <v>82</v>
      </c>
    </row>
    <row r="2504" spans="1:6" x14ac:dyDescent="0.45">
      <c r="A2504" s="58">
        <v>2020</v>
      </c>
      <c r="B2504" s="5" t="s">
        <v>53</v>
      </c>
      <c r="C2504" s="5" t="s">
        <v>15</v>
      </c>
      <c r="D2504" s="6">
        <v>20370</v>
      </c>
      <c r="E2504" s="61">
        <v>48235</v>
      </c>
      <c r="F2504" s="63" t="s">
        <v>82</v>
      </c>
    </row>
    <row r="2505" spans="1:6" x14ac:dyDescent="0.45">
      <c r="A2505" s="57">
        <v>2020</v>
      </c>
      <c r="B2505" s="3" t="s">
        <v>53</v>
      </c>
      <c r="C2505" s="3" t="s">
        <v>16</v>
      </c>
      <c r="D2505" s="4">
        <v>28056</v>
      </c>
      <c r="E2505" s="60">
        <v>48623</v>
      </c>
      <c r="F2505" s="63" t="s">
        <v>82</v>
      </c>
    </row>
    <row r="2506" spans="1:6" x14ac:dyDescent="0.45">
      <c r="A2506" s="58">
        <v>2020</v>
      </c>
      <c r="B2506" s="5" t="s">
        <v>53</v>
      </c>
      <c r="C2506" s="5" t="s">
        <v>17</v>
      </c>
      <c r="D2506" s="6">
        <v>30545</v>
      </c>
      <c r="E2506" s="61">
        <v>48196</v>
      </c>
      <c r="F2506" s="63" t="s">
        <v>82</v>
      </c>
    </row>
    <row r="2507" spans="1:6" x14ac:dyDescent="0.45">
      <c r="A2507" s="57">
        <v>2020</v>
      </c>
      <c r="B2507" s="3" t="s">
        <v>53</v>
      </c>
      <c r="C2507" s="3" t="s">
        <v>18</v>
      </c>
      <c r="D2507" s="4">
        <v>10761</v>
      </c>
      <c r="E2507" s="60">
        <v>43589</v>
      </c>
      <c r="F2507" s="63" t="s">
        <v>82</v>
      </c>
    </row>
    <row r="2508" spans="1:6" x14ac:dyDescent="0.45">
      <c r="A2508" s="58">
        <v>2020</v>
      </c>
      <c r="B2508" s="5" t="s">
        <v>53</v>
      </c>
      <c r="C2508" s="5" t="s">
        <v>19</v>
      </c>
      <c r="D2508" s="6">
        <v>32767</v>
      </c>
      <c r="E2508" s="61">
        <v>52648</v>
      </c>
      <c r="F2508" s="63" t="s">
        <v>81</v>
      </c>
    </row>
    <row r="2509" spans="1:6" x14ac:dyDescent="0.45">
      <c r="A2509" s="57">
        <v>2020</v>
      </c>
      <c r="B2509" s="3" t="s">
        <v>53</v>
      </c>
      <c r="C2509" s="3" t="s">
        <v>20</v>
      </c>
      <c r="D2509" s="4">
        <v>42171</v>
      </c>
      <c r="E2509" s="60">
        <v>58937</v>
      </c>
      <c r="F2509" s="63" t="s">
        <v>81</v>
      </c>
    </row>
    <row r="2510" spans="1:6" x14ac:dyDescent="0.45">
      <c r="A2510" s="58">
        <v>2020</v>
      </c>
      <c r="B2510" s="5" t="s">
        <v>53</v>
      </c>
      <c r="C2510" s="5" t="s">
        <v>21</v>
      </c>
      <c r="D2510" s="6">
        <v>52459</v>
      </c>
      <c r="E2510" s="61">
        <v>53200</v>
      </c>
      <c r="F2510" s="63" t="s">
        <v>82</v>
      </c>
    </row>
    <row r="2511" spans="1:6" x14ac:dyDescent="0.45">
      <c r="A2511" s="57">
        <v>2020</v>
      </c>
      <c r="B2511" s="3" t="s">
        <v>53</v>
      </c>
      <c r="C2511" s="3" t="s">
        <v>22</v>
      </c>
      <c r="D2511" s="4">
        <v>37272</v>
      </c>
      <c r="E2511" s="60">
        <v>55570</v>
      </c>
      <c r="F2511" s="63" t="s">
        <v>81</v>
      </c>
    </row>
    <row r="2512" spans="1:6" x14ac:dyDescent="0.45">
      <c r="A2512" s="58">
        <v>2020</v>
      </c>
      <c r="B2512" s="5" t="s">
        <v>53</v>
      </c>
      <c r="C2512" s="5" t="s">
        <v>23</v>
      </c>
      <c r="D2512" s="6">
        <v>19763</v>
      </c>
      <c r="E2512" s="61">
        <v>42497</v>
      </c>
      <c r="F2512" s="63" t="s">
        <v>81</v>
      </c>
    </row>
    <row r="2513" spans="1:6" x14ac:dyDescent="0.45">
      <c r="A2513" s="57">
        <v>2020</v>
      </c>
      <c r="B2513" s="3" t="s">
        <v>53</v>
      </c>
      <c r="C2513" s="3" t="s">
        <v>24</v>
      </c>
      <c r="D2513" s="4">
        <v>38808</v>
      </c>
      <c r="E2513" s="60">
        <v>48469</v>
      </c>
      <c r="F2513" s="63" t="s">
        <v>82</v>
      </c>
    </row>
    <row r="2514" spans="1:6" x14ac:dyDescent="0.45">
      <c r="A2514" s="58">
        <v>2020</v>
      </c>
      <c r="B2514" s="5" t="s">
        <v>53</v>
      </c>
      <c r="C2514" s="5" t="s">
        <v>25</v>
      </c>
      <c r="D2514" s="6">
        <v>9250</v>
      </c>
      <c r="E2514" s="61">
        <v>45170</v>
      </c>
      <c r="F2514" s="63" t="s">
        <v>82</v>
      </c>
    </row>
    <row r="2515" spans="1:6" x14ac:dyDescent="0.45">
      <c r="A2515" s="57">
        <v>2020</v>
      </c>
      <c r="B2515" s="3" t="s">
        <v>53</v>
      </c>
      <c r="C2515" s="3" t="s">
        <v>26</v>
      </c>
      <c r="D2515" s="4">
        <v>14923</v>
      </c>
      <c r="E2515" s="60">
        <v>45891</v>
      </c>
      <c r="F2515" s="63" t="s">
        <v>81</v>
      </c>
    </row>
    <row r="2516" spans="1:6" x14ac:dyDescent="0.45">
      <c r="A2516" s="58">
        <v>2020</v>
      </c>
      <c r="B2516" s="5" t="s">
        <v>53</v>
      </c>
      <c r="C2516" s="5" t="s">
        <v>27</v>
      </c>
      <c r="D2516" s="6">
        <v>15829</v>
      </c>
      <c r="E2516" s="61">
        <v>50190</v>
      </c>
      <c r="F2516" s="63" t="s">
        <v>81</v>
      </c>
    </row>
    <row r="2517" spans="1:6" x14ac:dyDescent="0.45">
      <c r="A2517" s="57">
        <v>2020</v>
      </c>
      <c r="B2517" s="3" t="s">
        <v>53</v>
      </c>
      <c r="C2517" s="3" t="s">
        <v>28</v>
      </c>
      <c r="D2517" s="4">
        <v>12509</v>
      </c>
      <c r="E2517" s="60">
        <v>53777</v>
      </c>
      <c r="F2517" s="63" t="s">
        <v>82</v>
      </c>
    </row>
    <row r="2518" spans="1:6" x14ac:dyDescent="0.45">
      <c r="A2518" s="58">
        <v>2020</v>
      </c>
      <c r="B2518" s="5" t="s">
        <v>53</v>
      </c>
      <c r="C2518" s="5" t="s">
        <v>29</v>
      </c>
      <c r="D2518" s="6">
        <v>54238</v>
      </c>
      <c r="E2518" s="61">
        <v>59723</v>
      </c>
      <c r="F2518" s="63" t="s">
        <v>81</v>
      </c>
    </row>
    <row r="2519" spans="1:6" x14ac:dyDescent="0.45">
      <c r="A2519" s="57">
        <v>2020</v>
      </c>
      <c r="B2519" s="3" t="s">
        <v>53</v>
      </c>
      <c r="C2519" s="3" t="s">
        <v>30</v>
      </c>
      <c r="D2519" s="4">
        <v>10758</v>
      </c>
      <c r="E2519" s="60">
        <v>44078</v>
      </c>
      <c r="F2519" s="63" t="s">
        <v>82</v>
      </c>
    </row>
    <row r="2520" spans="1:6" x14ac:dyDescent="0.45">
      <c r="A2520" s="58">
        <v>2020</v>
      </c>
      <c r="B2520" s="5" t="s">
        <v>53</v>
      </c>
      <c r="C2520" s="5" t="s">
        <v>31</v>
      </c>
      <c r="D2520" s="6">
        <v>123741</v>
      </c>
      <c r="E2520" s="61">
        <v>57832</v>
      </c>
      <c r="F2520" s="63" t="s">
        <v>81</v>
      </c>
    </row>
    <row r="2521" spans="1:6" x14ac:dyDescent="0.45">
      <c r="A2521" s="57">
        <v>2020</v>
      </c>
      <c r="B2521" s="3" t="s">
        <v>53</v>
      </c>
      <c r="C2521" s="3" t="s">
        <v>32</v>
      </c>
      <c r="D2521" s="4">
        <v>61525</v>
      </c>
      <c r="E2521" s="60">
        <v>49092</v>
      </c>
      <c r="F2521" s="63" t="s">
        <v>81</v>
      </c>
    </row>
    <row r="2522" spans="1:6" x14ac:dyDescent="0.45">
      <c r="A2522" s="58">
        <v>2020</v>
      </c>
      <c r="B2522" s="5" t="s">
        <v>53</v>
      </c>
      <c r="C2522" s="5" t="s">
        <v>33</v>
      </c>
      <c r="D2522" s="6">
        <v>7753</v>
      </c>
      <c r="E2522" s="61">
        <v>55819</v>
      </c>
      <c r="F2522" s="63" t="s">
        <v>82</v>
      </c>
    </row>
    <row r="2523" spans="1:6" x14ac:dyDescent="0.45">
      <c r="A2523" s="57">
        <v>2020</v>
      </c>
      <c r="B2523" s="3" t="s">
        <v>53</v>
      </c>
      <c r="C2523" s="3" t="s">
        <v>34</v>
      </c>
      <c r="D2523" s="4">
        <v>68615</v>
      </c>
      <c r="E2523" s="60">
        <v>50247</v>
      </c>
      <c r="F2523" s="63" t="s">
        <v>82</v>
      </c>
    </row>
    <row r="2524" spans="1:6" x14ac:dyDescent="0.45">
      <c r="A2524" s="58">
        <v>2020</v>
      </c>
      <c r="B2524" s="5" t="s">
        <v>53</v>
      </c>
      <c r="C2524" s="5" t="s">
        <v>35</v>
      </c>
      <c r="D2524" s="6">
        <v>23748</v>
      </c>
      <c r="E2524" s="61">
        <v>47554</v>
      </c>
      <c r="F2524" s="63" t="s">
        <v>81</v>
      </c>
    </row>
    <row r="2525" spans="1:6" x14ac:dyDescent="0.45">
      <c r="A2525" s="57">
        <v>2020</v>
      </c>
      <c r="B2525" s="3" t="s">
        <v>53</v>
      </c>
      <c r="C2525" s="3" t="s">
        <v>36</v>
      </c>
      <c r="D2525" s="4">
        <v>26503</v>
      </c>
      <c r="E2525" s="60">
        <v>50347</v>
      </c>
      <c r="F2525" s="63" t="s">
        <v>81</v>
      </c>
    </row>
    <row r="2526" spans="1:6" x14ac:dyDescent="0.45">
      <c r="A2526" s="58">
        <v>2020</v>
      </c>
      <c r="B2526" s="5" t="s">
        <v>53</v>
      </c>
      <c r="C2526" s="5" t="s">
        <v>37</v>
      </c>
      <c r="D2526" s="6">
        <v>74845</v>
      </c>
      <c r="E2526" s="61">
        <v>51000</v>
      </c>
      <c r="F2526" s="63" t="s">
        <v>82</v>
      </c>
    </row>
    <row r="2527" spans="1:6" x14ac:dyDescent="0.45">
      <c r="A2527" s="57">
        <v>2020</v>
      </c>
      <c r="B2527" s="3" t="s">
        <v>53</v>
      </c>
      <c r="C2527" s="3" t="s">
        <v>38</v>
      </c>
      <c r="D2527" s="4">
        <v>7658</v>
      </c>
      <c r="E2527" s="60">
        <v>49902</v>
      </c>
      <c r="F2527" s="63" t="s">
        <v>82</v>
      </c>
    </row>
    <row r="2528" spans="1:6" x14ac:dyDescent="0.45">
      <c r="A2528" s="58">
        <v>2020</v>
      </c>
      <c r="B2528" s="5" t="s">
        <v>53</v>
      </c>
      <c r="C2528" s="5" t="s">
        <v>39</v>
      </c>
      <c r="D2528" s="6">
        <v>30013</v>
      </c>
      <c r="E2528" s="61">
        <v>45429</v>
      </c>
      <c r="F2528" s="63" t="s">
        <v>82</v>
      </c>
    </row>
    <row r="2529" spans="1:6" x14ac:dyDescent="0.45">
      <c r="A2529" s="57">
        <v>2020</v>
      </c>
      <c r="B2529" s="3" t="s">
        <v>53</v>
      </c>
      <c r="C2529" s="3" t="s">
        <v>40</v>
      </c>
      <c r="D2529" s="4">
        <v>8059</v>
      </c>
      <c r="E2529" s="60">
        <v>45650</v>
      </c>
      <c r="F2529" s="63" t="s">
        <v>82</v>
      </c>
    </row>
    <row r="2530" spans="1:6" x14ac:dyDescent="0.45">
      <c r="A2530" s="58">
        <v>2020</v>
      </c>
      <c r="B2530" s="5" t="s">
        <v>53</v>
      </c>
      <c r="C2530" s="5" t="s">
        <v>41</v>
      </c>
      <c r="D2530" s="6">
        <v>40040</v>
      </c>
      <c r="E2530" s="61">
        <v>52137</v>
      </c>
      <c r="F2530" s="63" t="s">
        <v>82</v>
      </c>
    </row>
    <row r="2531" spans="1:6" x14ac:dyDescent="0.45">
      <c r="A2531" s="57">
        <v>2020</v>
      </c>
      <c r="B2531" s="3" t="s">
        <v>53</v>
      </c>
      <c r="C2531" s="3" t="s">
        <v>42</v>
      </c>
      <c r="D2531" s="4">
        <v>147447</v>
      </c>
      <c r="E2531" s="60">
        <v>58337</v>
      </c>
      <c r="F2531" s="63" t="s">
        <v>81</v>
      </c>
    </row>
    <row r="2532" spans="1:6" x14ac:dyDescent="0.45">
      <c r="A2532" s="58">
        <v>2020</v>
      </c>
      <c r="B2532" s="5" t="s">
        <v>53</v>
      </c>
      <c r="C2532" s="5" t="s">
        <v>43</v>
      </c>
      <c r="D2532" s="6">
        <v>19531</v>
      </c>
      <c r="E2532" s="61">
        <v>50163</v>
      </c>
      <c r="F2532" s="63" t="s">
        <v>81</v>
      </c>
    </row>
    <row r="2533" spans="1:6" x14ac:dyDescent="0.45">
      <c r="A2533" s="57">
        <v>2020</v>
      </c>
      <c r="B2533" s="3" t="s">
        <v>53</v>
      </c>
      <c r="C2533" s="3" t="s">
        <v>44</v>
      </c>
      <c r="D2533" s="4">
        <v>5084</v>
      </c>
      <c r="E2533" s="60">
        <v>46351</v>
      </c>
      <c r="F2533" s="63" t="s">
        <v>82</v>
      </c>
    </row>
    <row r="2534" spans="1:6" x14ac:dyDescent="0.45">
      <c r="A2534" s="58">
        <v>2020</v>
      </c>
      <c r="B2534" s="5" t="s">
        <v>53</v>
      </c>
      <c r="C2534" s="5" t="s">
        <v>45</v>
      </c>
      <c r="D2534" s="6">
        <v>43180</v>
      </c>
      <c r="E2534" s="61">
        <v>49886</v>
      </c>
      <c r="F2534" s="63" t="s">
        <v>81</v>
      </c>
    </row>
    <row r="2535" spans="1:6" x14ac:dyDescent="0.45">
      <c r="A2535" s="57">
        <v>2020</v>
      </c>
      <c r="B2535" s="3" t="s">
        <v>53</v>
      </c>
      <c r="C2535" s="3" t="s">
        <v>46</v>
      </c>
      <c r="D2535" s="4">
        <v>39324</v>
      </c>
      <c r="E2535" s="60">
        <v>69994</v>
      </c>
      <c r="F2535" s="63" t="s">
        <v>81</v>
      </c>
    </row>
    <row r="2536" spans="1:6" x14ac:dyDescent="0.45">
      <c r="A2536" s="58">
        <v>2020</v>
      </c>
      <c r="B2536" s="5" t="s">
        <v>53</v>
      </c>
      <c r="C2536" s="5" t="s">
        <v>47</v>
      </c>
      <c r="D2536" s="6">
        <v>10925</v>
      </c>
      <c r="E2536" s="61">
        <v>44698</v>
      </c>
      <c r="F2536" s="63" t="s">
        <v>82</v>
      </c>
    </row>
    <row r="2537" spans="1:6" x14ac:dyDescent="0.45">
      <c r="A2537" s="57">
        <v>2020</v>
      </c>
      <c r="B2537" s="3" t="s">
        <v>53</v>
      </c>
      <c r="C2537" s="3" t="s">
        <v>48</v>
      </c>
      <c r="D2537" s="4">
        <v>36496</v>
      </c>
      <c r="E2537" s="60">
        <v>47512</v>
      </c>
      <c r="F2537" s="63" t="s">
        <v>82</v>
      </c>
    </row>
    <row r="2538" spans="1:6" x14ac:dyDescent="0.45">
      <c r="A2538" s="58">
        <v>2020</v>
      </c>
      <c r="B2538" s="5" t="s">
        <v>53</v>
      </c>
      <c r="C2538" s="5" t="s">
        <v>49</v>
      </c>
      <c r="D2538" s="6">
        <v>4830</v>
      </c>
      <c r="E2538" s="61">
        <v>48737</v>
      </c>
      <c r="F2538" s="63" t="s">
        <v>81</v>
      </c>
    </row>
    <row r="2539" spans="1:6" x14ac:dyDescent="0.45">
      <c r="A2539" s="57">
        <v>2020</v>
      </c>
      <c r="B2539" s="3" t="s">
        <v>54</v>
      </c>
      <c r="C2539" s="3" t="s">
        <v>2</v>
      </c>
      <c r="D2539" s="4">
        <v>2168</v>
      </c>
      <c r="E2539" s="60">
        <v>66025</v>
      </c>
      <c r="F2539" s="63" t="s">
        <v>81</v>
      </c>
    </row>
    <row r="2540" spans="1:6" x14ac:dyDescent="0.45">
      <c r="A2540" s="58">
        <v>2020</v>
      </c>
      <c r="B2540" s="5" t="s">
        <v>54</v>
      </c>
      <c r="C2540" s="5" t="s">
        <v>3</v>
      </c>
      <c r="D2540" s="6">
        <v>3113</v>
      </c>
      <c r="E2540" s="61">
        <v>81499</v>
      </c>
      <c r="F2540" s="63" t="s">
        <v>82</v>
      </c>
    </row>
    <row r="2541" spans="1:6" x14ac:dyDescent="0.45">
      <c r="A2541" s="57">
        <v>2020</v>
      </c>
      <c r="B2541" s="3" t="s">
        <v>54</v>
      </c>
      <c r="C2541" s="3" t="s">
        <v>4</v>
      </c>
      <c r="D2541" s="4">
        <v>1210</v>
      </c>
      <c r="E2541" s="60">
        <v>59828</v>
      </c>
      <c r="F2541" s="63" t="s">
        <v>81</v>
      </c>
    </row>
    <row r="2542" spans="1:6" x14ac:dyDescent="0.45">
      <c r="A2542" s="58">
        <v>2020</v>
      </c>
      <c r="B2542" s="5" t="s">
        <v>54</v>
      </c>
      <c r="C2542" s="5" t="s">
        <v>5</v>
      </c>
      <c r="D2542" s="6">
        <v>26592</v>
      </c>
      <c r="E2542" s="61">
        <v>194173</v>
      </c>
      <c r="F2542" s="63" t="s">
        <v>82</v>
      </c>
    </row>
    <row r="2543" spans="1:6" x14ac:dyDescent="0.45">
      <c r="A2543" s="57">
        <v>2020</v>
      </c>
      <c r="B2543" s="3" t="s">
        <v>54</v>
      </c>
      <c r="C2543" s="3" t="s">
        <v>6</v>
      </c>
      <c r="D2543" s="4">
        <v>4173</v>
      </c>
      <c r="E2543" s="60">
        <v>106735</v>
      </c>
      <c r="F2543" s="63" t="s">
        <v>81</v>
      </c>
    </row>
    <row r="2544" spans="1:6" x14ac:dyDescent="0.45">
      <c r="A2544" s="58">
        <v>2020</v>
      </c>
      <c r="B2544" s="5" t="s">
        <v>54</v>
      </c>
      <c r="C2544" s="5" t="s">
        <v>7</v>
      </c>
      <c r="D2544" s="6">
        <v>2306</v>
      </c>
      <c r="E2544" s="61">
        <v>116642</v>
      </c>
      <c r="F2544" s="63" t="s">
        <v>81</v>
      </c>
    </row>
    <row r="2545" spans="1:6" x14ac:dyDescent="0.45">
      <c r="A2545" s="57">
        <v>2020</v>
      </c>
      <c r="B2545" s="3" t="s">
        <v>54</v>
      </c>
      <c r="C2545" s="3" t="s">
        <v>8</v>
      </c>
      <c r="D2545" s="3">
        <v>433</v>
      </c>
      <c r="E2545" s="60">
        <v>71782</v>
      </c>
      <c r="F2545" s="63" t="s">
        <v>82</v>
      </c>
    </row>
    <row r="2546" spans="1:6" x14ac:dyDescent="0.45">
      <c r="A2546" s="58">
        <v>2020</v>
      </c>
      <c r="B2546" s="5" t="s">
        <v>54</v>
      </c>
      <c r="C2546" s="5" t="s">
        <v>9</v>
      </c>
      <c r="D2546" s="6">
        <v>11205</v>
      </c>
      <c r="E2546" s="61">
        <v>87168</v>
      </c>
      <c r="F2546" s="63" t="s">
        <v>82</v>
      </c>
    </row>
    <row r="2547" spans="1:6" x14ac:dyDescent="0.45">
      <c r="A2547" s="57">
        <v>2020</v>
      </c>
      <c r="B2547" s="3" t="s">
        <v>54</v>
      </c>
      <c r="C2547" s="3" t="s">
        <v>10</v>
      </c>
      <c r="D2547" s="4">
        <v>5113</v>
      </c>
      <c r="E2547" s="60">
        <v>102613</v>
      </c>
      <c r="F2547" s="63" t="s">
        <v>81</v>
      </c>
    </row>
    <row r="2548" spans="1:6" x14ac:dyDescent="0.45">
      <c r="A2548" s="58">
        <v>2020</v>
      </c>
      <c r="B2548" s="5" t="s">
        <v>54</v>
      </c>
      <c r="C2548" s="5" t="s">
        <v>11</v>
      </c>
      <c r="D2548" s="6">
        <v>1223</v>
      </c>
      <c r="E2548" s="61">
        <v>58761</v>
      </c>
      <c r="F2548" s="63" t="s">
        <v>81</v>
      </c>
    </row>
    <row r="2549" spans="1:6" x14ac:dyDescent="0.45">
      <c r="A2549" s="57">
        <v>2020</v>
      </c>
      <c r="B2549" s="3" t="s">
        <v>54</v>
      </c>
      <c r="C2549" s="3" t="s">
        <v>12</v>
      </c>
      <c r="D2549" s="4">
        <v>6688</v>
      </c>
      <c r="E2549" s="60">
        <v>97164</v>
      </c>
      <c r="F2549" s="63" t="s">
        <v>82</v>
      </c>
    </row>
    <row r="2550" spans="1:6" x14ac:dyDescent="0.45">
      <c r="A2550" s="58">
        <v>2020</v>
      </c>
      <c r="B2550" s="5" t="s">
        <v>54</v>
      </c>
      <c r="C2550" s="5" t="s">
        <v>13</v>
      </c>
      <c r="D2550" s="6">
        <v>2123</v>
      </c>
      <c r="E2550" s="61">
        <v>66371</v>
      </c>
      <c r="F2550" s="63" t="s">
        <v>82</v>
      </c>
    </row>
    <row r="2551" spans="1:6" x14ac:dyDescent="0.45">
      <c r="A2551" s="57">
        <v>2020</v>
      </c>
      <c r="B2551" s="3" t="s">
        <v>54</v>
      </c>
      <c r="C2551" s="3" t="s">
        <v>14</v>
      </c>
      <c r="D2551" s="4">
        <v>1742</v>
      </c>
      <c r="E2551" s="60">
        <v>64519</v>
      </c>
      <c r="F2551" s="63" t="s">
        <v>82</v>
      </c>
    </row>
    <row r="2552" spans="1:6" x14ac:dyDescent="0.45">
      <c r="A2552" s="58">
        <v>2020</v>
      </c>
      <c r="B2552" s="5" t="s">
        <v>54</v>
      </c>
      <c r="C2552" s="5" t="s">
        <v>15</v>
      </c>
      <c r="D2552" s="6">
        <v>1308</v>
      </c>
      <c r="E2552" s="61">
        <v>69399</v>
      </c>
      <c r="F2552" s="63" t="s">
        <v>82</v>
      </c>
    </row>
    <row r="2553" spans="1:6" x14ac:dyDescent="0.45">
      <c r="A2553" s="57">
        <v>2020</v>
      </c>
      <c r="B2553" s="3" t="s">
        <v>54</v>
      </c>
      <c r="C2553" s="3" t="s">
        <v>16</v>
      </c>
      <c r="D2553" s="4">
        <v>1785</v>
      </c>
      <c r="E2553" s="60">
        <v>60629</v>
      </c>
      <c r="F2553" s="63" t="s">
        <v>82</v>
      </c>
    </row>
    <row r="2554" spans="1:6" x14ac:dyDescent="0.45">
      <c r="A2554" s="58">
        <v>2020</v>
      </c>
      <c r="B2554" s="5" t="s">
        <v>54</v>
      </c>
      <c r="C2554" s="5" t="s">
        <v>17</v>
      </c>
      <c r="D2554" s="6">
        <v>1716</v>
      </c>
      <c r="E2554" s="61">
        <v>64223</v>
      </c>
      <c r="F2554" s="63" t="s">
        <v>81</v>
      </c>
    </row>
    <row r="2555" spans="1:6" x14ac:dyDescent="0.45">
      <c r="A2555" s="57">
        <v>2020</v>
      </c>
      <c r="B2555" s="3" t="s">
        <v>54</v>
      </c>
      <c r="C2555" s="3" t="s">
        <v>18</v>
      </c>
      <c r="D2555" s="3">
        <v>849</v>
      </c>
      <c r="E2555" s="60">
        <v>60502</v>
      </c>
      <c r="F2555" s="63" t="s">
        <v>81</v>
      </c>
    </row>
    <row r="2556" spans="1:6" x14ac:dyDescent="0.45">
      <c r="A2556" s="58">
        <v>2020</v>
      </c>
      <c r="B2556" s="5" t="s">
        <v>54</v>
      </c>
      <c r="C2556" s="5" t="s">
        <v>19</v>
      </c>
      <c r="D2556" s="6">
        <v>2737</v>
      </c>
      <c r="E2556" s="61">
        <v>98844</v>
      </c>
      <c r="F2556" s="63" t="s">
        <v>82</v>
      </c>
    </row>
    <row r="2557" spans="1:6" x14ac:dyDescent="0.45">
      <c r="A2557" s="57">
        <v>2020</v>
      </c>
      <c r="B2557" s="3" t="s">
        <v>54</v>
      </c>
      <c r="C2557" s="3" t="s">
        <v>20</v>
      </c>
      <c r="D2557" s="4">
        <v>5379</v>
      </c>
      <c r="E2557" s="60">
        <v>129118</v>
      </c>
      <c r="F2557" s="63" t="s">
        <v>81</v>
      </c>
    </row>
    <row r="2558" spans="1:6" x14ac:dyDescent="0.45">
      <c r="A2558" s="58">
        <v>2020</v>
      </c>
      <c r="B2558" s="5" t="s">
        <v>54</v>
      </c>
      <c r="C2558" s="5" t="s">
        <v>21</v>
      </c>
      <c r="D2558" s="6">
        <v>6287</v>
      </c>
      <c r="E2558" s="61">
        <v>79556</v>
      </c>
      <c r="F2558" s="63" t="s">
        <v>81</v>
      </c>
    </row>
    <row r="2559" spans="1:6" x14ac:dyDescent="0.45">
      <c r="A2559" s="57">
        <v>2020</v>
      </c>
      <c r="B2559" s="3" t="s">
        <v>54</v>
      </c>
      <c r="C2559" s="3" t="s">
        <v>22</v>
      </c>
      <c r="D2559" s="4">
        <v>3977</v>
      </c>
      <c r="E2559" s="60">
        <v>84903</v>
      </c>
      <c r="F2559" s="63" t="s">
        <v>82</v>
      </c>
    </row>
    <row r="2560" spans="1:6" x14ac:dyDescent="0.45">
      <c r="A2560" s="58">
        <v>2020</v>
      </c>
      <c r="B2560" s="5" t="s">
        <v>54</v>
      </c>
      <c r="C2560" s="5" t="s">
        <v>23</v>
      </c>
      <c r="D2560" s="5">
        <v>940</v>
      </c>
      <c r="E2560" s="61">
        <v>55173</v>
      </c>
      <c r="F2560" s="63" t="s">
        <v>82</v>
      </c>
    </row>
    <row r="2561" spans="1:6" x14ac:dyDescent="0.45">
      <c r="A2561" s="57">
        <v>2020</v>
      </c>
      <c r="B2561" s="3" t="s">
        <v>54</v>
      </c>
      <c r="C2561" s="3" t="s">
        <v>24</v>
      </c>
      <c r="D2561" s="4">
        <v>3049</v>
      </c>
      <c r="E2561" s="60">
        <v>87842</v>
      </c>
      <c r="F2561" s="63" t="s">
        <v>81</v>
      </c>
    </row>
    <row r="2562" spans="1:6" x14ac:dyDescent="0.45">
      <c r="A2562" s="58">
        <v>2020</v>
      </c>
      <c r="B2562" s="5" t="s">
        <v>54</v>
      </c>
      <c r="C2562" s="5" t="s">
        <v>25</v>
      </c>
      <c r="D2562" s="5">
        <v>801</v>
      </c>
      <c r="E2562" s="61">
        <v>60475</v>
      </c>
      <c r="F2562" s="63" t="s">
        <v>81</v>
      </c>
    </row>
    <row r="2563" spans="1:6" x14ac:dyDescent="0.45">
      <c r="A2563" s="57">
        <v>2020</v>
      </c>
      <c r="B2563" s="3" t="s">
        <v>54</v>
      </c>
      <c r="C2563" s="3" t="s">
        <v>26</v>
      </c>
      <c r="D2563" s="3">
        <v>973</v>
      </c>
      <c r="E2563" s="60">
        <v>70407</v>
      </c>
      <c r="F2563" s="63" t="s">
        <v>82</v>
      </c>
    </row>
    <row r="2564" spans="1:6" x14ac:dyDescent="0.45">
      <c r="A2564" s="58">
        <v>2020</v>
      </c>
      <c r="B2564" s="5" t="s">
        <v>54</v>
      </c>
      <c r="C2564" s="5" t="s">
        <v>27</v>
      </c>
      <c r="D2564" s="6">
        <v>1541</v>
      </c>
      <c r="E2564" s="61">
        <v>76292</v>
      </c>
      <c r="F2564" s="63" t="s">
        <v>81</v>
      </c>
    </row>
    <row r="2565" spans="1:6" x14ac:dyDescent="0.45">
      <c r="A2565" s="57">
        <v>2022</v>
      </c>
      <c r="B2565" s="3" t="s">
        <v>56</v>
      </c>
      <c r="C2565" s="3" t="s">
        <v>5</v>
      </c>
      <c r="D2565" s="4">
        <v>5876</v>
      </c>
      <c r="E2565" s="60">
        <v>69709</v>
      </c>
      <c r="F2565" s="63" t="s">
        <v>82</v>
      </c>
    </row>
    <row r="2566" spans="1:6" x14ac:dyDescent="0.45">
      <c r="A2566" s="58">
        <v>2022</v>
      </c>
      <c r="B2566" s="5" t="s">
        <v>56</v>
      </c>
      <c r="C2566" s="5" t="s">
        <v>78</v>
      </c>
      <c r="D2566" s="6">
        <v>32595</v>
      </c>
      <c r="E2566" s="61">
        <v>72460</v>
      </c>
      <c r="F2566" s="63" t="s">
        <v>81</v>
      </c>
    </row>
    <row r="2567" spans="1:6" x14ac:dyDescent="0.45">
      <c r="A2567" s="57">
        <v>2022</v>
      </c>
      <c r="B2567" s="3" t="s">
        <v>56</v>
      </c>
      <c r="C2567" s="3" t="s">
        <v>42</v>
      </c>
      <c r="D2567" s="4">
        <v>146639</v>
      </c>
      <c r="E2567" s="60">
        <v>87123</v>
      </c>
      <c r="F2567" s="63" t="s">
        <v>81</v>
      </c>
    </row>
    <row r="2568" spans="1:6" x14ac:dyDescent="0.45">
      <c r="A2568" s="58">
        <v>2022</v>
      </c>
      <c r="B2568" s="5" t="s">
        <v>56</v>
      </c>
      <c r="C2568" s="3" t="s">
        <v>5</v>
      </c>
      <c r="D2568" s="6">
        <v>25941</v>
      </c>
      <c r="E2568" s="61">
        <v>74355</v>
      </c>
      <c r="F2568" s="63" t="s">
        <v>82</v>
      </c>
    </row>
    <row r="2569" spans="1:6" x14ac:dyDescent="0.45">
      <c r="A2569" s="57">
        <v>2022</v>
      </c>
      <c r="B2569" s="3" t="s">
        <v>56</v>
      </c>
      <c r="C2569" s="5" t="s">
        <v>78</v>
      </c>
      <c r="D2569" s="4">
        <v>6346</v>
      </c>
      <c r="E2569" s="60">
        <v>80442</v>
      </c>
      <c r="F2569" s="63" t="s">
        <v>82</v>
      </c>
    </row>
    <row r="2570" spans="1:6" x14ac:dyDescent="0.45">
      <c r="A2570" s="58">
        <v>2022</v>
      </c>
      <c r="B2570" s="5" t="s">
        <v>56</v>
      </c>
      <c r="C2570" s="3" t="s">
        <v>42</v>
      </c>
      <c r="D2570" s="6">
        <v>60099</v>
      </c>
      <c r="E2570" s="61">
        <v>102046</v>
      </c>
      <c r="F2570" s="63" t="s">
        <v>81</v>
      </c>
    </row>
    <row r="2571" spans="1:6" x14ac:dyDescent="0.45">
      <c r="A2571" s="57">
        <v>2022</v>
      </c>
      <c r="B2571" s="3" t="s">
        <v>56</v>
      </c>
      <c r="C2571" s="3" t="s">
        <v>5</v>
      </c>
      <c r="D2571" s="4">
        <v>43094</v>
      </c>
      <c r="E2571" s="60">
        <v>98279</v>
      </c>
      <c r="F2571" s="63" t="s">
        <v>81</v>
      </c>
    </row>
    <row r="2572" spans="1:6" x14ac:dyDescent="0.45">
      <c r="A2572" s="58">
        <v>2022</v>
      </c>
      <c r="B2572" s="5" t="s">
        <v>56</v>
      </c>
      <c r="C2572" s="5" t="s">
        <v>78</v>
      </c>
      <c r="D2572" s="6">
        <v>8599</v>
      </c>
      <c r="E2572" s="61">
        <v>59557</v>
      </c>
      <c r="F2572" s="63" t="s">
        <v>82</v>
      </c>
    </row>
    <row r="2573" spans="1:6" x14ac:dyDescent="0.45">
      <c r="A2573" s="57">
        <v>2022</v>
      </c>
      <c r="B2573" s="3" t="s">
        <v>56</v>
      </c>
      <c r="C2573" s="3" t="s">
        <v>42</v>
      </c>
      <c r="D2573" s="4">
        <v>27048</v>
      </c>
      <c r="E2573" s="60">
        <v>73254</v>
      </c>
      <c r="F2573" s="63" t="s">
        <v>82</v>
      </c>
    </row>
    <row r="2574" spans="1:6" x14ac:dyDescent="0.45">
      <c r="A2574" s="58">
        <v>2022</v>
      </c>
      <c r="B2574" s="5" t="s">
        <v>56</v>
      </c>
      <c r="C2574" s="3" t="s">
        <v>5</v>
      </c>
      <c r="D2574" s="6">
        <v>4986</v>
      </c>
      <c r="E2574" s="61">
        <v>66233</v>
      </c>
      <c r="F2574" s="63" t="s">
        <v>82</v>
      </c>
    </row>
    <row r="2575" spans="1:6" x14ac:dyDescent="0.45">
      <c r="A2575" s="57">
        <v>2022</v>
      </c>
      <c r="B2575" s="3" t="s">
        <v>57</v>
      </c>
      <c r="C2575" s="5" t="s">
        <v>78</v>
      </c>
      <c r="D2575" s="4">
        <v>15859</v>
      </c>
      <c r="E2575" s="60">
        <v>57193</v>
      </c>
      <c r="F2575" s="63" t="s">
        <v>82</v>
      </c>
    </row>
    <row r="2576" spans="1:6" x14ac:dyDescent="0.45">
      <c r="A2576" s="58">
        <v>2022</v>
      </c>
      <c r="B2576" s="5" t="s">
        <v>57</v>
      </c>
      <c r="C2576" s="3" t="s">
        <v>42</v>
      </c>
      <c r="D2576" s="6">
        <v>20727</v>
      </c>
      <c r="E2576" s="61">
        <v>62159</v>
      </c>
      <c r="F2576" s="63" t="s">
        <v>82</v>
      </c>
    </row>
    <row r="2577" spans="1:6" x14ac:dyDescent="0.45">
      <c r="A2577" s="57">
        <v>2022</v>
      </c>
      <c r="B2577" s="3" t="s">
        <v>57</v>
      </c>
      <c r="C2577" s="3" t="s">
        <v>5</v>
      </c>
      <c r="D2577" s="4">
        <v>15656</v>
      </c>
      <c r="E2577" s="60">
        <v>53435</v>
      </c>
      <c r="F2577" s="63" t="s">
        <v>81</v>
      </c>
    </row>
    <row r="2578" spans="1:6" x14ac:dyDescent="0.45">
      <c r="A2578" s="58">
        <v>2022</v>
      </c>
      <c r="B2578" s="5" t="s">
        <v>57</v>
      </c>
      <c r="C2578" s="5" t="s">
        <v>78</v>
      </c>
      <c r="D2578" s="6">
        <v>656765</v>
      </c>
      <c r="E2578" s="61">
        <v>63668</v>
      </c>
      <c r="F2578" s="63" t="s">
        <v>81</v>
      </c>
    </row>
    <row r="2579" spans="1:6" x14ac:dyDescent="0.45">
      <c r="A2579" s="57">
        <v>2022</v>
      </c>
      <c r="B2579" s="3" t="s">
        <v>57</v>
      </c>
      <c r="C2579" s="3" t="s">
        <v>42</v>
      </c>
      <c r="D2579" s="4">
        <v>23475</v>
      </c>
      <c r="E2579" s="60">
        <v>61198</v>
      </c>
      <c r="F2579" s="63" t="s">
        <v>82</v>
      </c>
    </row>
    <row r="2580" spans="1:6" x14ac:dyDescent="0.45">
      <c r="A2580" s="58">
        <v>2022</v>
      </c>
      <c r="B2580" s="5" t="s">
        <v>57</v>
      </c>
      <c r="C2580" s="3" t="s">
        <v>5</v>
      </c>
      <c r="D2580" s="6">
        <v>19964</v>
      </c>
      <c r="E2580" s="61">
        <v>67215</v>
      </c>
      <c r="F2580" s="63" t="s">
        <v>81</v>
      </c>
    </row>
    <row r="2581" spans="1:6" x14ac:dyDescent="0.45">
      <c r="A2581" s="57">
        <v>2022</v>
      </c>
      <c r="B2581" s="3" t="s">
        <v>57</v>
      </c>
      <c r="C2581" s="5" t="s">
        <v>78</v>
      </c>
      <c r="D2581" s="4">
        <v>5522</v>
      </c>
      <c r="E2581" s="60">
        <v>63470</v>
      </c>
      <c r="F2581" s="63" t="s">
        <v>81</v>
      </c>
    </row>
    <row r="2582" spans="1:6" x14ac:dyDescent="0.45">
      <c r="A2582" s="58">
        <v>2022</v>
      </c>
      <c r="B2582" s="5" t="s">
        <v>57</v>
      </c>
      <c r="C2582" s="3" t="s">
        <v>42</v>
      </c>
      <c r="D2582" s="6">
        <v>85058</v>
      </c>
      <c r="E2582" s="61">
        <v>61114</v>
      </c>
      <c r="F2582" s="63" t="s">
        <v>82</v>
      </c>
    </row>
    <row r="2583" spans="1:6" x14ac:dyDescent="0.45">
      <c r="A2583" s="57">
        <v>2022</v>
      </c>
      <c r="B2583" s="3" t="s">
        <v>57</v>
      </c>
      <c r="C2583" s="3" t="s">
        <v>5</v>
      </c>
      <c r="D2583" s="4">
        <v>31842</v>
      </c>
      <c r="E2583" s="60">
        <v>63141</v>
      </c>
      <c r="F2583" s="63" t="s">
        <v>82</v>
      </c>
    </row>
    <row r="2584" spans="1:6" x14ac:dyDescent="0.45">
      <c r="A2584" s="58">
        <v>2022</v>
      </c>
      <c r="B2584" s="5" t="s">
        <v>57</v>
      </c>
      <c r="C2584" s="5" t="s">
        <v>78</v>
      </c>
      <c r="D2584" s="6">
        <v>9128</v>
      </c>
      <c r="E2584" s="61">
        <v>51479</v>
      </c>
      <c r="F2584" s="63" t="s">
        <v>81</v>
      </c>
    </row>
    <row r="2585" spans="1:6" x14ac:dyDescent="0.45">
      <c r="A2585" s="57">
        <v>2022</v>
      </c>
      <c r="B2585" s="3" t="s">
        <v>57</v>
      </c>
      <c r="C2585" s="3" t="s">
        <v>42</v>
      </c>
      <c r="D2585" s="4">
        <v>39684</v>
      </c>
      <c r="E2585" s="60">
        <v>61678</v>
      </c>
      <c r="F2585" s="63" t="s">
        <v>81</v>
      </c>
    </row>
    <row r="2586" spans="1:6" x14ac:dyDescent="0.45">
      <c r="A2586" s="58">
        <v>2022</v>
      </c>
      <c r="B2586" s="5" t="s">
        <v>57</v>
      </c>
      <c r="C2586" s="3" t="s">
        <v>5</v>
      </c>
      <c r="D2586" s="6">
        <v>16899</v>
      </c>
      <c r="E2586" s="61">
        <v>58802</v>
      </c>
      <c r="F2586" s="63" t="s">
        <v>82</v>
      </c>
    </row>
    <row r="2587" spans="1:6" x14ac:dyDescent="0.45">
      <c r="A2587" s="57">
        <v>2022</v>
      </c>
      <c r="B2587" s="3" t="s">
        <v>57</v>
      </c>
      <c r="C2587" s="3" t="s">
        <v>14</v>
      </c>
      <c r="D2587" s="4">
        <v>13294</v>
      </c>
      <c r="E2587" s="60">
        <v>53222</v>
      </c>
      <c r="F2587" s="63" t="s">
        <v>81</v>
      </c>
    </row>
    <row r="2588" spans="1:6" x14ac:dyDescent="0.45">
      <c r="A2588" s="58">
        <v>2022</v>
      </c>
      <c r="B2588" s="5" t="s">
        <v>57</v>
      </c>
      <c r="C2588" s="5" t="s">
        <v>15</v>
      </c>
      <c r="D2588" s="6">
        <v>10330</v>
      </c>
      <c r="E2588" s="61">
        <v>54486</v>
      </c>
      <c r="F2588" s="63" t="s">
        <v>82</v>
      </c>
    </row>
    <row r="2589" spans="1:6" x14ac:dyDescent="0.45">
      <c r="A2589" s="57">
        <v>2022</v>
      </c>
      <c r="B2589" s="3" t="s">
        <v>57</v>
      </c>
      <c r="C2589" s="3" t="s">
        <v>16</v>
      </c>
      <c r="D2589" s="4">
        <v>20809</v>
      </c>
      <c r="E2589" s="60">
        <v>58098</v>
      </c>
      <c r="F2589" s="63" t="s">
        <v>81</v>
      </c>
    </row>
    <row r="2590" spans="1:6" x14ac:dyDescent="0.45">
      <c r="A2590" s="58">
        <v>2022</v>
      </c>
      <c r="B2590" s="5" t="s">
        <v>57</v>
      </c>
      <c r="C2590" s="5" t="s">
        <v>17</v>
      </c>
      <c r="D2590" s="6">
        <v>16834</v>
      </c>
      <c r="E2590" s="61">
        <v>54222</v>
      </c>
      <c r="F2590" s="63" t="s">
        <v>81</v>
      </c>
    </row>
    <row r="2591" spans="1:6" x14ac:dyDescent="0.45">
      <c r="A2591" s="57">
        <v>2022</v>
      </c>
      <c r="B2591" s="3" t="s">
        <v>57</v>
      </c>
      <c r="C2591" s="3" t="s">
        <v>18</v>
      </c>
      <c r="D2591" s="4">
        <v>5591</v>
      </c>
      <c r="E2591" s="60">
        <v>59739</v>
      </c>
      <c r="F2591" s="63" t="s">
        <v>82</v>
      </c>
    </row>
    <row r="2592" spans="1:6" x14ac:dyDescent="0.45">
      <c r="A2592" s="58">
        <v>2022</v>
      </c>
      <c r="B2592" s="5" t="s">
        <v>57</v>
      </c>
      <c r="C2592" s="5" t="s">
        <v>19</v>
      </c>
      <c r="D2592" s="6">
        <v>21505</v>
      </c>
      <c r="E2592" s="61">
        <v>65854</v>
      </c>
      <c r="F2592" s="63" t="s">
        <v>82</v>
      </c>
    </row>
    <row r="2593" spans="1:6" x14ac:dyDescent="0.45">
      <c r="A2593" s="57">
        <v>2022</v>
      </c>
      <c r="B2593" s="3" t="s">
        <v>50</v>
      </c>
      <c r="C2593" s="3" t="s">
        <v>2</v>
      </c>
      <c r="D2593" s="4">
        <v>1829</v>
      </c>
      <c r="E2593" s="60">
        <v>64872</v>
      </c>
      <c r="F2593" s="63" t="s">
        <v>81</v>
      </c>
    </row>
    <row r="2594" spans="1:6" x14ac:dyDescent="0.45">
      <c r="A2594" s="58">
        <v>2022</v>
      </c>
      <c r="B2594" s="5" t="s">
        <v>50</v>
      </c>
      <c r="C2594" s="5" t="s">
        <v>3</v>
      </c>
      <c r="D2594" s="6">
        <v>1354</v>
      </c>
      <c r="E2594" s="61">
        <v>61216</v>
      </c>
      <c r="F2594" s="63" t="s">
        <v>82</v>
      </c>
    </row>
    <row r="2595" spans="1:6" x14ac:dyDescent="0.45">
      <c r="A2595" s="57">
        <v>2022</v>
      </c>
      <c r="B2595" s="3" t="s">
        <v>50</v>
      </c>
      <c r="C2595" s="3" t="s">
        <v>4</v>
      </c>
      <c r="D2595" s="4">
        <v>2565</v>
      </c>
      <c r="E2595" s="60">
        <v>55909</v>
      </c>
      <c r="F2595" s="63" t="s">
        <v>81</v>
      </c>
    </row>
    <row r="2596" spans="1:6" x14ac:dyDescent="0.45">
      <c r="A2596" s="58">
        <v>2022</v>
      </c>
      <c r="B2596" s="5" t="s">
        <v>50</v>
      </c>
      <c r="C2596" s="5" t="s">
        <v>5</v>
      </c>
      <c r="D2596" s="6">
        <v>17651</v>
      </c>
      <c r="E2596" s="61">
        <v>48534</v>
      </c>
      <c r="F2596" s="63" t="s">
        <v>81</v>
      </c>
    </row>
    <row r="2597" spans="1:6" x14ac:dyDescent="0.45">
      <c r="A2597" s="57">
        <v>2022</v>
      </c>
      <c r="B2597" s="3" t="s">
        <v>50</v>
      </c>
      <c r="C2597" s="3" t="s">
        <v>6</v>
      </c>
      <c r="D2597" s="4">
        <v>3312</v>
      </c>
      <c r="E2597" s="60">
        <v>97879</v>
      </c>
      <c r="F2597" s="63" t="s">
        <v>82</v>
      </c>
    </row>
    <row r="2598" spans="1:6" x14ac:dyDescent="0.45">
      <c r="A2598" s="58">
        <v>2022</v>
      </c>
      <c r="B2598" s="5" t="s">
        <v>50</v>
      </c>
      <c r="C2598" s="5" t="s">
        <v>7</v>
      </c>
      <c r="D2598" s="5">
        <v>467</v>
      </c>
      <c r="E2598" s="61">
        <v>49142</v>
      </c>
      <c r="F2598" s="63" t="s">
        <v>82</v>
      </c>
    </row>
    <row r="2599" spans="1:6" x14ac:dyDescent="0.45">
      <c r="A2599" s="57">
        <v>2022</v>
      </c>
      <c r="B2599" s="3" t="s">
        <v>50</v>
      </c>
      <c r="C2599" s="3" t="s">
        <v>8</v>
      </c>
      <c r="D2599" s="3">
        <v>186</v>
      </c>
      <c r="E2599" s="60">
        <v>49290</v>
      </c>
      <c r="F2599" s="63" t="s">
        <v>81</v>
      </c>
    </row>
    <row r="2600" spans="1:6" x14ac:dyDescent="0.45">
      <c r="A2600" s="58">
        <v>2022</v>
      </c>
      <c r="B2600" s="5" t="s">
        <v>50</v>
      </c>
      <c r="C2600" s="5" t="s">
        <v>9</v>
      </c>
      <c r="D2600" s="6">
        <v>5394</v>
      </c>
      <c r="E2600" s="61">
        <v>43717</v>
      </c>
      <c r="F2600" s="63" t="s">
        <v>81</v>
      </c>
    </row>
    <row r="2601" spans="1:6" x14ac:dyDescent="0.45">
      <c r="A2601" s="57">
        <v>2022</v>
      </c>
      <c r="B2601" s="3" t="s">
        <v>50</v>
      </c>
      <c r="C2601" s="3" t="s">
        <v>10</v>
      </c>
      <c r="D2601" s="4">
        <v>2794</v>
      </c>
      <c r="E2601" s="60">
        <v>51978</v>
      </c>
      <c r="F2601" s="63" t="s">
        <v>82</v>
      </c>
    </row>
    <row r="2602" spans="1:6" x14ac:dyDescent="0.45">
      <c r="A2602" s="58">
        <v>2022</v>
      </c>
      <c r="B2602" s="5" t="s">
        <v>50</v>
      </c>
      <c r="C2602" s="5" t="s">
        <v>11</v>
      </c>
      <c r="D2602" s="6">
        <v>2531</v>
      </c>
      <c r="E2602" s="61">
        <v>48820</v>
      </c>
      <c r="F2602" s="63" t="s">
        <v>82</v>
      </c>
    </row>
    <row r="2603" spans="1:6" x14ac:dyDescent="0.45">
      <c r="A2603" s="57">
        <v>2022</v>
      </c>
      <c r="B2603" s="3" t="s">
        <v>50</v>
      </c>
      <c r="C2603" s="3" t="s">
        <v>12</v>
      </c>
      <c r="D2603" s="4">
        <v>2818</v>
      </c>
      <c r="E2603" s="60">
        <v>58259</v>
      </c>
      <c r="F2603" s="63" t="s">
        <v>82</v>
      </c>
    </row>
    <row r="2604" spans="1:6" x14ac:dyDescent="0.45">
      <c r="A2604" s="58">
        <v>2022</v>
      </c>
      <c r="B2604" s="5" t="s">
        <v>50</v>
      </c>
      <c r="C2604" s="5" t="s">
        <v>13</v>
      </c>
      <c r="D2604" s="6">
        <v>2302</v>
      </c>
      <c r="E2604" s="61">
        <v>56732</v>
      </c>
      <c r="F2604" s="63" t="s">
        <v>82</v>
      </c>
    </row>
    <row r="2605" spans="1:6" x14ac:dyDescent="0.45">
      <c r="A2605" s="57">
        <v>2022</v>
      </c>
      <c r="B2605" s="3" t="s">
        <v>50</v>
      </c>
      <c r="C2605" s="3" t="s">
        <v>14</v>
      </c>
      <c r="D2605" s="4">
        <v>2911</v>
      </c>
      <c r="E2605" s="60">
        <v>51588</v>
      </c>
      <c r="F2605" s="63" t="s">
        <v>82</v>
      </c>
    </row>
    <row r="2606" spans="1:6" x14ac:dyDescent="0.45">
      <c r="A2606" s="58">
        <v>2022</v>
      </c>
      <c r="B2606" s="5" t="s">
        <v>50</v>
      </c>
      <c r="C2606" s="5" t="s">
        <v>15</v>
      </c>
      <c r="D2606" s="6">
        <v>2613</v>
      </c>
      <c r="E2606" s="61">
        <v>53721</v>
      </c>
      <c r="F2606" s="63" t="s">
        <v>82</v>
      </c>
    </row>
    <row r="2607" spans="1:6" x14ac:dyDescent="0.45">
      <c r="A2607" s="57">
        <v>2022</v>
      </c>
      <c r="B2607" s="3" t="s">
        <v>50</v>
      </c>
      <c r="C2607" s="3" t="s">
        <v>16</v>
      </c>
      <c r="D2607" s="4">
        <v>1632</v>
      </c>
      <c r="E2607" s="60">
        <v>60605</v>
      </c>
      <c r="F2607" s="63" t="s">
        <v>82</v>
      </c>
    </row>
    <row r="2608" spans="1:6" x14ac:dyDescent="0.45">
      <c r="A2608" s="58">
        <v>2022</v>
      </c>
      <c r="B2608" s="5" t="s">
        <v>50</v>
      </c>
      <c r="C2608" s="5" t="s">
        <v>17</v>
      </c>
      <c r="D2608" s="6">
        <v>3143</v>
      </c>
      <c r="E2608" s="61">
        <v>92727</v>
      </c>
      <c r="F2608" s="63" t="s">
        <v>82</v>
      </c>
    </row>
    <row r="2609" spans="1:6" x14ac:dyDescent="0.45">
      <c r="A2609" s="57">
        <v>2022</v>
      </c>
      <c r="B2609" s="3" t="s">
        <v>50</v>
      </c>
      <c r="C2609" s="3" t="s">
        <v>18</v>
      </c>
      <c r="D2609" s="4">
        <v>1581</v>
      </c>
      <c r="E2609" s="60">
        <v>47422</v>
      </c>
      <c r="F2609" s="63" t="s">
        <v>82</v>
      </c>
    </row>
    <row r="2610" spans="1:6" x14ac:dyDescent="0.45">
      <c r="A2610" s="58">
        <v>2022</v>
      </c>
      <c r="B2610" s="5" t="s">
        <v>50</v>
      </c>
      <c r="C2610" s="5" t="s">
        <v>19</v>
      </c>
      <c r="D2610" s="5">
        <v>720</v>
      </c>
      <c r="E2610" s="61">
        <v>52887</v>
      </c>
      <c r="F2610" s="63" t="s">
        <v>82</v>
      </c>
    </row>
    <row r="2611" spans="1:6" x14ac:dyDescent="0.45">
      <c r="A2611" s="57">
        <v>2022</v>
      </c>
      <c r="B2611" s="3" t="s">
        <v>50</v>
      </c>
      <c r="C2611" s="3" t="s">
        <v>20</v>
      </c>
      <c r="D2611" s="3">
        <v>999</v>
      </c>
      <c r="E2611" s="60">
        <v>70628</v>
      </c>
      <c r="F2611" s="63" t="s">
        <v>82</v>
      </c>
    </row>
    <row r="2612" spans="1:6" x14ac:dyDescent="0.45">
      <c r="A2612" s="58">
        <v>2022</v>
      </c>
      <c r="B2612" s="5" t="s">
        <v>50</v>
      </c>
      <c r="C2612" s="5" t="s">
        <v>21</v>
      </c>
      <c r="D2612" s="6">
        <v>3574</v>
      </c>
      <c r="E2612" s="61">
        <v>49309</v>
      </c>
      <c r="F2612" s="63" t="s">
        <v>82</v>
      </c>
    </row>
    <row r="2613" spans="1:6" x14ac:dyDescent="0.45">
      <c r="A2613" s="57">
        <v>2022</v>
      </c>
      <c r="B2613" s="3" t="s">
        <v>50</v>
      </c>
      <c r="C2613" s="3" t="s">
        <v>22</v>
      </c>
      <c r="D2613" s="4">
        <v>3175</v>
      </c>
      <c r="E2613" s="60">
        <v>57276</v>
      </c>
      <c r="F2613" s="63" t="s">
        <v>82</v>
      </c>
    </row>
    <row r="2614" spans="1:6" x14ac:dyDescent="0.45">
      <c r="A2614" s="58">
        <v>2022</v>
      </c>
      <c r="B2614" s="5" t="s">
        <v>50</v>
      </c>
      <c r="C2614" s="5" t="s">
        <v>23</v>
      </c>
      <c r="D2614" s="6">
        <v>2070</v>
      </c>
      <c r="E2614" s="61">
        <v>56525</v>
      </c>
      <c r="F2614" s="63" t="s">
        <v>82</v>
      </c>
    </row>
    <row r="2615" spans="1:6" x14ac:dyDescent="0.45">
      <c r="A2615" s="57">
        <v>2022</v>
      </c>
      <c r="B2615" s="3" t="s">
        <v>50</v>
      </c>
      <c r="C2615" s="3" t="s">
        <v>24</v>
      </c>
      <c r="D2615" s="4">
        <v>2123</v>
      </c>
      <c r="E2615" s="60">
        <v>52677</v>
      </c>
      <c r="F2615" s="63" t="s">
        <v>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2AEE-F84E-49B1-8B55-94B744955A1C}">
  <dimension ref="B4:G153"/>
  <sheetViews>
    <sheetView showRowColHeaders="0" workbookViewId="0">
      <selection activeCell="I10" sqref="I10"/>
    </sheetView>
  </sheetViews>
  <sheetFormatPr defaultRowHeight="14.25" x14ac:dyDescent="0.45"/>
  <cols>
    <col min="2" max="2" width="6.19921875" customWidth="1"/>
    <col min="3" max="3" width="16.1328125" bestFit="1" customWidth="1"/>
    <col min="4" max="4" width="15.265625" bestFit="1" customWidth="1"/>
    <col min="5" max="6" width="9.73046875" customWidth="1"/>
    <col min="7" max="7" width="13.796875" customWidth="1"/>
  </cols>
  <sheetData>
    <row r="4" spans="2:7" x14ac:dyDescent="0.45">
      <c r="B4" s="71" t="s">
        <v>0</v>
      </c>
      <c r="C4" s="70" t="s">
        <v>60</v>
      </c>
      <c r="D4" s="70" t="s">
        <v>1</v>
      </c>
      <c r="E4" s="70" t="s">
        <v>62</v>
      </c>
      <c r="F4" s="70" t="s">
        <v>61</v>
      </c>
      <c r="G4" s="72" t="s">
        <v>80</v>
      </c>
    </row>
    <row r="5" spans="2:7" x14ac:dyDescent="0.45">
      <c r="B5" s="66">
        <v>2022</v>
      </c>
      <c r="C5" s="63" t="s">
        <v>52</v>
      </c>
      <c r="D5" s="63" t="s">
        <v>26</v>
      </c>
      <c r="E5" s="63">
        <v>1988</v>
      </c>
      <c r="F5" s="63">
        <v>56566</v>
      </c>
      <c r="G5" s="67" t="s">
        <v>82</v>
      </c>
    </row>
    <row r="6" spans="2:7" x14ac:dyDescent="0.45">
      <c r="B6" s="66">
        <v>2022</v>
      </c>
      <c r="C6" s="63" t="s">
        <v>52</v>
      </c>
      <c r="D6" s="63" t="s">
        <v>27</v>
      </c>
      <c r="E6" s="63">
        <v>2066</v>
      </c>
      <c r="F6" s="63">
        <v>63543</v>
      </c>
      <c r="G6" s="67" t="s">
        <v>82</v>
      </c>
    </row>
    <row r="7" spans="2:7" x14ac:dyDescent="0.45">
      <c r="B7" s="66">
        <v>2022</v>
      </c>
      <c r="C7" s="63" t="s">
        <v>52</v>
      </c>
      <c r="D7" s="63" t="s">
        <v>28</v>
      </c>
      <c r="E7" s="63">
        <v>2032</v>
      </c>
      <c r="F7" s="63">
        <v>76722</v>
      </c>
      <c r="G7" s="67" t="s">
        <v>81</v>
      </c>
    </row>
    <row r="8" spans="2:7" x14ac:dyDescent="0.45">
      <c r="B8" s="66">
        <v>2022</v>
      </c>
      <c r="C8" s="63" t="s">
        <v>52</v>
      </c>
      <c r="D8" s="63" t="s">
        <v>29</v>
      </c>
      <c r="E8" s="63">
        <v>8976</v>
      </c>
      <c r="F8" s="63">
        <v>85088</v>
      </c>
      <c r="G8" s="67" t="s">
        <v>81</v>
      </c>
    </row>
    <row r="9" spans="2:7" x14ac:dyDescent="0.45">
      <c r="B9" s="66">
        <v>2022</v>
      </c>
      <c r="C9" s="63" t="s">
        <v>52</v>
      </c>
      <c r="D9" s="63" t="s">
        <v>30</v>
      </c>
      <c r="E9" s="63">
        <v>1768</v>
      </c>
      <c r="F9" s="63">
        <v>58139</v>
      </c>
      <c r="G9" s="67" t="s">
        <v>82</v>
      </c>
    </row>
    <row r="10" spans="2:7" x14ac:dyDescent="0.45">
      <c r="B10" s="66">
        <v>2022</v>
      </c>
      <c r="C10" s="63" t="s">
        <v>52</v>
      </c>
      <c r="D10" s="63" t="s">
        <v>31</v>
      </c>
      <c r="E10" s="63">
        <v>16910</v>
      </c>
      <c r="F10" s="63">
        <v>72614</v>
      </c>
      <c r="G10" s="67" t="s">
        <v>81</v>
      </c>
    </row>
    <row r="11" spans="2:7" x14ac:dyDescent="0.45">
      <c r="B11" s="66">
        <v>2022</v>
      </c>
      <c r="C11" s="63" t="s">
        <v>52</v>
      </c>
      <c r="D11" s="63" t="s">
        <v>32</v>
      </c>
      <c r="E11" s="63">
        <v>10219</v>
      </c>
      <c r="F11" s="63">
        <v>64827</v>
      </c>
      <c r="G11" s="67" t="s">
        <v>82</v>
      </c>
    </row>
    <row r="12" spans="2:7" x14ac:dyDescent="0.45">
      <c r="B12" s="66">
        <v>2022</v>
      </c>
      <c r="C12" s="63" t="s">
        <v>52</v>
      </c>
      <c r="D12" s="63" t="s">
        <v>33</v>
      </c>
      <c r="E12" s="63">
        <v>807</v>
      </c>
      <c r="F12" s="63">
        <v>58882</v>
      </c>
      <c r="G12" s="67" t="s">
        <v>81</v>
      </c>
    </row>
    <row r="13" spans="2:7" x14ac:dyDescent="0.45">
      <c r="B13" s="66">
        <v>2022</v>
      </c>
      <c r="C13" s="63" t="s">
        <v>52</v>
      </c>
      <c r="D13" s="63" t="s">
        <v>34</v>
      </c>
      <c r="E13" s="63">
        <v>15409</v>
      </c>
      <c r="F13" s="63">
        <v>66487</v>
      </c>
      <c r="G13" s="67" t="s">
        <v>81</v>
      </c>
    </row>
    <row r="14" spans="2:7" x14ac:dyDescent="0.45">
      <c r="B14" s="66">
        <v>2022</v>
      </c>
      <c r="C14" s="63" t="s">
        <v>52</v>
      </c>
      <c r="D14" s="63" t="s">
        <v>35</v>
      </c>
      <c r="E14" s="63">
        <v>4164</v>
      </c>
      <c r="F14" s="63">
        <v>63770</v>
      </c>
      <c r="G14" s="67" t="s">
        <v>82</v>
      </c>
    </row>
    <row r="15" spans="2:7" x14ac:dyDescent="0.45">
      <c r="B15" s="66">
        <v>2022</v>
      </c>
      <c r="C15" s="63" t="s">
        <v>52</v>
      </c>
      <c r="D15" s="63" t="s">
        <v>36</v>
      </c>
      <c r="E15" s="63">
        <v>6240</v>
      </c>
      <c r="F15" s="63">
        <v>75641</v>
      </c>
      <c r="G15" s="67" t="s">
        <v>82</v>
      </c>
    </row>
    <row r="16" spans="2:7" x14ac:dyDescent="0.45">
      <c r="B16" s="66">
        <v>2022</v>
      </c>
      <c r="C16" s="63" t="s">
        <v>52</v>
      </c>
      <c r="D16" s="63" t="s">
        <v>37</v>
      </c>
      <c r="E16" s="63">
        <v>14407</v>
      </c>
      <c r="F16" s="63">
        <v>67561</v>
      </c>
      <c r="G16" s="67" t="s">
        <v>81</v>
      </c>
    </row>
    <row r="17" spans="2:7" x14ac:dyDescent="0.45">
      <c r="B17" s="66">
        <v>2022</v>
      </c>
      <c r="C17" s="63" t="s">
        <v>52</v>
      </c>
      <c r="D17" s="63" t="s">
        <v>38</v>
      </c>
      <c r="E17" s="63">
        <v>1572</v>
      </c>
      <c r="F17" s="63">
        <v>63468</v>
      </c>
      <c r="G17" s="67" t="s">
        <v>81</v>
      </c>
    </row>
    <row r="18" spans="2:7" x14ac:dyDescent="0.45">
      <c r="B18" s="66">
        <v>2022</v>
      </c>
      <c r="C18" s="63" t="s">
        <v>52</v>
      </c>
      <c r="D18" s="63" t="s">
        <v>39</v>
      </c>
      <c r="E18" s="63">
        <v>6087</v>
      </c>
      <c r="F18" s="63">
        <v>64522</v>
      </c>
      <c r="G18" s="67" t="s">
        <v>82</v>
      </c>
    </row>
    <row r="19" spans="2:7" x14ac:dyDescent="0.45">
      <c r="B19" s="66">
        <v>2022</v>
      </c>
      <c r="C19" s="63" t="s">
        <v>52</v>
      </c>
      <c r="D19" s="63" t="s">
        <v>40</v>
      </c>
      <c r="E19" s="63">
        <v>1084</v>
      </c>
      <c r="F19" s="63">
        <v>54320</v>
      </c>
      <c r="G19" s="67" t="s">
        <v>82</v>
      </c>
    </row>
    <row r="20" spans="2:7" x14ac:dyDescent="0.45">
      <c r="B20" s="66">
        <v>2022</v>
      </c>
      <c r="C20" s="63" t="s">
        <v>52</v>
      </c>
      <c r="D20" s="63" t="s">
        <v>41</v>
      </c>
      <c r="E20" s="63">
        <v>7051</v>
      </c>
      <c r="F20" s="63">
        <v>64495</v>
      </c>
      <c r="G20" s="67" t="s">
        <v>82</v>
      </c>
    </row>
    <row r="21" spans="2:7" x14ac:dyDescent="0.45">
      <c r="B21" s="66">
        <v>2022</v>
      </c>
      <c r="C21" s="63" t="s">
        <v>52</v>
      </c>
      <c r="D21" s="63" t="s">
        <v>42</v>
      </c>
      <c r="E21" s="63">
        <v>24758</v>
      </c>
      <c r="F21" s="63">
        <v>82648</v>
      </c>
      <c r="G21" s="67" t="s">
        <v>82</v>
      </c>
    </row>
    <row r="22" spans="2:7" x14ac:dyDescent="0.45">
      <c r="B22" s="66">
        <v>2022</v>
      </c>
      <c r="C22" s="63" t="s">
        <v>52</v>
      </c>
      <c r="D22" s="63" t="s">
        <v>43</v>
      </c>
      <c r="E22" s="63">
        <v>4386</v>
      </c>
      <c r="F22" s="63">
        <v>63006</v>
      </c>
      <c r="G22" s="67" t="s">
        <v>82</v>
      </c>
    </row>
    <row r="23" spans="2:7" x14ac:dyDescent="0.45">
      <c r="B23" s="66">
        <v>2022</v>
      </c>
      <c r="C23" s="63" t="s">
        <v>52</v>
      </c>
      <c r="D23" s="63" t="s">
        <v>44</v>
      </c>
      <c r="E23" s="63">
        <v>1108</v>
      </c>
      <c r="F23" s="63">
        <v>64390</v>
      </c>
      <c r="G23" s="67" t="s">
        <v>81</v>
      </c>
    </row>
    <row r="24" spans="2:7" x14ac:dyDescent="0.45">
      <c r="B24" s="66">
        <v>2022</v>
      </c>
      <c r="C24" s="63" t="s">
        <v>52</v>
      </c>
      <c r="D24" s="63" t="s">
        <v>45</v>
      </c>
      <c r="E24" s="63">
        <v>6750</v>
      </c>
      <c r="F24" s="63">
        <v>64974</v>
      </c>
      <c r="G24" s="67" t="s">
        <v>81</v>
      </c>
    </row>
    <row r="25" spans="2:7" x14ac:dyDescent="0.45">
      <c r="B25" s="66">
        <v>2022</v>
      </c>
      <c r="C25" s="63" t="s">
        <v>52</v>
      </c>
      <c r="D25" s="63" t="s">
        <v>46</v>
      </c>
      <c r="E25" s="63">
        <v>7798</v>
      </c>
      <c r="F25" s="63">
        <v>84321</v>
      </c>
      <c r="G25" s="67" t="s">
        <v>82</v>
      </c>
    </row>
    <row r="26" spans="2:7" x14ac:dyDescent="0.45">
      <c r="B26" s="66">
        <v>2022</v>
      </c>
      <c r="C26" s="63" t="s">
        <v>52</v>
      </c>
      <c r="D26" s="63" t="s">
        <v>47</v>
      </c>
      <c r="E26" s="63">
        <v>1268</v>
      </c>
      <c r="F26" s="63">
        <v>65459</v>
      </c>
      <c r="G26" s="67" t="s">
        <v>81</v>
      </c>
    </row>
    <row r="27" spans="2:7" x14ac:dyDescent="0.45">
      <c r="B27" s="66">
        <v>2022</v>
      </c>
      <c r="C27" s="63" t="s">
        <v>52</v>
      </c>
      <c r="D27" s="63" t="s">
        <v>48</v>
      </c>
      <c r="E27" s="63">
        <v>9432</v>
      </c>
      <c r="F27" s="63">
        <v>63047</v>
      </c>
      <c r="G27" s="67" t="s">
        <v>81</v>
      </c>
    </row>
    <row r="28" spans="2:7" x14ac:dyDescent="0.45">
      <c r="B28" s="66">
        <v>2022</v>
      </c>
      <c r="C28" s="63" t="s">
        <v>52</v>
      </c>
      <c r="D28" s="63" t="s">
        <v>49</v>
      </c>
      <c r="E28" s="63">
        <v>600</v>
      </c>
      <c r="F28" s="63">
        <v>72060</v>
      </c>
      <c r="G28" s="67" t="s">
        <v>82</v>
      </c>
    </row>
    <row r="29" spans="2:7" x14ac:dyDescent="0.45">
      <c r="B29" s="66">
        <v>2022</v>
      </c>
      <c r="C29" s="63" t="s">
        <v>53</v>
      </c>
      <c r="D29" s="63" t="s">
        <v>2</v>
      </c>
      <c r="E29" s="63">
        <v>32481</v>
      </c>
      <c r="F29" s="63">
        <v>46970</v>
      </c>
      <c r="G29" s="67" t="s">
        <v>82</v>
      </c>
    </row>
    <row r="30" spans="2:7" x14ac:dyDescent="0.45">
      <c r="B30" s="66">
        <v>2022</v>
      </c>
      <c r="C30" s="63" t="s">
        <v>53</v>
      </c>
      <c r="D30" s="63" t="s">
        <v>3</v>
      </c>
      <c r="E30" s="63">
        <v>31775</v>
      </c>
      <c r="F30" s="63">
        <v>51734</v>
      </c>
      <c r="G30" s="67" t="s">
        <v>81</v>
      </c>
    </row>
    <row r="31" spans="2:7" x14ac:dyDescent="0.45">
      <c r="B31" s="66">
        <v>2022</v>
      </c>
      <c r="C31" s="63" t="s">
        <v>53</v>
      </c>
      <c r="D31" s="63" t="s">
        <v>4</v>
      </c>
      <c r="E31" s="63">
        <v>21642</v>
      </c>
      <c r="F31" s="63">
        <v>46450</v>
      </c>
      <c r="G31" s="67" t="s">
        <v>81</v>
      </c>
    </row>
    <row r="32" spans="2:7" x14ac:dyDescent="0.45">
      <c r="B32" s="66">
        <v>2022</v>
      </c>
      <c r="C32" s="63" t="s">
        <v>53</v>
      </c>
      <c r="D32" s="63" t="s">
        <v>5</v>
      </c>
      <c r="E32" s="63">
        <v>196511</v>
      </c>
      <c r="F32" s="63">
        <v>57020</v>
      </c>
      <c r="G32" s="67" t="s">
        <v>82</v>
      </c>
    </row>
    <row r="33" spans="2:7" x14ac:dyDescent="0.45">
      <c r="B33" s="66">
        <v>2022</v>
      </c>
      <c r="C33" s="63" t="s">
        <v>53</v>
      </c>
      <c r="D33" s="63" t="s">
        <v>6</v>
      </c>
      <c r="E33" s="63">
        <v>35891</v>
      </c>
      <c r="F33" s="63">
        <v>55043</v>
      </c>
      <c r="G33" s="67" t="s">
        <v>81</v>
      </c>
    </row>
    <row r="34" spans="2:7" x14ac:dyDescent="0.45">
      <c r="B34" s="66">
        <v>2022</v>
      </c>
      <c r="C34" s="63" t="s">
        <v>53</v>
      </c>
      <c r="D34" s="63" t="s">
        <v>7</v>
      </c>
      <c r="E34" s="63">
        <v>24902</v>
      </c>
      <c r="F34" s="63">
        <v>56041</v>
      </c>
      <c r="G34" s="67" t="s">
        <v>82</v>
      </c>
    </row>
    <row r="35" spans="2:7" x14ac:dyDescent="0.45">
      <c r="B35" s="66">
        <v>2022</v>
      </c>
      <c r="C35" s="63" t="s">
        <v>53</v>
      </c>
      <c r="D35" s="63" t="s">
        <v>8</v>
      </c>
      <c r="E35" s="63">
        <v>6850</v>
      </c>
      <c r="F35" s="63">
        <v>45843</v>
      </c>
      <c r="G35" s="67" t="s">
        <v>81</v>
      </c>
    </row>
    <row r="36" spans="2:7" x14ac:dyDescent="0.45">
      <c r="B36" s="66">
        <v>2022</v>
      </c>
      <c r="C36" s="63" t="s">
        <v>53</v>
      </c>
      <c r="D36" s="63" t="s">
        <v>9</v>
      </c>
      <c r="E36" s="63">
        <v>139486</v>
      </c>
      <c r="F36" s="63">
        <v>49766</v>
      </c>
      <c r="G36" s="67" t="s">
        <v>81</v>
      </c>
    </row>
    <row r="37" spans="2:7" x14ac:dyDescent="0.45">
      <c r="B37" s="66">
        <v>2022</v>
      </c>
      <c r="C37" s="63" t="s">
        <v>53</v>
      </c>
      <c r="D37" s="63" t="s">
        <v>10</v>
      </c>
      <c r="E37" s="63">
        <v>60996</v>
      </c>
      <c r="F37" s="63">
        <v>54352</v>
      </c>
      <c r="G37" s="67" t="s">
        <v>82</v>
      </c>
    </row>
    <row r="38" spans="2:7" x14ac:dyDescent="0.45">
      <c r="B38" s="66">
        <v>2022</v>
      </c>
      <c r="C38" s="63" t="s">
        <v>53</v>
      </c>
      <c r="D38" s="63" t="s">
        <v>11</v>
      </c>
      <c r="E38" s="63">
        <v>11969</v>
      </c>
      <c r="F38" s="63">
        <v>44972</v>
      </c>
      <c r="G38" s="67" t="s">
        <v>82</v>
      </c>
    </row>
    <row r="39" spans="2:7" x14ac:dyDescent="0.45">
      <c r="B39" s="66">
        <v>2022</v>
      </c>
      <c r="C39" s="63" t="s">
        <v>53</v>
      </c>
      <c r="D39" s="63" t="s">
        <v>12</v>
      </c>
      <c r="E39" s="63">
        <v>78063</v>
      </c>
      <c r="F39" s="63">
        <v>56570</v>
      </c>
      <c r="G39" s="67" t="s">
        <v>81</v>
      </c>
    </row>
    <row r="40" spans="2:7" x14ac:dyDescent="0.45">
      <c r="B40" s="66">
        <v>2022</v>
      </c>
      <c r="C40" s="63" t="s">
        <v>53</v>
      </c>
      <c r="D40" s="63" t="s">
        <v>13</v>
      </c>
      <c r="E40" s="63">
        <v>40681</v>
      </c>
      <c r="F40" s="63">
        <v>47092</v>
      </c>
      <c r="G40" s="67" t="s">
        <v>81</v>
      </c>
    </row>
    <row r="41" spans="2:7" x14ac:dyDescent="0.45">
      <c r="B41" s="66">
        <v>2022</v>
      </c>
      <c r="C41" s="63" t="s">
        <v>53</v>
      </c>
      <c r="D41" s="63" t="s">
        <v>14</v>
      </c>
      <c r="E41" s="63">
        <v>23521</v>
      </c>
      <c r="F41" s="63">
        <v>45539</v>
      </c>
      <c r="G41" s="67" t="s">
        <v>82</v>
      </c>
    </row>
    <row r="42" spans="2:7" x14ac:dyDescent="0.45">
      <c r="B42" s="66">
        <v>2022</v>
      </c>
      <c r="C42" s="63" t="s">
        <v>53</v>
      </c>
      <c r="D42" s="63" t="s">
        <v>15</v>
      </c>
      <c r="E42" s="63">
        <v>20370</v>
      </c>
      <c r="F42" s="63">
        <v>47235</v>
      </c>
      <c r="G42" s="67" t="s">
        <v>82</v>
      </c>
    </row>
    <row r="43" spans="2:7" x14ac:dyDescent="0.45">
      <c r="B43" s="66">
        <v>2022</v>
      </c>
      <c r="C43" s="63" t="s">
        <v>53</v>
      </c>
      <c r="D43" s="63" t="s">
        <v>16</v>
      </c>
      <c r="E43" s="63">
        <v>28056</v>
      </c>
      <c r="F43" s="63">
        <v>47623</v>
      </c>
      <c r="G43" s="67" t="s">
        <v>82</v>
      </c>
    </row>
    <row r="44" spans="2:7" x14ac:dyDescent="0.45">
      <c r="B44" s="66">
        <v>2022</v>
      </c>
      <c r="C44" s="63" t="s">
        <v>53</v>
      </c>
      <c r="D44" s="63" t="s">
        <v>17</v>
      </c>
      <c r="E44" s="63">
        <v>30545</v>
      </c>
      <c r="F44" s="63">
        <v>47196</v>
      </c>
      <c r="G44" s="67" t="s">
        <v>82</v>
      </c>
    </row>
    <row r="45" spans="2:7" x14ac:dyDescent="0.45">
      <c r="B45" s="66">
        <v>2022</v>
      </c>
      <c r="C45" s="63" t="s">
        <v>53</v>
      </c>
      <c r="D45" s="63" t="s">
        <v>18</v>
      </c>
      <c r="E45" s="63">
        <v>10761</v>
      </c>
      <c r="F45" s="63">
        <v>42589</v>
      </c>
      <c r="G45" s="67" t="s">
        <v>82</v>
      </c>
    </row>
    <row r="46" spans="2:7" x14ac:dyDescent="0.45">
      <c r="B46" s="66">
        <v>2022</v>
      </c>
      <c r="C46" s="63" t="s">
        <v>53</v>
      </c>
      <c r="D46" s="63" t="s">
        <v>19</v>
      </c>
      <c r="E46" s="63">
        <v>32767</v>
      </c>
      <c r="F46" s="63">
        <v>51648</v>
      </c>
      <c r="G46" s="67" t="s">
        <v>81</v>
      </c>
    </row>
    <row r="47" spans="2:7" x14ac:dyDescent="0.45">
      <c r="B47" s="66">
        <v>2022</v>
      </c>
      <c r="C47" s="63" t="s">
        <v>53</v>
      </c>
      <c r="D47" s="63" t="s">
        <v>20</v>
      </c>
      <c r="E47" s="63">
        <v>42171</v>
      </c>
      <c r="F47" s="63">
        <v>57937</v>
      </c>
      <c r="G47" s="67" t="s">
        <v>81</v>
      </c>
    </row>
    <row r="48" spans="2:7" x14ac:dyDescent="0.45">
      <c r="B48" s="66">
        <v>2022</v>
      </c>
      <c r="C48" s="63" t="s">
        <v>53</v>
      </c>
      <c r="D48" s="63" t="s">
        <v>21</v>
      </c>
      <c r="E48" s="63">
        <v>52459</v>
      </c>
      <c r="F48" s="63">
        <v>52200</v>
      </c>
      <c r="G48" s="67" t="s">
        <v>82</v>
      </c>
    </row>
    <row r="49" spans="2:7" x14ac:dyDescent="0.45">
      <c r="B49" s="66">
        <v>2022</v>
      </c>
      <c r="C49" s="63" t="s">
        <v>53</v>
      </c>
      <c r="D49" s="63" t="s">
        <v>22</v>
      </c>
      <c r="E49" s="63">
        <v>37272</v>
      </c>
      <c r="F49" s="63">
        <v>54570</v>
      </c>
      <c r="G49" s="67" t="s">
        <v>81</v>
      </c>
    </row>
    <row r="50" spans="2:7" x14ac:dyDescent="0.45">
      <c r="B50" s="66">
        <v>2022</v>
      </c>
      <c r="C50" s="63" t="s">
        <v>53</v>
      </c>
      <c r="D50" s="63" t="s">
        <v>23</v>
      </c>
      <c r="E50" s="63">
        <v>19763</v>
      </c>
      <c r="F50" s="63">
        <v>41497</v>
      </c>
      <c r="G50" s="67" t="s">
        <v>81</v>
      </c>
    </row>
    <row r="51" spans="2:7" x14ac:dyDescent="0.45">
      <c r="B51" s="66">
        <v>2022</v>
      </c>
      <c r="C51" s="63" t="s">
        <v>53</v>
      </c>
      <c r="D51" s="63" t="s">
        <v>24</v>
      </c>
      <c r="E51" s="63">
        <v>38808</v>
      </c>
      <c r="F51" s="63">
        <v>47469</v>
      </c>
      <c r="G51" s="67" t="s">
        <v>82</v>
      </c>
    </row>
    <row r="52" spans="2:7" x14ac:dyDescent="0.45">
      <c r="B52" s="66">
        <v>2022</v>
      </c>
      <c r="C52" s="63" t="s">
        <v>53</v>
      </c>
      <c r="D52" s="63" t="s">
        <v>25</v>
      </c>
      <c r="E52" s="63">
        <v>9250</v>
      </c>
      <c r="F52" s="63">
        <v>44170</v>
      </c>
      <c r="G52" s="67" t="s">
        <v>82</v>
      </c>
    </row>
    <row r="53" spans="2:7" x14ac:dyDescent="0.45">
      <c r="B53" s="66">
        <v>2022</v>
      </c>
      <c r="C53" s="63" t="s">
        <v>53</v>
      </c>
      <c r="D53" s="63" t="s">
        <v>26</v>
      </c>
      <c r="E53" s="63">
        <v>14923</v>
      </c>
      <c r="F53" s="63">
        <v>44891</v>
      </c>
      <c r="G53" s="67" t="s">
        <v>81</v>
      </c>
    </row>
    <row r="54" spans="2:7" x14ac:dyDescent="0.45">
      <c r="B54" s="66">
        <v>2022</v>
      </c>
      <c r="C54" s="63" t="s">
        <v>53</v>
      </c>
      <c r="D54" s="63" t="s">
        <v>27</v>
      </c>
      <c r="E54" s="63">
        <v>15829</v>
      </c>
      <c r="F54" s="63">
        <v>49190</v>
      </c>
      <c r="G54" s="67" t="s">
        <v>81</v>
      </c>
    </row>
    <row r="55" spans="2:7" x14ac:dyDescent="0.45">
      <c r="B55" s="66">
        <v>2022</v>
      </c>
      <c r="C55" s="63" t="s">
        <v>53</v>
      </c>
      <c r="D55" s="63" t="s">
        <v>28</v>
      </c>
      <c r="E55" s="63">
        <v>12509</v>
      </c>
      <c r="F55" s="63">
        <v>52777</v>
      </c>
      <c r="G55" s="67" t="s">
        <v>82</v>
      </c>
    </row>
    <row r="56" spans="2:7" x14ac:dyDescent="0.45">
      <c r="B56" s="66">
        <v>2022</v>
      </c>
      <c r="C56" s="63" t="s">
        <v>53</v>
      </c>
      <c r="D56" s="63" t="s">
        <v>29</v>
      </c>
      <c r="E56" s="63">
        <v>54238</v>
      </c>
      <c r="F56" s="63">
        <v>58723</v>
      </c>
      <c r="G56" s="67" t="s">
        <v>81</v>
      </c>
    </row>
    <row r="57" spans="2:7" x14ac:dyDescent="0.45">
      <c r="B57" s="66">
        <v>2022</v>
      </c>
      <c r="C57" s="63" t="s">
        <v>53</v>
      </c>
      <c r="D57" s="63" t="s">
        <v>30</v>
      </c>
      <c r="E57" s="63">
        <v>10758</v>
      </c>
      <c r="F57" s="63">
        <v>43078</v>
      </c>
      <c r="G57" s="67" t="s">
        <v>82</v>
      </c>
    </row>
    <row r="58" spans="2:7" x14ac:dyDescent="0.45">
      <c r="B58" s="66">
        <v>2022</v>
      </c>
      <c r="C58" s="63" t="s">
        <v>53</v>
      </c>
      <c r="D58" s="63" t="s">
        <v>31</v>
      </c>
      <c r="E58" s="63">
        <v>123741</v>
      </c>
      <c r="F58" s="63">
        <v>56832</v>
      </c>
      <c r="G58" s="67" t="s">
        <v>81</v>
      </c>
    </row>
    <row r="59" spans="2:7" x14ac:dyDescent="0.45">
      <c r="B59" s="66">
        <v>2022</v>
      </c>
      <c r="C59" s="63" t="s">
        <v>53</v>
      </c>
      <c r="D59" s="63" t="s">
        <v>32</v>
      </c>
      <c r="E59" s="63">
        <v>61525</v>
      </c>
      <c r="F59" s="63">
        <v>48092</v>
      </c>
      <c r="G59" s="67" t="s">
        <v>81</v>
      </c>
    </row>
    <row r="60" spans="2:7" x14ac:dyDescent="0.45">
      <c r="B60" s="66">
        <v>2022</v>
      </c>
      <c r="C60" s="63" t="s">
        <v>53</v>
      </c>
      <c r="D60" s="63" t="s">
        <v>33</v>
      </c>
      <c r="E60" s="63">
        <v>7753</v>
      </c>
      <c r="F60" s="63">
        <v>54819</v>
      </c>
      <c r="G60" s="67" t="s">
        <v>82</v>
      </c>
    </row>
    <row r="61" spans="2:7" x14ac:dyDescent="0.45">
      <c r="B61" s="66">
        <v>2022</v>
      </c>
      <c r="C61" s="63" t="s">
        <v>53</v>
      </c>
      <c r="D61" s="63" t="s">
        <v>34</v>
      </c>
      <c r="E61" s="63">
        <v>68615</v>
      </c>
      <c r="F61" s="63">
        <v>49247</v>
      </c>
      <c r="G61" s="67" t="s">
        <v>82</v>
      </c>
    </row>
    <row r="62" spans="2:7" x14ac:dyDescent="0.45">
      <c r="B62" s="66">
        <v>2022</v>
      </c>
      <c r="C62" s="63" t="s">
        <v>53</v>
      </c>
      <c r="D62" s="63" t="s">
        <v>35</v>
      </c>
      <c r="E62" s="63">
        <v>23748</v>
      </c>
      <c r="F62" s="63">
        <v>46554</v>
      </c>
      <c r="G62" s="67" t="s">
        <v>81</v>
      </c>
    </row>
    <row r="63" spans="2:7" x14ac:dyDescent="0.45">
      <c r="B63" s="66">
        <v>2022</v>
      </c>
      <c r="C63" s="63" t="s">
        <v>53</v>
      </c>
      <c r="D63" s="63" t="s">
        <v>36</v>
      </c>
      <c r="E63" s="63">
        <v>26503</v>
      </c>
      <c r="F63" s="63">
        <v>49347</v>
      </c>
      <c r="G63" s="67" t="s">
        <v>81</v>
      </c>
    </row>
    <row r="64" spans="2:7" x14ac:dyDescent="0.45">
      <c r="B64" s="66">
        <v>2022</v>
      </c>
      <c r="C64" s="63" t="s">
        <v>53</v>
      </c>
      <c r="D64" s="63" t="s">
        <v>37</v>
      </c>
      <c r="E64" s="63">
        <v>74845</v>
      </c>
      <c r="F64" s="63">
        <v>50000</v>
      </c>
      <c r="G64" s="67" t="s">
        <v>82</v>
      </c>
    </row>
    <row r="65" spans="2:7" x14ac:dyDescent="0.45">
      <c r="B65" s="66">
        <v>2022</v>
      </c>
      <c r="C65" s="63" t="s">
        <v>53</v>
      </c>
      <c r="D65" s="63" t="s">
        <v>38</v>
      </c>
      <c r="E65" s="63">
        <v>7658</v>
      </c>
      <c r="F65" s="63">
        <v>48902</v>
      </c>
      <c r="G65" s="67" t="s">
        <v>82</v>
      </c>
    </row>
    <row r="66" spans="2:7" x14ac:dyDescent="0.45">
      <c r="B66" s="66">
        <v>2022</v>
      </c>
      <c r="C66" s="63" t="s">
        <v>53</v>
      </c>
      <c r="D66" s="63" t="s">
        <v>39</v>
      </c>
      <c r="E66" s="63">
        <v>30013</v>
      </c>
      <c r="F66" s="63">
        <v>44429</v>
      </c>
      <c r="G66" s="67" t="s">
        <v>82</v>
      </c>
    </row>
    <row r="67" spans="2:7" x14ac:dyDescent="0.45">
      <c r="B67" s="66">
        <v>2022</v>
      </c>
      <c r="C67" s="63" t="s">
        <v>53</v>
      </c>
      <c r="D67" s="63" t="s">
        <v>40</v>
      </c>
      <c r="E67" s="63">
        <v>8059</v>
      </c>
      <c r="F67" s="63">
        <v>44650</v>
      </c>
      <c r="G67" s="67" t="s">
        <v>82</v>
      </c>
    </row>
    <row r="68" spans="2:7" x14ac:dyDescent="0.45">
      <c r="B68" s="66">
        <v>2022</v>
      </c>
      <c r="C68" s="63" t="s">
        <v>53</v>
      </c>
      <c r="D68" s="63" t="s">
        <v>41</v>
      </c>
      <c r="E68" s="63">
        <v>40040</v>
      </c>
      <c r="F68" s="63">
        <v>51137</v>
      </c>
      <c r="G68" s="67" t="s">
        <v>82</v>
      </c>
    </row>
    <row r="69" spans="2:7" x14ac:dyDescent="0.45">
      <c r="B69" s="66">
        <v>2022</v>
      </c>
      <c r="C69" s="63" t="s">
        <v>53</v>
      </c>
      <c r="D69" s="63" t="s">
        <v>42</v>
      </c>
      <c r="E69" s="63">
        <v>147447</v>
      </c>
      <c r="F69" s="63">
        <v>57337</v>
      </c>
      <c r="G69" s="67" t="s">
        <v>81</v>
      </c>
    </row>
    <row r="70" spans="2:7" x14ac:dyDescent="0.45">
      <c r="B70" s="66">
        <v>2022</v>
      </c>
      <c r="C70" s="63" t="s">
        <v>53</v>
      </c>
      <c r="D70" s="63" t="s">
        <v>43</v>
      </c>
      <c r="E70" s="63">
        <v>19531</v>
      </c>
      <c r="F70" s="63">
        <v>49163</v>
      </c>
      <c r="G70" s="67" t="s">
        <v>81</v>
      </c>
    </row>
    <row r="71" spans="2:7" x14ac:dyDescent="0.45">
      <c r="B71" s="66">
        <v>2022</v>
      </c>
      <c r="C71" s="63" t="s">
        <v>53</v>
      </c>
      <c r="D71" s="63" t="s">
        <v>44</v>
      </c>
      <c r="E71" s="63">
        <v>5084</v>
      </c>
      <c r="F71" s="63">
        <v>45351</v>
      </c>
      <c r="G71" s="67" t="s">
        <v>82</v>
      </c>
    </row>
    <row r="72" spans="2:7" x14ac:dyDescent="0.45">
      <c r="B72" s="66">
        <v>2022</v>
      </c>
      <c r="C72" s="63" t="s">
        <v>53</v>
      </c>
      <c r="D72" s="63" t="s">
        <v>45</v>
      </c>
      <c r="E72" s="63">
        <v>43180</v>
      </c>
      <c r="F72" s="63">
        <v>48886</v>
      </c>
      <c r="G72" s="67" t="s">
        <v>81</v>
      </c>
    </row>
    <row r="73" spans="2:7" x14ac:dyDescent="0.45">
      <c r="B73" s="66">
        <v>2022</v>
      </c>
      <c r="C73" s="63" t="s">
        <v>53</v>
      </c>
      <c r="D73" s="63" t="s">
        <v>46</v>
      </c>
      <c r="E73" s="63">
        <v>39324</v>
      </c>
      <c r="F73" s="63">
        <v>68994</v>
      </c>
      <c r="G73" s="67" t="s">
        <v>81</v>
      </c>
    </row>
    <row r="74" spans="2:7" x14ac:dyDescent="0.45">
      <c r="B74" s="66">
        <v>2022</v>
      </c>
      <c r="C74" s="63" t="s">
        <v>53</v>
      </c>
      <c r="D74" s="63" t="s">
        <v>47</v>
      </c>
      <c r="E74" s="63">
        <v>10925</v>
      </c>
      <c r="F74" s="63">
        <v>43698</v>
      </c>
      <c r="G74" s="67" t="s">
        <v>82</v>
      </c>
    </row>
    <row r="75" spans="2:7" x14ac:dyDescent="0.45">
      <c r="B75" s="66">
        <v>2022</v>
      </c>
      <c r="C75" s="63" t="s">
        <v>53</v>
      </c>
      <c r="D75" s="63" t="s">
        <v>48</v>
      </c>
      <c r="E75" s="63">
        <v>36496</v>
      </c>
      <c r="F75" s="63">
        <v>46512</v>
      </c>
      <c r="G75" s="67" t="s">
        <v>82</v>
      </c>
    </row>
    <row r="76" spans="2:7" x14ac:dyDescent="0.45">
      <c r="B76" s="66">
        <v>2022</v>
      </c>
      <c r="C76" s="63" t="s">
        <v>53</v>
      </c>
      <c r="D76" s="63" t="s">
        <v>49</v>
      </c>
      <c r="E76" s="63">
        <v>4830</v>
      </c>
      <c r="F76" s="63">
        <v>47737</v>
      </c>
      <c r="G76" s="67" t="s">
        <v>81</v>
      </c>
    </row>
    <row r="77" spans="2:7" x14ac:dyDescent="0.45">
      <c r="B77" s="66">
        <v>2022</v>
      </c>
      <c r="C77" s="63" t="s">
        <v>54</v>
      </c>
      <c r="D77" s="63" t="s">
        <v>2</v>
      </c>
      <c r="E77" s="63">
        <v>2168</v>
      </c>
      <c r="F77" s="63">
        <v>65025</v>
      </c>
      <c r="G77" s="67" t="s">
        <v>81</v>
      </c>
    </row>
    <row r="78" spans="2:7" x14ac:dyDescent="0.45">
      <c r="B78" s="66">
        <v>2022</v>
      </c>
      <c r="C78" s="63" t="s">
        <v>54</v>
      </c>
      <c r="D78" s="63" t="s">
        <v>3</v>
      </c>
      <c r="E78" s="63">
        <v>3113</v>
      </c>
      <c r="F78" s="63">
        <v>80499</v>
      </c>
      <c r="G78" s="67" t="s">
        <v>82</v>
      </c>
    </row>
    <row r="79" spans="2:7" x14ac:dyDescent="0.45">
      <c r="B79" s="66">
        <v>2022</v>
      </c>
      <c r="C79" s="63" t="s">
        <v>54</v>
      </c>
      <c r="D79" s="63" t="s">
        <v>4</v>
      </c>
      <c r="E79" s="63">
        <v>1210</v>
      </c>
      <c r="F79" s="63">
        <v>58828</v>
      </c>
      <c r="G79" s="67" t="s">
        <v>81</v>
      </c>
    </row>
    <row r="80" spans="2:7" x14ac:dyDescent="0.45">
      <c r="B80" s="66">
        <v>2022</v>
      </c>
      <c r="C80" s="63" t="s">
        <v>54</v>
      </c>
      <c r="D80" s="63" t="s">
        <v>5</v>
      </c>
      <c r="E80" s="63">
        <v>26592</v>
      </c>
      <c r="F80" s="63">
        <v>193173</v>
      </c>
      <c r="G80" s="67" t="s">
        <v>82</v>
      </c>
    </row>
    <row r="81" spans="2:7" x14ac:dyDescent="0.45">
      <c r="B81" s="66">
        <v>2022</v>
      </c>
      <c r="C81" s="63" t="s">
        <v>54</v>
      </c>
      <c r="D81" s="63" t="s">
        <v>6</v>
      </c>
      <c r="E81" s="63">
        <v>4173</v>
      </c>
      <c r="F81" s="63">
        <v>105735</v>
      </c>
      <c r="G81" s="67" t="s">
        <v>81</v>
      </c>
    </row>
    <row r="82" spans="2:7" x14ac:dyDescent="0.45">
      <c r="B82" s="66">
        <v>2022</v>
      </c>
      <c r="C82" s="63" t="s">
        <v>54</v>
      </c>
      <c r="D82" s="63" t="s">
        <v>7</v>
      </c>
      <c r="E82" s="63">
        <v>2306</v>
      </c>
      <c r="F82" s="63">
        <v>115642</v>
      </c>
      <c r="G82" s="67" t="s">
        <v>81</v>
      </c>
    </row>
    <row r="83" spans="2:7" x14ac:dyDescent="0.45">
      <c r="B83" s="66">
        <v>2022</v>
      </c>
      <c r="C83" s="63" t="s">
        <v>54</v>
      </c>
      <c r="D83" s="63" t="s">
        <v>8</v>
      </c>
      <c r="E83" s="63">
        <v>433</v>
      </c>
      <c r="F83" s="63">
        <v>70782</v>
      </c>
      <c r="G83" s="67" t="s">
        <v>82</v>
      </c>
    </row>
    <row r="84" spans="2:7" x14ac:dyDescent="0.45">
      <c r="B84" s="66">
        <v>2022</v>
      </c>
      <c r="C84" s="63" t="s">
        <v>54</v>
      </c>
      <c r="D84" s="63" t="s">
        <v>9</v>
      </c>
      <c r="E84" s="63">
        <v>11205</v>
      </c>
      <c r="F84" s="63">
        <v>86168</v>
      </c>
      <c r="G84" s="67" t="s">
        <v>82</v>
      </c>
    </row>
    <row r="85" spans="2:7" x14ac:dyDescent="0.45">
      <c r="B85" s="66">
        <v>2022</v>
      </c>
      <c r="C85" s="63" t="s">
        <v>54</v>
      </c>
      <c r="D85" s="63" t="s">
        <v>10</v>
      </c>
      <c r="E85" s="63">
        <v>5113</v>
      </c>
      <c r="F85" s="63">
        <v>101613</v>
      </c>
      <c r="G85" s="67" t="s">
        <v>81</v>
      </c>
    </row>
    <row r="86" spans="2:7" x14ac:dyDescent="0.45">
      <c r="B86" s="66">
        <v>2022</v>
      </c>
      <c r="C86" s="63" t="s">
        <v>54</v>
      </c>
      <c r="D86" s="63" t="s">
        <v>11</v>
      </c>
      <c r="E86" s="63">
        <v>1223</v>
      </c>
      <c r="F86" s="63">
        <v>57761</v>
      </c>
      <c r="G86" s="67" t="s">
        <v>81</v>
      </c>
    </row>
    <row r="87" spans="2:7" x14ac:dyDescent="0.45">
      <c r="B87" s="66">
        <v>2022</v>
      </c>
      <c r="C87" s="63" t="s">
        <v>54</v>
      </c>
      <c r="D87" s="63" t="s">
        <v>12</v>
      </c>
      <c r="E87" s="63">
        <v>6688</v>
      </c>
      <c r="F87" s="63">
        <v>96164</v>
      </c>
      <c r="G87" s="67" t="s">
        <v>82</v>
      </c>
    </row>
    <row r="88" spans="2:7" x14ac:dyDescent="0.45">
      <c r="B88" s="66">
        <v>2022</v>
      </c>
      <c r="C88" s="63" t="s">
        <v>54</v>
      </c>
      <c r="D88" s="63" t="s">
        <v>13</v>
      </c>
      <c r="E88" s="63">
        <v>2123</v>
      </c>
      <c r="F88" s="63">
        <v>65371</v>
      </c>
      <c r="G88" s="67" t="s">
        <v>82</v>
      </c>
    </row>
    <row r="89" spans="2:7" x14ac:dyDescent="0.45">
      <c r="B89" s="66">
        <v>2022</v>
      </c>
      <c r="C89" s="63" t="s">
        <v>54</v>
      </c>
      <c r="D89" s="63" t="s">
        <v>14</v>
      </c>
      <c r="E89" s="63">
        <v>1742</v>
      </c>
      <c r="F89" s="63">
        <v>63519</v>
      </c>
      <c r="G89" s="67" t="s">
        <v>82</v>
      </c>
    </row>
    <row r="90" spans="2:7" x14ac:dyDescent="0.45">
      <c r="B90" s="66">
        <v>2022</v>
      </c>
      <c r="C90" s="63" t="s">
        <v>54</v>
      </c>
      <c r="D90" s="63" t="s">
        <v>15</v>
      </c>
      <c r="E90" s="63">
        <v>1308</v>
      </c>
      <c r="F90" s="63">
        <v>68399</v>
      </c>
      <c r="G90" s="67" t="s">
        <v>82</v>
      </c>
    </row>
    <row r="91" spans="2:7" x14ac:dyDescent="0.45">
      <c r="B91" s="66">
        <v>2022</v>
      </c>
      <c r="C91" s="63" t="s">
        <v>54</v>
      </c>
      <c r="D91" s="63" t="s">
        <v>16</v>
      </c>
      <c r="E91" s="63">
        <v>1785</v>
      </c>
      <c r="F91" s="63">
        <v>59629</v>
      </c>
      <c r="G91" s="67" t="s">
        <v>82</v>
      </c>
    </row>
    <row r="92" spans="2:7" x14ac:dyDescent="0.45">
      <c r="B92" s="66">
        <v>2022</v>
      </c>
      <c r="C92" s="63" t="s">
        <v>54</v>
      </c>
      <c r="D92" s="63" t="s">
        <v>17</v>
      </c>
      <c r="E92" s="63">
        <v>1716</v>
      </c>
      <c r="F92" s="63">
        <v>63223</v>
      </c>
      <c r="G92" s="67" t="s">
        <v>81</v>
      </c>
    </row>
    <row r="93" spans="2:7" x14ac:dyDescent="0.45">
      <c r="B93" s="66">
        <v>2022</v>
      </c>
      <c r="C93" s="63" t="s">
        <v>54</v>
      </c>
      <c r="D93" s="63" t="s">
        <v>18</v>
      </c>
      <c r="E93" s="63">
        <v>849</v>
      </c>
      <c r="F93" s="63">
        <v>59502</v>
      </c>
      <c r="G93" s="67" t="s">
        <v>81</v>
      </c>
    </row>
    <row r="94" spans="2:7" x14ac:dyDescent="0.45">
      <c r="B94" s="66">
        <v>2022</v>
      </c>
      <c r="C94" s="63" t="s">
        <v>54</v>
      </c>
      <c r="D94" s="63" t="s">
        <v>19</v>
      </c>
      <c r="E94" s="63">
        <v>2737</v>
      </c>
      <c r="F94" s="63">
        <v>97844</v>
      </c>
      <c r="G94" s="67" t="s">
        <v>82</v>
      </c>
    </row>
    <row r="95" spans="2:7" x14ac:dyDescent="0.45">
      <c r="B95" s="66">
        <v>2022</v>
      </c>
      <c r="C95" s="63" t="s">
        <v>54</v>
      </c>
      <c r="D95" s="63" t="s">
        <v>20</v>
      </c>
      <c r="E95" s="63">
        <v>5379</v>
      </c>
      <c r="F95" s="63">
        <v>128118</v>
      </c>
      <c r="G95" s="67" t="s">
        <v>81</v>
      </c>
    </row>
    <row r="96" spans="2:7" x14ac:dyDescent="0.45">
      <c r="B96" s="66">
        <v>2022</v>
      </c>
      <c r="C96" s="63" t="s">
        <v>54</v>
      </c>
      <c r="D96" s="63" t="s">
        <v>21</v>
      </c>
      <c r="E96" s="63">
        <v>6287</v>
      </c>
      <c r="F96" s="63">
        <v>78556</v>
      </c>
      <c r="G96" s="67" t="s">
        <v>81</v>
      </c>
    </row>
    <row r="97" spans="2:7" x14ac:dyDescent="0.45">
      <c r="B97" s="66">
        <v>2022</v>
      </c>
      <c r="C97" s="63" t="s">
        <v>54</v>
      </c>
      <c r="D97" s="63" t="s">
        <v>22</v>
      </c>
      <c r="E97" s="63">
        <v>3977</v>
      </c>
      <c r="F97" s="63">
        <v>83903</v>
      </c>
      <c r="G97" s="67" t="s">
        <v>82</v>
      </c>
    </row>
    <row r="98" spans="2:7" x14ac:dyDescent="0.45">
      <c r="B98" s="66">
        <v>2022</v>
      </c>
      <c r="C98" s="63" t="s">
        <v>54</v>
      </c>
      <c r="D98" s="63" t="s">
        <v>23</v>
      </c>
      <c r="E98" s="63">
        <v>940</v>
      </c>
      <c r="F98" s="63">
        <v>54173</v>
      </c>
      <c r="G98" s="67" t="s">
        <v>82</v>
      </c>
    </row>
    <row r="99" spans="2:7" x14ac:dyDescent="0.45">
      <c r="B99" s="66">
        <v>2022</v>
      </c>
      <c r="C99" s="63" t="s">
        <v>54</v>
      </c>
      <c r="D99" s="63" t="s">
        <v>24</v>
      </c>
      <c r="E99" s="63">
        <v>3049</v>
      </c>
      <c r="F99" s="63">
        <v>86842</v>
      </c>
      <c r="G99" s="67" t="s">
        <v>81</v>
      </c>
    </row>
    <row r="100" spans="2:7" x14ac:dyDescent="0.45">
      <c r="B100" s="66">
        <v>2022</v>
      </c>
      <c r="C100" s="63" t="s">
        <v>54</v>
      </c>
      <c r="D100" s="63" t="s">
        <v>25</v>
      </c>
      <c r="E100" s="63">
        <v>801</v>
      </c>
      <c r="F100" s="63">
        <v>59475</v>
      </c>
      <c r="G100" s="67" t="s">
        <v>81</v>
      </c>
    </row>
    <row r="101" spans="2:7" x14ac:dyDescent="0.45">
      <c r="B101" s="66">
        <v>2022</v>
      </c>
      <c r="C101" s="63" t="s">
        <v>54</v>
      </c>
      <c r="D101" s="63" t="s">
        <v>26</v>
      </c>
      <c r="E101" s="63">
        <v>973</v>
      </c>
      <c r="F101" s="63">
        <v>69407</v>
      </c>
      <c r="G101" s="67" t="s">
        <v>82</v>
      </c>
    </row>
    <row r="102" spans="2:7" x14ac:dyDescent="0.45">
      <c r="B102" s="66">
        <v>2022</v>
      </c>
      <c r="C102" s="63" t="s">
        <v>54</v>
      </c>
      <c r="D102" s="63" t="s">
        <v>27</v>
      </c>
      <c r="E102" s="63">
        <v>1541</v>
      </c>
      <c r="F102" s="63">
        <v>75292</v>
      </c>
      <c r="G102" s="67" t="s">
        <v>81</v>
      </c>
    </row>
    <row r="103" spans="2:7" x14ac:dyDescent="0.45">
      <c r="B103" s="66">
        <v>2022</v>
      </c>
      <c r="C103" s="63" t="s">
        <v>56</v>
      </c>
      <c r="D103" s="63" t="s">
        <v>5</v>
      </c>
      <c r="E103" s="63">
        <v>5876</v>
      </c>
      <c r="F103" s="63">
        <v>68709</v>
      </c>
      <c r="G103" s="67" t="s">
        <v>82</v>
      </c>
    </row>
    <row r="104" spans="2:7" x14ac:dyDescent="0.45">
      <c r="B104" s="66">
        <v>2022</v>
      </c>
      <c r="C104" s="63" t="s">
        <v>56</v>
      </c>
      <c r="D104" s="63" t="s">
        <v>78</v>
      </c>
      <c r="E104" s="63">
        <v>32595</v>
      </c>
      <c r="F104" s="63">
        <v>71460</v>
      </c>
      <c r="G104" s="67" t="s">
        <v>81</v>
      </c>
    </row>
    <row r="105" spans="2:7" x14ac:dyDescent="0.45">
      <c r="B105" s="66">
        <v>2022</v>
      </c>
      <c r="C105" s="63" t="s">
        <v>56</v>
      </c>
      <c r="D105" s="63" t="s">
        <v>42</v>
      </c>
      <c r="E105" s="63">
        <v>146639</v>
      </c>
      <c r="F105" s="63">
        <v>86123</v>
      </c>
      <c r="G105" s="67" t="s">
        <v>81</v>
      </c>
    </row>
    <row r="106" spans="2:7" x14ac:dyDescent="0.45">
      <c r="B106" s="66">
        <v>2022</v>
      </c>
      <c r="C106" s="63" t="s">
        <v>56</v>
      </c>
      <c r="D106" s="63" t="s">
        <v>5</v>
      </c>
      <c r="E106" s="63">
        <v>25941</v>
      </c>
      <c r="F106" s="63">
        <v>73355</v>
      </c>
      <c r="G106" s="67" t="s">
        <v>82</v>
      </c>
    </row>
    <row r="107" spans="2:7" x14ac:dyDescent="0.45">
      <c r="B107" s="66">
        <v>2022</v>
      </c>
      <c r="C107" s="63" t="s">
        <v>56</v>
      </c>
      <c r="D107" s="63" t="s">
        <v>78</v>
      </c>
      <c r="E107" s="63">
        <v>6346</v>
      </c>
      <c r="F107" s="63">
        <v>79442</v>
      </c>
      <c r="G107" s="67" t="s">
        <v>82</v>
      </c>
    </row>
    <row r="108" spans="2:7" x14ac:dyDescent="0.45">
      <c r="B108" s="66">
        <v>2022</v>
      </c>
      <c r="C108" s="63" t="s">
        <v>56</v>
      </c>
      <c r="D108" s="63" t="s">
        <v>42</v>
      </c>
      <c r="E108" s="63">
        <v>60099</v>
      </c>
      <c r="F108" s="63">
        <v>101046</v>
      </c>
      <c r="G108" s="67" t="s">
        <v>81</v>
      </c>
    </row>
    <row r="109" spans="2:7" x14ac:dyDescent="0.45">
      <c r="B109" s="66">
        <v>2022</v>
      </c>
      <c r="C109" s="63" t="s">
        <v>56</v>
      </c>
      <c r="D109" s="63" t="s">
        <v>5</v>
      </c>
      <c r="E109" s="63">
        <v>43094</v>
      </c>
      <c r="F109" s="63">
        <v>97279</v>
      </c>
      <c r="G109" s="67" t="s">
        <v>81</v>
      </c>
    </row>
    <row r="110" spans="2:7" x14ac:dyDescent="0.45">
      <c r="B110" s="66">
        <v>2022</v>
      </c>
      <c r="C110" s="63" t="s">
        <v>56</v>
      </c>
      <c r="D110" s="63" t="s">
        <v>78</v>
      </c>
      <c r="E110" s="63">
        <v>8599</v>
      </c>
      <c r="F110" s="63">
        <v>58557</v>
      </c>
      <c r="G110" s="67" t="s">
        <v>82</v>
      </c>
    </row>
    <row r="111" spans="2:7" x14ac:dyDescent="0.45">
      <c r="B111" s="66">
        <v>2022</v>
      </c>
      <c r="C111" s="63" t="s">
        <v>56</v>
      </c>
      <c r="D111" s="63" t="s">
        <v>42</v>
      </c>
      <c r="E111" s="63">
        <v>27048</v>
      </c>
      <c r="F111" s="63">
        <v>72254</v>
      </c>
      <c r="G111" s="67" t="s">
        <v>82</v>
      </c>
    </row>
    <row r="112" spans="2:7" x14ac:dyDescent="0.45">
      <c r="B112" s="66">
        <v>2022</v>
      </c>
      <c r="C112" s="63" t="s">
        <v>56</v>
      </c>
      <c r="D112" s="63" t="s">
        <v>5</v>
      </c>
      <c r="E112" s="63">
        <v>4986</v>
      </c>
      <c r="F112" s="63">
        <v>65233</v>
      </c>
      <c r="G112" s="67" t="s">
        <v>82</v>
      </c>
    </row>
    <row r="113" spans="2:7" x14ac:dyDescent="0.45">
      <c r="B113" s="66">
        <v>2022</v>
      </c>
      <c r="C113" s="63" t="s">
        <v>57</v>
      </c>
      <c r="D113" s="63" t="s">
        <v>78</v>
      </c>
      <c r="E113" s="63">
        <v>15859</v>
      </c>
      <c r="F113" s="63">
        <v>56193</v>
      </c>
      <c r="G113" s="67" t="s">
        <v>82</v>
      </c>
    </row>
    <row r="114" spans="2:7" x14ac:dyDescent="0.45">
      <c r="B114" s="66">
        <v>2022</v>
      </c>
      <c r="C114" s="63" t="s">
        <v>57</v>
      </c>
      <c r="D114" s="63" t="s">
        <v>42</v>
      </c>
      <c r="E114" s="63">
        <v>20727</v>
      </c>
      <c r="F114" s="63">
        <v>61159</v>
      </c>
      <c r="G114" s="67" t="s">
        <v>82</v>
      </c>
    </row>
    <row r="115" spans="2:7" x14ac:dyDescent="0.45">
      <c r="B115" s="66">
        <v>2022</v>
      </c>
      <c r="C115" s="63" t="s">
        <v>57</v>
      </c>
      <c r="D115" s="63" t="s">
        <v>5</v>
      </c>
      <c r="E115" s="63">
        <v>15656</v>
      </c>
      <c r="F115" s="63">
        <v>52435</v>
      </c>
      <c r="G115" s="67" t="s">
        <v>81</v>
      </c>
    </row>
    <row r="116" spans="2:7" x14ac:dyDescent="0.45">
      <c r="B116" s="66">
        <v>2022</v>
      </c>
      <c r="C116" s="63" t="s">
        <v>57</v>
      </c>
      <c r="D116" s="63" t="s">
        <v>78</v>
      </c>
      <c r="E116" s="63">
        <v>656765</v>
      </c>
      <c r="F116" s="63">
        <v>62668</v>
      </c>
      <c r="G116" s="67" t="s">
        <v>81</v>
      </c>
    </row>
    <row r="117" spans="2:7" x14ac:dyDescent="0.45">
      <c r="B117" s="66">
        <v>2022</v>
      </c>
      <c r="C117" s="63" t="s">
        <v>57</v>
      </c>
      <c r="D117" s="63" t="s">
        <v>42</v>
      </c>
      <c r="E117" s="63">
        <v>23475</v>
      </c>
      <c r="F117" s="63">
        <v>60198</v>
      </c>
      <c r="G117" s="67" t="s">
        <v>82</v>
      </c>
    </row>
    <row r="118" spans="2:7" x14ac:dyDescent="0.45">
      <c r="B118" s="66">
        <v>2022</v>
      </c>
      <c r="C118" s="63" t="s">
        <v>57</v>
      </c>
      <c r="D118" s="63" t="s">
        <v>5</v>
      </c>
      <c r="E118" s="63">
        <v>19964</v>
      </c>
      <c r="F118" s="63">
        <v>66215</v>
      </c>
      <c r="G118" s="67" t="s">
        <v>81</v>
      </c>
    </row>
    <row r="119" spans="2:7" x14ac:dyDescent="0.45">
      <c r="B119" s="66">
        <v>2022</v>
      </c>
      <c r="C119" s="63" t="s">
        <v>57</v>
      </c>
      <c r="D119" s="63" t="s">
        <v>78</v>
      </c>
      <c r="E119" s="63">
        <v>5522</v>
      </c>
      <c r="F119" s="63">
        <v>62470</v>
      </c>
      <c r="G119" s="67" t="s">
        <v>81</v>
      </c>
    </row>
    <row r="120" spans="2:7" x14ac:dyDescent="0.45">
      <c r="B120" s="66">
        <v>2022</v>
      </c>
      <c r="C120" s="63" t="s">
        <v>57</v>
      </c>
      <c r="D120" s="63" t="s">
        <v>42</v>
      </c>
      <c r="E120" s="63">
        <v>85058</v>
      </c>
      <c r="F120" s="63">
        <v>60114</v>
      </c>
      <c r="G120" s="67" t="s">
        <v>82</v>
      </c>
    </row>
    <row r="121" spans="2:7" x14ac:dyDescent="0.45">
      <c r="B121" s="66">
        <v>2022</v>
      </c>
      <c r="C121" s="63" t="s">
        <v>57</v>
      </c>
      <c r="D121" s="63" t="s">
        <v>5</v>
      </c>
      <c r="E121" s="63">
        <v>31842</v>
      </c>
      <c r="F121" s="63">
        <v>62141</v>
      </c>
      <c r="G121" s="67" t="s">
        <v>82</v>
      </c>
    </row>
    <row r="122" spans="2:7" x14ac:dyDescent="0.45">
      <c r="B122" s="66">
        <v>2022</v>
      </c>
      <c r="C122" s="63" t="s">
        <v>57</v>
      </c>
      <c r="D122" s="63" t="s">
        <v>78</v>
      </c>
      <c r="E122" s="63">
        <v>9128</v>
      </c>
      <c r="F122" s="63">
        <v>50479</v>
      </c>
      <c r="G122" s="67" t="s">
        <v>81</v>
      </c>
    </row>
    <row r="123" spans="2:7" x14ac:dyDescent="0.45">
      <c r="B123" s="66">
        <v>2022</v>
      </c>
      <c r="C123" s="63" t="s">
        <v>57</v>
      </c>
      <c r="D123" s="63" t="s">
        <v>42</v>
      </c>
      <c r="E123" s="63">
        <v>39684</v>
      </c>
      <c r="F123" s="63">
        <v>60678</v>
      </c>
      <c r="G123" s="67" t="s">
        <v>81</v>
      </c>
    </row>
    <row r="124" spans="2:7" x14ac:dyDescent="0.45">
      <c r="B124" s="66">
        <v>2022</v>
      </c>
      <c r="C124" s="63" t="s">
        <v>57</v>
      </c>
      <c r="D124" s="63" t="s">
        <v>5</v>
      </c>
      <c r="E124" s="63">
        <v>16899</v>
      </c>
      <c r="F124" s="63">
        <v>57802</v>
      </c>
      <c r="G124" s="67" t="s">
        <v>82</v>
      </c>
    </row>
    <row r="125" spans="2:7" x14ac:dyDescent="0.45">
      <c r="B125" s="66">
        <v>2022</v>
      </c>
      <c r="C125" s="63" t="s">
        <v>57</v>
      </c>
      <c r="D125" s="63" t="s">
        <v>14</v>
      </c>
      <c r="E125" s="63">
        <v>13294</v>
      </c>
      <c r="F125" s="63">
        <v>52222</v>
      </c>
      <c r="G125" s="67" t="s">
        <v>81</v>
      </c>
    </row>
    <row r="126" spans="2:7" x14ac:dyDescent="0.45">
      <c r="B126" s="66">
        <v>2022</v>
      </c>
      <c r="C126" s="63" t="s">
        <v>57</v>
      </c>
      <c r="D126" s="63" t="s">
        <v>15</v>
      </c>
      <c r="E126" s="63">
        <v>10330</v>
      </c>
      <c r="F126" s="63">
        <v>53486</v>
      </c>
      <c r="G126" s="67" t="s">
        <v>82</v>
      </c>
    </row>
    <row r="127" spans="2:7" x14ac:dyDescent="0.45">
      <c r="B127" s="66">
        <v>2022</v>
      </c>
      <c r="C127" s="63" t="s">
        <v>57</v>
      </c>
      <c r="D127" s="63" t="s">
        <v>16</v>
      </c>
      <c r="E127" s="63">
        <v>20809</v>
      </c>
      <c r="F127" s="63">
        <v>57098</v>
      </c>
      <c r="G127" s="67" t="s">
        <v>81</v>
      </c>
    </row>
    <row r="128" spans="2:7" x14ac:dyDescent="0.45">
      <c r="B128" s="66">
        <v>2022</v>
      </c>
      <c r="C128" s="63" t="s">
        <v>57</v>
      </c>
      <c r="D128" s="63" t="s">
        <v>17</v>
      </c>
      <c r="E128" s="63">
        <v>16834</v>
      </c>
      <c r="F128" s="63">
        <v>53222</v>
      </c>
      <c r="G128" s="67" t="s">
        <v>81</v>
      </c>
    </row>
    <row r="129" spans="2:7" x14ac:dyDescent="0.45">
      <c r="B129" s="66">
        <v>2022</v>
      </c>
      <c r="C129" s="63" t="s">
        <v>57</v>
      </c>
      <c r="D129" s="63" t="s">
        <v>18</v>
      </c>
      <c r="E129" s="63">
        <v>5591</v>
      </c>
      <c r="F129" s="63">
        <v>58739</v>
      </c>
      <c r="G129" s="67" t="s">
        <v>82</v>
      </c>
    </row>
    <row r="130" spans="2:7" x14ac:dyDescent="0.45">
      <c r="B130" s="66">
        <v>2022</v>
      </c>
      <c r="C130" s="63" t="s">
        <v>57</v>
      </c>
      <c r="D130" s="63" t="s">
        <v>19</v>
      </c>
      <c r="E130" s="63">
        <v>21505</v>
      </c>
      <c r="F130" s="63">
        <v>64854</v>
      </c>
      <c r="G130" s="67" t="s">
        <v>82</v>
      </c>
    </row>
    <row r="131" spans="2:7" x14ac:dyDescent="0.45">
      <c r="B131" s="66">
        <v>2022</v>
      </c>
      <c r="C131" s="63" t="s">
        <v>50</v>
      </c>
      <c r="D131" s="63" t="s">
        <v>2</v>
      </c>
      <c r="E131" s="63">
        <v>1829</v>
      </c>
      <c r="F131" s="63">
        <v>63872</v>
      </c>
      <c r="G131" s="67" t="s">
        <v>81</v>
      </c>
    </row>
    <row r="132" spans="2:7" x14ac:dyDescent="0.45">
      <c r="B132" s="66">
        <v>2022</v>
      </c>
      <c r="C132" s="63" t="s">
        <v>50</v>
      </c>
      <c r="D132" s="63" t="s">
        <v>3</v>
      </c>
      <c r="E132" s="63">
        <v>1354</v>
      </c>
      <c r="F132" s="63">
        <v>60216</v>
      </c>
      <c r="G132" s="67" t="s">
        <v>82</v>
      </c>
    </row>
    <row r="133" spans="2:7" x14ac:dyDescent="0.45">
      <c r="B133" s="66">
        <v>2022</v>
      </c>
      <c r="C133" s="63" t="s">
        <v>50</v>
      </c>
      <c r="D133" s="63" t="s">
        <v>4</v>
      </c>
      <c r="E133" s="63">
        <v>2565</v>
      </c>
      <c r="F133" s="63">
        <v>54909</v>
      </c>
      <c r="G133" s="67" t="s">
        <v>81</v>
      </c>
    </row>
    <row r="134" spans="2:7" x14ac:dyDescent="0.45">
      <c r="B134" s="66">
        <v>2022</v>
      </c>
      <c r="C134" s="63" t="s">
        <v>50</v>
      </c>
      <c r="D134" s="63" t="s">
        <v>5</v>
      </c>
      <c r="E134" s="63">
        <v>17651</v>
      </c>
      <c r="F134" s="63">
        <v>47534</v>
      </c>
      <c r="G134" s="67" t="s">
        <v>81</v>
      </c>
    </row>
    <row r="135" spans="2:7" x14ac:dyDescent="0.45">
      <c r="B135" s="66">
        <v>2022</v>
      </c>
      <c r="C135" s="63" t="s">
        <v>50</v>
      </c>
      <c r="D135" s="63" t="s">
        <v>6</v>
      </c>
      <c r="E135" s="63">
        <v>3312</v>
      </c>
      <c r="F135" s="63">
        <v>96879</v>
      </c>
      <c r="G135" s="67" t="s">
        <v>82</v>
      </c>
    </row>
    <row r="136" spans="2:7" x14ac:dyDescent="0.45">
      <c r="B136" s="66">
        <v>2022</v>
      </c>
      <c r="C136" s="63" t="s">
        <v>50</v>
      </c>
      <c r="D136" s="63" t="s">
        <v>7</v>
      </c>
      <c r="E136" s="63">
        <v>467</v>
      </c>
      <c r="F136" s="63">
        <v>48142</v>
      </c>
      <c r="G136" s="67" t="s">
        <v>82</v>
      </c>
    </row>
    <row r="137" spans="2:7" x14ac:dyDescent="0.45">
      <c r="B137" s="66">
        <v>2022</v>
      </c>
      <c r="C137" s="63" t="s">
        <v>50</v>
      </c>
      <c r="D137" s="63" t="s">
        <v>8</v>
      </c>
      <c r="E137" s="63">
        <v>186</v>
      </c>
      <c r="F137" s="63">
        <v>48290</v>
      </c>
      <c r="G137" s="67" t="s">
        <v>81</v>
      </c>
    </row>
    <row r="138" spans="2:7" x14ac:dyDescent="0.45">
      <c r="B138" s="66">
        <v>2022</v>
      </c>
      <c r="C138" s="63" t="s">
        <v>50</v>
      </c>
      <c r="D138" s="63" t="s">
        <v>9</v>
      </c>
      <c r="E138" s="63">
        <v>5394</v>
      </c>
      <c r="F138" s="63">
        <v>42717</v>
      </c>
      <c r="G138" s="67" t="s">
        <v>81</v>
      </c>
    </row>
    <row r="139" spans="2:7" x14ac:dyDescent="0.45">
      <c r="B139" s="66">
        <v>2022</v>
      </c>
      <c r="C139" s="63" t="s">
        <v>50</v>
      </c>
      <c r="D139" s="63" t="s">
        <v>10</v>
      </c>
      <c r="E139" s="63">
        <v>2794</v>
      </c>
      <c r="F139" s="63">
        <v>50978</v>
      </c>
      <c r="G139" s="67" t="s">
        <v>82</v>
      </c>
    </row>
    <row r="140" spans="2:7" x14ac:dyDescent="0.45">
      <c r="B140" s="66">
        <v>2022</v>
      </c>
      <c r="C140" s="63" t="s">
        <v>50</v>
      </c>
      <c r="D140" s="63" t="s">
        <v>11</v>
      </c>
      <c r="E140" s="63">
        <v>2531</v>
      </c>
      <c r="F140" s="63">
        <v>47820</v>
      </c>
      <c r="G140" s="67" t="s">
        <v>82</v>
      </c>
    </row>
    <row r="141" spans="2:7" x14ac:dyDescent="0.45">
      <c r="B141" s="66">
        <v>2022</v>
      </c>
      <c r="C141" s="63" t="s">
        <v>50</v>
      </c>
      <c r="D141" s="63" t="s">
        <v>12</v>
      </c>
      <c r="E141" s="63">
        <v>2818</v>
      </c>
      <c r="F141" s="63">
        <v>57259</v>
      </c>
      <c r="G141" s="67" t="s">
        <v>82</v>
      </c>
    </row>
    <row r="142" spans="2:7" x14ac:dyDescent="0.45">
      <c r="B142" s="66">
        <v>2022</v>
      </c>
      <c r="C142" s="63" t="s">
        <v>50</v>
      </c>
      <c r="D142" s="63" t="s">
        <v>13</v>
      </c>
      <c r="E142" s="63">
        <v>2302</v>
      </c>
      <c r="F142" s="63">
        <v>55732</v>
      </c>
      <c r="G142" s="67" t="s">
        <v>82</v>
      </c>
    </row>
    <row r="143" spans="2:7" x14ac:dyDescent="0.45">
      <c r="B143" s="66">
        <v>2022</v>
      </c>
      <c r="C143" s="63" t="s">
        <v>50</v>
      </c>
      <c r="D143" s="63" t="s">
        <v>14</v>
      </c>
      <c r="E143" s="63">
        <v>2911</v>
      </c>
      <c r="F143" s="63">
        <v>50588</v>
      </c>
      <c r="G143" s="67" t="s">
        <v>82</v>
      </c>
    </row>
    <row r="144" spans="2:7" x14ac:dyDescent="0.45">
      <c r="B144" s="66">
        <v>2022</v>
      </c>
      <c r="C144" s="63" t="s">
        <v>50</v>
      </c>
      <c r="D144" s="63" t="s">
        <v>15</v>
      </c>
      <c r="E144" s="63">
        <v>2613</v>
      </c>
      <c r="F144" s="63">
        <v>52721</v>
      </c>
      <c r="G144" s="67" t="s">
        <v>82</v>
      </c>
    </row>
    <row r="145" spans="2:7" x14ac:dyDescent="0.45">
      <c r="B145" s="66">
        <v>2022</v>
      </c>
      <c r="C145" s="63" t="s">
        <v>50</v>
      </c>
      <c r="D145" s="63" t="s">
        <v>16</v>
      </c>
      <c r="E145" s="63">
        <v>1632</v>
      </c>
      <c r="F145" s="63">
        <v>59605</v>
      </c>
      <c r="G145" s="67" t="s">
        <v>82</v>
      </c>
    </row>
    <row r="146" spans="2:7" x14ac:dyDescent="0.45">
      <c r="B146" s="66">
        <v>2022</v>
      </c>
      <c r="C146" s="63" t="s">
        <v>50</v>
      </c>
      <c r="D146" s="63" t="s">
        <v>17</v>
      </c>
      <c r="E146" s="63">
        <v>3143</v>
      </c>
      <c r="F146" s="63">
        <v>91727</v>
      </c>
      <c r="G146" s="67" t="s">
        <v>82</v>
      </c>
    </row>
    <row r="147" spans="2:7" x14ac:dyDescent="0.45">
      <c r="B147" s="66">
        <v>2022</v>
      </c>
      <c r="C147" s="63" t="s">
        <v>50</v>
      </c>
      <c r="D147" s="63" t="s">
        <v>18</v>
      </c>
      <c r="E147" s="63">
        <v>1581</v>
      </c>
      <c r="F147" s="63">
        <v>46422</v>
      </c>
      <c r="G147" s="67" t="s">
        <v>82</v>
      </c>
    </row>
    <row r="148" spans="2:7" x14ac:dyDescent="0.45">
      <c r="B148" s="66">
        <v>2022</v>
      </c>
      <c r="C148" s="63" t="s">
        <v>50</v>
      </c>
      <c r="D148" s="63" t="s">
        <v>19</v>
      </c>
      <c r="E148" s="63">
        <v>720</v>
      </c>
      <c r="F148" s="63">
        <v>51887</v>
      </c>
      <c r="G148" s="67" t="s">
        <v>82</v>
      </c>
    </row>
    <row r="149" spans="2:7" x14ac:dyDescent="0.45">
      <c r="B149" s="66">
        <v>2022</v>
      </c>
      <c r="C149" s="63" t="s">
        <v>50</v>
      </c>
      <c r="D149" s="63" t="s">
        <v>20</v>
      </c>
      <c r="E149" s="63">
        <v>999</v>
      </c>
      <c r="F149" s="63">
        <v>69628</v>
      </c>
      <c r="G149" s="67" t="s">
        <v>82</v>
      </c>
    </row>
    <row r="150" spans="2:7" x14ac:dyDescent="0.45">
      <c r="B150" s="66">
        <v>2022</v>
      </c>
      <c r="C150" s="63" t="s">
        <v>50</v>
      </c>
      <c r="D150" s="63" t="s">
        <v>21</v>
      </c>
      <c r="E150" s="63">
        <v>3574</v>
      </c>
      <c r="F150" s="63">
        <v>48309</v>
      </c>
      <c r="G150" s="67" t="s">
        <v>82</v>
      </c>
    </row>
    <row r="151" spans="2:7" x14ac:dyDescent="0.45">
      <c r="B151" s="66">
        <v>2022</v>
      </c>
      <c r="C151" s="63" t="s">
        <v>50</v>
      </c>
      <c r="D151" s="63" t="s">
        <v>22</v>
      </c>
      <c r="E151" s="63">
        <v>3175</v>
      </c>
      <c r="F151" s="63">
        <v>56276</v>
      </c>
      <c r="G151" s="67" t="s">
        <v>82</v>
      </c>
    </row>
    <row r="152" spans="2:7" x14ac:dyDescent="0.45">
      <c r="B152" s="66">
        <v>2022</v>
      </c>
      <c r="C152" s="63" t="s">
        <v>50</v>
      </c>
      <c r="D152" s="63" t="s">
        <v>23</v>
      </c>
      <c r="E152" s="63">
        <v>2070</v>
      </c>
      <c r="F152" s="63">
        <v>55525</v>
      </c>
      <c r="G152" s="67" t="s">
        <v>82</v>
      </c>
    </row>
    <row r="153" spans="2:7" x14ac:dyDescent="0.45">
      <c r="B153" s="69">
        <v>2022</v>
      </c>
      <c r="C153" s="73" t="s">
        <v>50</v>
      </c>
      <c r="D153" s="73" t="s">
        <v>24</v>
      </c>
      <c r="E153" s="73">
        <v>2123</v>
      </c>
      <c r="F153" s="73">
        <v>51677</v>
      </c>
      <c r="G153" s="68" t="s">
        <v>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7755-24B2-4A2E-9CED-F30D77A83914}">
  <dimension ref="A1:B49"/>
  <sheetViews>
    <sheetView workbookViewId="0">
      <selection activeCell="F17" sqref="F17"/>
    </sheetView>
  </sheetViews>
  <sheetFormatPr defaultRowHeight="14.25" x14ac:dyDescent="0.45"/>
  <cols>
    <col min="1" max="1" width="15.265625" style="66" bestFit="1" customWidth="1"/>
    <col min="2" max="2" width="13" style="67" bestFit="1" customWidth="1"/>
  </cols>
  <sheetData>
    <row r="1" spans="1:2" x14ac:dyDescent="0.45">
      <c r="A1" s="64" t="s">
        <v>1</v>
      </c>
      <c r="B1" s="65" t="s">
        <v>63</v>
      </c>
    </row>
    <row r="2" spans="1:2" x14ac:dyDescent="0.45">
      <c r="A2" s="66" t="s">
        <v>5</v>
      </c>
      <c r="B2" s="67" vm="1">
        <v>39557045</v>
      </c>
    </row>
    <row r="3" spans="1:2" x14ac:dyDescent="0.45">
      <c r="A3" s="66" t="s">
        <v>42</v>
      </c>
      <c r="B3" s="67" vm="2">
        <v>28701845</v>
      </c>
    </row>
    <row r="4" spans="1:2" x14ac:dyDescent="0.45">
      <c r="A4" s="66" t="s">
        <v>9</v>
      </c>
      <c r="B4" s="67" vm="3">
        <v>21670000</v>
      </c>
    </row>
    <row r="5" spans="1:2" x14ac:dyDescent="0.45">
      <c r="A5" s="66" t="s">
        <v>31</v>
      </c>
      <c r="B5" s="67" vm="4">
        <v>19542209</v>
      </c>
    </row>
    <row r="6" spans="1:2" x14ac:dyDescent="0.45">
      <c r="A6" s="66" t="s">
        <v>37</v>
      </c>
      <c r="B6" s="67" vm="5">
        <v>12807060</v>
      </c>
    </row>
    <row r="7" spans="1:2" x14ac:dyDescent="0.45">
      <c r="A7" s="66" t="s">
        <v>12</v>
      </c>
      <c r="B7" s="67" vm="6">
        <v>12741080</v>
      </c>
    </row>
    <row r="8" spans="1:2" x14ac:dyDescent="0.45">
      <c r="A8" s="66" t="s">
        <v>34</v>
      </c>
      <c r="B8" s="67" vm="7">
        <v>11689442</v>
      </c>
    </row>
    <row r="9" spans="1:2" x14ac:dyDescent="0.45">
      <c r="A9" s="66" t="s">
        <v>10</v>
      </c>
      <c r="B9" s="67" vm="8">
        <v>10519475</v>
      </c>
    </row>
    <row r="10" spans="1:2" x14ac:dyDescent="0.45">
      <c r="A10" s="66" t="s">
        <v>32</v>
      </c>
      <c r="B10" s="67" vm="9">
        <v>10383620</v>
      </c>
    </row>
    <row r="11" spans="1:2" x14ac:dyDescent="0.45">
      <c r="A11" s="66" t="s">
        <v>21</v>
      </c>
      <c r="B11" s="67" vm="10">
        <v>9995915</v>
      </c>
    </row>
    <row r="12" spans="1:2" x14ac:dyDescent="0.45">
      <c r="A12" s="66" t="s">
        <v>29</v>
      </c>
      <c r="B12" s="67" vm="11">
        <v>8908520</v>
      </c>
    </row>
    <row r="13" spans="1:2" x14ac:dyDescent="0.45">
      <c r="A13" s="66" t="s">
        <v>45</v>
      </c>
      <c r="B13" s="67" vm="12">
        <v>8517685</v>
      </c>
    </row>
    <row r="14" spans="1:2" x14ac:dyDescent="0.45">
      <c r="A14" s="66" t="s">
        <v>46</v>
      </c>
      <c r="B14" s="67" vm="13">
        <v>7614893</v>
      </c>
    </row>
    <row r="15" spans="1:2" x14ac:dyDescent="0.45">
      <c r="A15" s="66" t="s">
        <v>3</v>
      </c>
      <c r="B15" s="67" vm="14">
        <v>7171646</v>
      </c>
    </row>
    <row r="16" spans="1:2" x14ac:dyDescent="0.45">
      <c r="A16" s="66" t="s">
        <v>20</v>
      </c>
      <c r="B16" s="67" vm="15">
        <v>6902149</v>
      </c>
    </row>
    <row r="17" spans="1:2" x14ac:dyDescent="0.45">
      <c r="A17" s="66" t="s">
        <v>41</v>
      </c>
      <c r="B17" s="67" vm="16">
        <v>6770010</v>
      </c>
    </row>
    <row r="18" spans="1:2" x14ac:dyDescent="0.45">
      <c r="A18" s="66" t="s">
        <v>13</v>
      </c>
      <c r="B18" s="67" vm="17">
        <v>6691878</v>
      </c>
    </row>
    <row r="19" spans="1:2" x14ac:dyDescent="0.45">
      <c r="A19" s="66" t="s">
        <v>24</v>
      </c>
      <c r="B19" s="67" vm="18">
        <v>6126452</v>
      </c>
    </row>
    <row r="20" spans="1:2" x14ac:dyDescent="0.45">
      <c r="A20" s="66" t="s">
        <v>19</v>
      </c>
      <c r="B20" s="67" vm="19">
        <v>6042718</v>
      </c>
    </row>
    <row r="21" spans="1:2" x14ac:dyDescent="0.45">
      <c r="A21" s="66" t="s">
        <v>48</v>
      </c>
      <c r="B21" s="67" vm="20">
        <v>5813568</v>
      </c>
    </row>
    <row r="22" spans="1:2" x14ac:dyDescent="0.45">
      <c r="A22" s="66" t="s">
        <v>6</v>
      </c>
      <c r="B22" s="67" vm="21">
        <v>5695564</v>
      </c>
    </row>
    <row r="23" spans="1:2" x14ac:dyDescent="0.45">
      <c r="A23" s="66" t="s">
        <v>22</v>
      </c>
      <c r="B23" s="67" vm="22">
        <v>5611179</v>
      </c>
    </row>
    <row r="24" spans="1:2" x14ac:dyDescent="0.45">
      <c r="A24" s="66" t="s">
        <v>39</v>
      </c>
      <c r="B24" s="67" vm="23">
        <v>5084127</v>
      </c>
    </row>
    <row r="25" spans="1:2" x14ac:dyDescent="0.45">
      <c r="A25" s="66" t="s">
        <v>2</v>
      </c>
      <c r="B25" s="67" vm="24">
        <v>4887871</v>
      </c>
    </row>
    <row r="26" spans="1:2" x14ac:dyDescent="0.45">
      <c r="A26" s="66" t="s">
        <v>17</v>
      </c>
      <c r="B26" s="67" vm="25">
        <v>4659978</v>
      </c>
    </row>
    <row r="27" spans="1:2" x14ac:dyDescent="0.45">
      <c r="A27" s="66" t="s">
        <v>16</v>
      </c>
      <c r="B27" s="67" vm="26">
        <v>4468402</v>
      </c>
    </row>
    <row r="28" spans="1:2" x14ac:dyDescent="0.45">
      <c r="A28" s="66" t="s">
        <v>36</v>
      </c>
      <c r="B28" s="67" vm="27">
        <v>4190713</v>
      </c>
    </row>
    <row r="29" spans="1:2" x14ac:dyDescent="0.45">
      <c r="A29" s="66" t="s">
        <v>35</v>
      </c>
      <c r="B29" s="67" vm="28">
        <v>3943079</v>
      </c>
    </row>
    <row r="30" spans="1:2" x14ac:dyDescent="0.45">
      <c r="A30" s="66" t="s">
        <v>7</v>
      </c>
      <c r="B30" s="67" vm="29">
        <v>3572665</v>
      </c>
    </row>
    <row r="31" spans="1:2" x14ac:dyDescent="0.45">
      <c r="A31" s="66" t="s">
        <v>43</v>
      </c>
      <c r="B31" s="67" vm="30">
        <v>3161105</v>
      </c>
    </row>
    <row r="32" spans="1:2" x14ac:dyDescent="0.45">
      <c r="A32" s="66" t="s">
        <v>14</v>
      </c>
      <c r="B32" s="67" vm="31">
        <v>3156145</v>
      </c>
    </row>
    <row r="33" spans="1:2" x14ac:dyDescent="0.45">
      <c r="A33" s="66" t="s">
        <v>27</v>
      </c>
      <c r="B33" s="67" vm="32">
        <v>3034392</v>
      </c>
    </row>
    <row r="34" spans="1:2" x14ac:dyDescent="0.45">
      <c r="A34" s="66" t="s">
        <v>4</v>
      </c>
      <c r="B34" s="67" vm="33">
        <v>3013825</v>
      </c>
    </row>
    <row r="35" spans="1:2" x14ac:dyDescent="0.45">
      <c r="A35" s="66" t="s">
        <v>23</v>
      </c>
      <c r="B35" s="67" vm="34">
        <v>2963914</v>
      </c>
    </row>
    <row r="36" spans="1:2" x14ac:dyDescent="0.45">
      <c r="A36" s="66" t="s">
        <v>15</v>
      </c>
      <c r="B36" s="67" vm="35">
        <v>2911505</v>
      </c>
    </row>
    <row r="37" spans="1:2" x14ac:dyDescent="0.45">
      <c r="A37" s="66" t="s">
        <v>30</v>
      </c>
      <c r="B37" s="67" vm="36">
        <v>2095428</v>
      </c>
    </row>
    <row r="38" spans="1:2" x14ac:dyDescent="0.45">
      <c r="A38" s="66" t="s">
        <v>26</v>
      </c>
      <c r="B38" s="67" vm="37">
        <v>1929268</v>
      </c>
    </row>
    <row r="39" spans="1:2" x14ac:dyDescent="0.45">
      <c r="A39" s="66" t="s">
        <v>47</v>
      </c>
      <c r="B39" s="67" vm="38">
        <v>1805832</v>
      </c>
    </row>
    <row r="40" spans="1:2" x14ac:dyDescent="0.45">
      <c r="A40" s="66" t="s">
        <v>11</v>
      </c>
      <c r="B40" s="67" vm="39">
        <v>1754208</v>
      </c>
    </row>
    <row r="41" spans="1:2" x14ac:dyDescent="0.45">
      <c r="A41" s="66" t="s">
        <v>28</v>
      </c>
      <c r="B41" s="67" vm="40">
        <v>1356458</v>
      </c>
    </row>
    <row r="42" spans="1:2" x14ac:dyDescent="0.45">
      <c r="A42" s="66" t="s">
        <v>18</v>
      </c>
      <c r="B42" s="67" vm="41">
        <v>1338404</v>
      </c>
    </row>
    <row r="43" spans="1:2" x14ac:dyDescent="0.45">
      <c r="A43" s="66" t="s">
        <v>25</v>
      </c>
      <c r="B43" s="67" vm="42">
        <v>1062305</v>
      </c>
    </row>
    <row r="44" spans="1:2" x14ac:dyDescent="0.45">
      <c r="A44" s="66" t="s">
        <v>38</v>
      </c>
      <c r="B44" s="67" vm="43">
        <v>1057315</v>
      </c>
    </row>
    <row r="45" spans="1:2" x14ac:dyDescent="0.45">
      <c r="A45" s="66" t="s">
        <v>8</v>
      </c>
      <c r="B45" s="67" vm="44">
        <v>967171</v>
      </c>
    </row>
    <row r="46" spans="1:2" x14ac:dyDescent="0.45">
      <c r="A46" s="66" t="s">
        <v>40</v>
      </c>
      <c r="B46" s="67" vm="45">
        <v>882235</v>
      </c>
    </row>
    <row r="47" spans="1:2" x14ac:dyDescent="0.45">
      <c r="A47" s="66" t="s">
        <v>33</v>
      </c>
      <c r="B47" s="67" vm="46">
        <v>760077</v>
      </c>
    </row>
    <row r="48" spans="1:2" x14ac:dyDescent="0.45">
      <c r="A48" s="66" t="s">
        <v>44</v>
      </c>
      <c r="B48" s="67" vm="47">
        <v>626299</v>
      </c>
    </row>
    <row r="49" spans="1:2" x14ac:dyDescent="0.45">
      <c r="A49" s="66" t="s">
        <v>49</v>
      </c>
      <c r="B49" s="67" vm="48">
        <v>577737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ACFB-0D9D-42A8-9D81-EB2F9D8FB62A}">
  <dimension ref="C2:AJ53"/>
  <sheetViews>
    <sheetView zoomScale="90" zoomScaleNormal="130" workbookViewId="0">
      <selection activeCell="B18" sqref="B18"/>
    </sheetView>
  </sheetViews>
  <sheetFormatPr defaultRowHeight="14.25" x14ac:dyDescent="0.45"/>
  <cols>
    <col min="3" max="3" width="16.1328125" bestFit="1" customWidth="1"/>
    <col min="7" max="7" width="12" bestFit="1" customWidth="1"/>
    <col min="9" max="9" width="16.1328125" bestFit="1" customWidth="1"/>
    <col min="10" max="10" width="60.86328125" customWidth="1"/>
    <col min="12" max="12" width="16.1328125" bestFit="1" customWidth="1"/>
    <col min="13" max="13" width="12" bestFit="1" customWidth="1"/>
    <col min="14" max="14" width="10.86328125" bestFit="1" customWidth="1"/>
    <col min="19" max="19" width="16.73046875" bestFit="1" customWidth="1"/>
    <col min="23" max="23" width="14" bestFit="1" customWidth="1"/>
    <col min="24" max="24" width="14.265625" customWidth="1"/>
    <col min="25" max="25" width="13.1328125" bestFit="1" customWidth="1"/>
    <col min="28" max="29" width="10.86328125" bestFit="1" customWidth="1"/>
    <col min="31" max="31" width="13.265625" bestFit="1" customWidth="1"/>
    <col min="35" max="35" width="16.1328125" bestFit="1" customWidth="1"/>
  </cols>
  <sheetData>
    <row r="2" spans="3:36" ht="14.65" thickBot="1" x14ac:dyDescent="0.5"/>
    <row r="3" spans="3:36" ht="14.65" thickBot="1" x14ac:dyDescent="0.5">
      <c r="D3" s="56">
        <v>4</v>
      </c>
      <c r="J3" s="56">
        <v>10</v>
      </c>
    </row>
    <row r="4" spans="3:36" x14ac:dyDescent="0.45">
      <c r="C4" s="12" t="s">
        <v>66</v>
      </c>
      <c r="D4" s="35"/>
      <c r="F4" s="12" t="s">
        <v>68</v>
      </c>
      <c r="G4" s="35"/>
      <c r="I4" s="12" t="s">
        <v>65</v>
      </c>
      <c r="J4" s="35"/>
      <c r="L4" s="12" t="s">
        <v>68</v>
      </c>
      <c r="M4" s="36"/>
      <c r="N4" s="14"/>
      <c r="P4" s="12" t="s">
        <v>71</v>
      </c>
      <c r="Q4" s="13"/>
      <c r="R4" s="13"/>
      <c r="S4" s="14"/>
      <c r="U4" s="53" t="str">
        <f>Q5</f>
        <v>Revenue</v>
      </c>
      <c r="W4" s="12" t="s">
        <v>73</v>
      </c>
      <c r="X4" s="13"/>
      <c r="Y4" s="14"/>
      <c r="AB4" s="12" t="s">
        <v>74</v>
      </c>
      <c r="AC4" s="14"/>
      <c r="AI4" s="12" t="s">
        <v>85</v>
      </c>
      <c r="AJ4" s="35"/>
    </row>
    <row r="5" spans="3:36" x14ac:dyDescent="0.45">
      <c r="C5" s="15" t="s">
        <v>0</v>
      </c>
      <c r="D5" s="17" t="s">
        <v>64</v>
      </c>
      <c r="F5" s="15" t="s">
        <v>0</v>
      </c>
      <c r="G5" s="17" t="s">
        <v>61</v>
      </c>
      <c r="I5" s="15" t="s">
        <v>60</v>
      </c>
      <c r="J5" s="17" t="s">
        <v>64</v>
      </c>
      <c r="L5" s="15" t="s">
        <v>60</v>
      </c>
      <c r="M5" s="16" t="s">
        <v>61</v>
      </c>
      <c r="N5" s="17" t="s">
        <v>64</v>
      </c>
      <c r="P5" s="15" t="s">
        <v>1</v>
      </c>
      <c r="Q5" s="16" t="s">
        <v>61</v>
      </c>
      <c r="R5" s="16" t="s">
        <v>72</v>
      </c>
      <c r="S5" s="17" t="str">
        <f>U6&amp;" "&amp; "Selected"</f>
        <v>Revenue Selected</v>
      </c>
      <c r="U5" s="54" t="str">
        <f>R5</f>
        <v>Sold Qty</v>
      </c>
      <c r="W5" s="15" t="s">
        <v>1</v>
      </c>
      <c r="X5" s="16" t="s">
        <v>61</v>
      </c>
      <c r="Y5" s="17" t="s">
        <v>77</v>
      </c>
      <c r="AB5" s="15" t="s">
        <v>61</v>
      </c>
      <c r="AC5" s="17" t="s">
        <v>75</v>
      </c>
      <c r="AI5" s="15" t="s">
        <v>60</v>
      </c>
      <c r="AJ5" s="17" t="s">
        <v>64</v>
      </c>
    </row>
    <row r="6" spans="3:36" x14ac:dyDescent="0.45">
      <c r="C6" s="18">
        <v>2022</v>
      </c>
      <c r="D6" s="29">
        <f>C13</f>
        <v>2022</v>
      </c>
      <c r="F6" s="18">
        <v>2022</v>
      </c>
      <c r="G6" s="25">
        <f>SUMIFS(Data!E:E,Data!A:A,F6,Data!B:B,$J$6)</f>
        <v>6632745</v>
      </c>
      <c r="I6" s="18" t="s">
        <v>50</v>
      </c>
      <c r="J6" s="29" t="str">
        <f>I18</f>
        <v>Teapot </v>
      </c>
      <c r="L6" s="18" t="s">
        <v>54</v>
      </c>
      <c r="M6" s="24">
        <f>SUMIFS(Data!E:E,Data!A:A,$D$6,Data!B:B,L6)</f>
        <v>4780144</v>
      </c>
      <c r="N6" s="25">
        <f t="shared" ref="N6:N15" si="0">IF(L6=$J$6,M6,0)</f>
        <v>0</v>
      </c>
      <c r="P6" s="18" t="s">
        <v>2</v>
      </c>
      <c r="Q6" s="19">
        <f>SUMIFS(Data!E:E,Data!A:A,Analysis!$D$6,Data!B:B,Analysis!$J$6,Data!C:C,Analysis!P6)</f>
        <v>110978</v>
      </c>
      <c r="R6" s="19">
        <f>SUMIFS(Data!D:D,Data!A:A,Analysis!$D$6,Data!B:B,Analysis!$J$6,Data!C:C,Analysis!P6)</f>
        <v>29551</v>
      </c>
      <c r="S6" s="20">
        <f>IF($U$8=1,Q6,-R6)</f>
        <v>110978</v>
      </c>
      <c r="U6" s="54" t="str">
        <f>IF(U8=1,U4,U5)</f>
        <v>Revenue</v>
      </c>
      <c r="V6">
        <v>1</v>
      </c>
      <c r="W6" s="18" t="str">
        <f>INDEX($P$6:$P$53,MATCH(X6,$Q$6:$Q$53,0))</f>
        <v>Texas</v>
      </c>
      <c r="X6" s="24">
        <f>LARGE($Q$6:$Q$53,V6)</f>
        <v>595137</v>
      </c>
      <c r="Y6" s="25">
        <f>IF(X6=MAX($X$6:$X$10),X6,0)</f>
        <v>595137</v>
      </c>
      <c r="AB6" s="28">
        <f>SUM(Q6:Q53)</f>
        <v>6632745</v>
      </c>
      <c r="AC6" s="25">
        <f>SUM(X6:X14)</f>
        <v>1500648</v>
      </c>
      <c r="AI6" s="18" t="s">
        <v>50</v>
      </c>
      <c r="AJ6" s="29">
        <f>COUNTIFS(Data!B:B,Analysis!AI6)</f>
        <v>279</v>
      </c>
    </row>
    <row r="7" spans="3:36" x14ac:dyDescent="0.45">
      <c r="C7" s="18">
        <v>2021</v>
      </c>
      <c r="D7" s="29"/>
      <c r="F7" s="18">
        <v>2021</v>
      </c>
      <c r="G7" s="25">
        <f>SUMIFS(Data!E:E,Data!A:A,F7,Data!B:B,$J$6)</f>
        <v>5402852</v>
      </c>
      <c r="I7" s="18" t="s">
        <v>51</v>
      </c>
      <c r="J7" s="29"/>
      <c r="L7" s="18" t="s">
        <v>56</v>
      </c>
      <c r="M7" s="24">
        <f>SUMIFS(Data!E:E,Data!A:A,$D$6,Data!B:B,L7)</f>
        <v>5263921</v>
      </c>
      <c r="N7" s="25">
        <f t="shared" si="0"/>
        <v>0</v>
      </c>
      <c r="P7" s="18" t="s">
        <v>3</v>
      </c>
      <c r="Q7" s="19">
        <f>SUMIFS(Data!E:E,Data!A:A,Analysis!$D$6,Data!B:B,Analysis!$J$6,Data!C:C,Analysis!P7)</f>
        <v>120791</v>
      </c>
      <c r="R7" s="19">
        <f>SUMIFS(Data!D:D,Data!A:A,Analysis!$D$6,Data!B:B,Analysis!$J$6,Data!C:C,Analysis!P7)</f>
        <v>40651</v>
      </c>
      <c r="S7" s="20">
        <f>IF($U$8=1,Q7,-R7)</f>
        <v>120791</v>
      </c>
      <c r="U7" s="54"/>
      <c r="V7">
        <v>2</v>
      </c>
      <c r="W7" s="18" t="str">
        <f>INDEX($P$6:$P$53,MATCH(X7,$Q$6:$Q$53,0))</f>
        <v>California</v>
      </c>
      <c r="X7" s="24">
        <f>LARGE($Q$6:$Q$53,V7)</f>
        <v>366170</v>
      </c>
      <c r="Y7" s="25">
        <f t="shared" ref="Y7:Y10" si="1">IF(X7=MAX($X$6:$X$10),X7,0)</f>
        <v>0</v>
      </c>
      <c r="AB7" s="18"/>
      <c r="AC7" s="29"/>
      <c r="AI7" s="18" t="s">
        <v>51</v>
      </c>
      <c r="AJ7" s="29">
        <f>COUNTIFS(Data!B:B,Analysis!AI7)</f>
        <v>239</v>
      </c>
    </row>
    <row r="8" spans="3:36" ht="14.65" thickBot="1" x14ac:dyDescent="0.5">
      <c r="C8" s="18">
        <v>2020</v>
      </c>
      <c r="D8" s="29"/>
      <c r="F8" s="18">
        <v>2020</v>
      </c>
      <c r="G8" s="25">
        <f>SUMIFS(Data!E:E,Data!A:A,F8,Data!B:B,$J$6)</f>
        <v>2631262</v>
      </c>
      <c r="I8" s="18" t="s">
        <v>52</v>
      </c>
      <c r="J8" s="29"/>
      <c r="L8" s="18" t="s">
        <v>55</v>
      </c>
      <c r="M8" s="24">
        <f>SUMIFS(Data!E:E,Data!A:A,$D$6,Data!B:B,L8)</f>
        <v>4609952</v>
      </c>
      <c r="N8" s="25">
        <f t="shared" si="0"/>
        <v>0</v>
      </c>
      <c r="P8" s="18" t="s">
        <v>4</v>
      </c>
      <c r="Q8" s="19">
        <f>SUMIFS(Data!E:E,Data!A:A,Analysis!$D$6,Data!B:B,Analysis!$J$6,Data!C:C,Analysis!P8)</f>
        <v>103418</v>
      </c>
      <c r="R8" s="19">
        <f>SUMIFS(Data!D:D,Data!A:A,Analysis!$D$6,Data!B:B,Analysis!$J$6,Data!C:C,Analysis!P8)</f>
        <v>31436</v>
      </c>
      <c r="S8" s="20">
        <f t="shared" ref="S8:S53" si="2">IF($U$8=1,Q8,-R8)</f>
        <v>103418</v>
      </c>
      <c r="U8" s="55">
        <v>1</v>
      </c>
      <c r="V8">
        <v>3</v>
      </c>
      <c r="W8" s="18" t="str">
        <f>INDEX($P$6:$P$53,MATCH(X8,$Q$6:$Q$53,0))</f>
        <v>Maryland</v>
      </c>
      <c r="X8" s="24">
        <f>LARGE($Q$6:$Q$53,V8)</f>
        <v>193184</v>
      </c>
      <c r="Y8" s="25">
        <f t="shared" si="1"/>
        <v>0</v>
      </c>
      <c r="AB8" s="21" t="s">
        <v>70</v>
      </c>
      <c r="AC8" s="30">
        <f>AC6/AB6</f>
        <v>0.22624840846436883</v>
      </c>
      <c r="AI8" s="18" t="s">
        <v>52</v>
      </c>
      <c r="AJ8" s="29">
        <f>COUNTIFS(Data!B:B,Analysis!AI8)</f>
        <v>240</v>
      </c>
    </row>
    <row r="9" spans="3:36" ht="14.65" thickBot="1" x14ac:dyDescent="0.5">
      <c r="C9" s="21">
        <v>2019</v>
      </c>
      <c r="D9" s="32"/>
      <c r="F9" s="18">
        <v>2019</v>
      </c>
      <c r="G9" s="25">
        <f>SUMIFS(Data!E:E,Data!A:A,F9,Data!B:B,$J$6)</f>
        <v>3322360</v>
      </c>
      <c r="I9" s="18" t="s">
        <v>53</v>
      </c>
      <c r="J9" s="29"/>
      <c r="L9" s="18" t="s">
        <v>50</v>
      </c>
      <c r="M9" s="24">
        <f>SUMIFS(Data!E:E,Data!A:A,$D$6,Data!B:B,L9)</f>
        <v>5278636</v>
      </c>
      <c r="N9" s="25">
        <f t="shared" si="0"/>
        <v>0</v>
      </c>
      <c r="P9" s="18" t="s">
        <v>5</v>
      </c>
      <c r="Q9" s="19">
        <f>SUMIFS(Data!E:E,Data!A:A,Analysis!$D$6,Data!B:B,Analysis!$J$6,Data!C:C,Analysis!P9)</f>
        <v>366170</v>
      </c>
      <c r="R9" s="19">
        <f>SUMIFS(Data!D:D,Data!A:A,Analysis!$D$6,Data!B:B,Analysis!$J$6,Data!C:C,Analysis!P9)</f>
        <v>1380655</v>
      </c>
      <c r="S9" s="20">
        <f t="shared" si="2"/>
        <v>366170</v>
      </c>
      <c r="V9">
        <v>4</v>
      </c>
      <c r="W9" s="18" t="str">
        <f>INDEX($P$6:$P$53,MATCH(X9,$Q$6:$Q$53,0))</f>
        <v>Maine</v>
      </c>
      <c r="X9" s="24">
        <f>LARGE($Q$6:$Q$53,V9)</f>
        <v>174820</v>
      </c>
      <c r="Y9" s="25">
        <f t="shared" si="1"/>
        <v>0</v>
      </c>
      <c r="AI9" s="18" t="s">
        <v>53</v>
      </c>
      <c r="AJ9" s="29">
        <f>COUNTIFS(Data!B:B,Analysis!AI9)</f>
        <v>240</v>
      </c>
    </row>
    <row r="10" spans="3:36" ht="14.65" thickBot="1" x14ac:dyDescent="0.5">
      <c r="F10" s="18"/>
      <c r="G10" s="29"/>
      <c r="I10" s="18" t="s">
        <v>54</v>
      </c>
      <c r="J10" s="29"/>
      <c r="L10" s="18" t="s">
        <v>57</v>
      </c>
      <c r="M10" s="24">
        <f>SUMIFS(Data!E:E,Data!A:A,$D$6,Data!B:B,L10)</f>
        <v>6632745</v>
      </c>
      <c r="N10" s="25">
        <f t="shared" si="0"/>
        <v>6632745</v>
      </c>
      <c r="P10" s="18" t="s">
        <v>6</v>
      </c>
      <c r="Q10" s="19">
        <f>SUMIFS(Data!E:E,Data!A:A,Analysis!$D$6,Data!B:B,Analysis!$J$6,Data!C:C,Analysis!P10)</f>
        <v>118798</v>
      </c>
      <c r="R10" s="19">
        <f>SUMIFS(Data!D:D,Data!A:A,Analysis!$D$6,Data!B:B,Analysis!$J$6,Data!C:C,Analysis!P10)</f>
        <v>45222</v>
      </c>
      <c r="S10" s="20">
        <f t="shared" si="2"/>
        <v>118798</v>
      </c>
      <c r="V10">
        <v>5</v>
      </c>
      <c r="W10" s="21" t="str">
        <f>INDEX($P$6:$P$53,MATCH(X10,$Q$6:$Q$53,0))</f>
        <v>Kentucky</v>
      </c>
      <c r="X10" s="26">
        <f>LARGE($Q$6:$Q$53,V10)</f>
        <v>171337</v>
      </c>
      <c r="Y10" s="27">
        <f t="shared" si="1"/>
        <v>0</v>
      </c>
      <c r="AI10" s="18" t="s">
        <v>54</v>
      </c>
      <c r="AJ10" s="29">
        <f>COUNTIFS(Data!B:B,Analysis!AI10)</f>
        <v>218</v>
      </c>
    </row>
    <row r="11" spans="3:36" ht="14.65" thickBot="1" x14ac:dyDescent="0.5">
      <c r="F11" s="18">
        <f>VLOOKUP(D6,F6:G9,1,0)</f>
        <v>2022</v>
      </c>
      <c r="G11" s="40">
        <f>INDEX(G6:G9,MATCH(F11,F6:F9,0))</f>
        <v>6632745</v>
      </c>
      <c r="I11" s="18" t="s">
        <v>55</v>
      </c>
      <c r="J11" s="29"/>
      <c r="L11" s="18" t="s">
        <v>52</v>
      </c>
      <c r="M11" s="24">
        <f>SUMIFS(Data!E:E,Data!A:A,$D$6,Data!B:B,L11)</f>
        <v>3572538</v>
      </c>
      <c r="N11" s="25">
        <f t="shared" si="0"/>
        <v>0</v>
      </c>
      <c r="P11" s="18" t="s">
        <v>7</v>
      </c>
      <c r="Q11" s="19">
        <f>SUMIFS(Data!E:E,Data!A:A,Analysis!$D$6,Data!B:B,Analysis!$J$6,Data!C:C,Analysis!P11)</f>
        <v>130634</v>
      </c>
      <c r="R11" s="19">
        <f>SUMIFS(Data!D:D,Data!A:A,Analysis!$D$6,Data!B:B,Analysis!$J$6,Data!C:C,Analysis!P11)</f>
        <v>33442</v>
      </c>
      <c r="S11" s="20">
        <f t="shared" si="2"/>
        <v>130634</v>
      </c>
      <c r="X11" s="1"/>
      <c r="Y11" s="1"/>
      <c r="AI11" s="18" t="s">
        <v>55</v>
      </c>
      <c r="AJ11" s="29">
        <f>COUNTIFS(Data!B:B,Analysis!AI11)</f>
        <v>211</v>
      </c>
    </row>
    <row r="12" spans="3:36" x14ac:dyDescent="0.45">
      <c r="C12" s="42" t="s">
        <v>67</v>
      </c>
      <c r="F12" s="18" t="s">
        <v>69</v>
      </c>
      <c r="G12" s="25">
        <f>SUM(G6:G9)-G11</f>
        <v>11356474</v>
      </c>
      <c r="I12" s="18" t="s">
        <v>56</v>
      </c>
      <c r="J12" s="29"/>
      <c r="L12" s="18" t="s">
        <v>51</v>
      </c>
      <c r="M12" s="24">
        <f>SUMIFS(Data!E:E,Data!A:A,$D$6,Data!B:B,L12)</f>
        <v>3355051</v>
      </c>
      <c r="N12" s="25">
        <f t="shared" si="0"/>
        <v>0</v>
      </c>
      <c r="P12" s="18" t="s">
        <v>8</v>
      </c>
      <c r="Q12" s="19">
        <f>SUMIFS(Data!E:E,Data!A:A,Analysis!$D$6,Data!B:B,Analysis!$J$6,Data!C:C,Analysis!P12)</f>
        <v>124754</v>
      </c>
      <c r="R12" s="19">
        <f>SUMIFS(Data!D:D,Data!A:A,Analysis!$D$6,Data!B:B,Analysis!$J$6,Data!C:C,Analysis!P12)</f>
        <v>10908</v>
      </c>
      <c r="S12" s="20">
        <f t="shared" si="2"/>
        <v>124754</v>
      </c>
      <c r="X12" s="1"/>
      <c r="Y12" s="1"/>
      <c r="AI12" s="18" t="s">
        <v>56</v>
      </c>
      <c r="AJ12" s="29">
        <f>COUNTIFS(Data!B:B,Analysis!AI12)</f>
        <v>273</v>
      </c>
    </row>
    <row r="13" spans="3:36" ht="14.65" thickBot="1" x14ac:dyDescent="0.5">
      <c r="C13" s="43">
        <f>INDEX(C6:C9,5-D3)</f>
        <v>2022</v>
      </c>
      <c r="F13" s="18"/>
      <c r="G13" s="29"/>
      <c r="I13" s="18" t="s">
        <v>57</v>
      </c>
      <c r="J13" s="29"/>
      <c r="L13" s="18" t="s">
        <v>53</v>
      </c>
      <c r="M13" s="24">
        <f>SUMIFS(Data!E:E,Data!A:A,$D$6,Data!B:B,L13)</f>
        <v>2657607</v>
      </c>
      <c r="N13" s="25">
        <f t="shared" si="0"/>
        <v>0</v>
      </c>
      <c r="P13" s="18" t="s">
        <v>9</v>
      </c>
      <c r="Q13" s="19">
        <f>SUMIFS(Data!E:E,Data!A:A,Analysis!$D$6,Data!B:B,Analysis!$J$6,Data!C:C,Analysis!P13)</f>
        <v>119153</v>
      </c>
      <c r="R13" s="19">
        <f>SUMIFS(Data!D:D,Data!A:A,Analysis!$D$6,Data!B:B,Analysis!$J$6,Data!C:C,Analysis!P13)</f>
        <v>161673</v>
      </c>
      <c r="S13" s="20">
        <f t="shared" si="2"/>
        <v>119153</v>
      </c>
      <c r="X13" s="1"/>
      <c r="Y13" s="1"/>
      <c r="AB13" s="2"/>
      <c r="AI13" s="18" t="s">
        <v>57</v>
      </c>
      <c r="AJ13" s="29">
        <f>COUNTIFS(Data!B:B,Analysis!AI13)</f>
        <v>320</v>
      </c>
    </row>
    <row r="14" spans="3:36" ht="14.65" thickBot="1" x14ac:dyDescent="0.5">
      <c r="F14" s="18" t="s">
        <v>70</v>
      </c>
      <c r="G14" s="41">
        <f>G11/G12</f>
        <v>0.58404967950439546</v>
      </c>
      <c r="I14" s="18" t="s">
        <v>58</v>
      </c>
      <c r="J14" s="29"/>
      <c r="L14" s="18" t="s">
        <v>59</v>
      </c>
      <c r="M14" s="24">
        <f>SUMIFS(Data!E:E,Data!A:A,$D$6,Data!B:B,L14)</f>
        <v>2898819</v>
      </c>
      <c r="N14" s="25">
        <f t="shared" si="0"/>
        <v>0</v>
      </c>
      <c r="P14" s="18" t="s">
        <v>10</v>
      </c>
      <c r="Q14" s="19">
        <f>SUMIFS(Data!E:E,Data!A:A,Analysis!$D$6,Data!B:B,Analysis!$J$6,Data!C:C,Analysis!P14)</f>
        <v>122951</v>
      </c>
      <c r="R14" s="19">
        <f>SUMIFS(Data!D:D,Data!A:A,Analysis!$D$6,Data!B:B,Analysis!$J$6,Data!C:C,Analysis!P14)</f>
        <v>61840</v>
      </c>
      <c r="S14" s="20">
        <f t="shared" si="2"/>
        <v>122951</v>
      </c>
      <c r="X14" s="1"/>
      <c r="Y14" s="1"/>
      <c r="AI14" s="18" t="s">
        <v>58</v>
      </c>
      <c r="AJ14" s="29">
        <f>COUNTIFS(Data!B:B,Analysis!AI14)</f>
        <v>289</v>
      </c>
    </row>
    <row r="15" spans="3:36" ht="14.65" thickBot="1" x14ac:dyDescent="0.5">
      <c r="F15" s="21" t="s">
        <v>69</v>
      </c>
      <c r="G15" s="30">
        <f>100%-G14</f>
        <v>0.41595032049560454</v>
      </c>
      <c r="I15" s="21" t="s">
        <v>59</v>
      </c>
      <c r="J15" s="32"/>
      <c r="L15" s="21" t="s">
        <v>58</v>
      </c>
      <c r="M15" s="26">
        <f>SUMIFS(Data!E:E,Data!A:A,$D$6,Data!B:B,L15)</f>
        <v>2763987</v>
      </c>
      <c r="N15" s="27">
        <f t="shared" si="0"/>
        <v>0</v>
      </c>
      <c r="P15" s="18" t="s">
        <v>11</v>
      </c>
      <c r="Q15" s="19">
        <f>SUMIFS(Data!E:E,Data!A:A,Analysis!$D$6,Data!B:B,Analysis!$J$6,Data!C:C,Analysis!P15)</f>
        <v>100954</v>
      </c>
      <c r="R15" s="19">
        <f>SUMIFS(Data!D:D,Data!A:A,Analysis!$D$6,Data!B:B,Analysis!$J$6,Data!C:C,Analysis!P15)</f>
        <v>17291</v>
      </c>
      <c r="S15" s="20">
        <f t="shared" si="2"/>
        <v>100954</v>
      </c>
      <c r="W15" s="12" t="s">
        <v>86</v>
      </c>
      <c r="X15" s="14"/>
      <c r="Y15" s="1"/>
      <c r="Z15" s="12" t="s">
        <v>89</v>
      </c>
      <c r="AA15" s="14"/>
      <c r="AI15" s="21" t="s">
        <v>59</v>
      </c>
      <c r="AJ15" s="32">
        <f>COUNTIFS(Data!B:B,Analysis!AI15)</f>
        <v>305</v>
      </c>
    </row>
    <row r="16" spans="3:36" ht="14.65" thickBot="1" x14ac:dyDescent="0.5">
      <c r="G16" s="9"/>
      <c r="P16" s="18" t="s">
        <v>12</v>
      </c>
      <c r="Q16" s="19">
        <f>SUMIFS(Data!E:E,Data!A:A,Analysis!$D$6,Data!B:B,Analysis!$J$6,Data!C:C,Analysis!P16)</f>
        <v>119716</v>
      </c>
      <c r="R16" s="19">
        <f>SUMIFS(Data!D:D,Data!A:A,Analysis!$D$6,Data!B:B,Analysis!$J$6,Data!C:C,Analysis!P16)</f>
        <v>74786</v>
      </c>
      <c r="S16" s="20">
        <f t="shared" si="2"/>
        <v>119716</v>
      </c>
      <c r="W16" s="15" t="s">
        <v>76</v>
      </c>
      <c r="X16" s="17"/>
      <c r="Z16" s="15" t="s">
        <v>76</v>
      </c>
      <c r="AA16" s="17"/>
    </row>
    <row r="17" spans="3:27" ht="14.65" thickBot="1" x14ac:dyDescent="0.5">
      <c r="G17" s="10"/>
      <c r="I17" s="42" t="s">
        <v>67</v>
      </c>
      <c r="L17" s="37" t="str">
        <f>L5</f>
        <v>Products</v>
      </c>
      <c r="M17" s="38" t="str">
        <f t="shared" ref="M17:N17" si="3">M5</f>
        <v>Revenue</v>
      </c>
      <c r="N17" s="39" t="str">
        <f t="shared" si="3"/>
        <v>Selection</v>
      </c>
      <c r="P17" s="18" t="s">
        <v>13</v>
      </c>
      <c r="Q17" s="19">
        <f>SUMIFS(Data!E:E,Data!A:A,Analysis!$D$6,Data!B:B,Analysis!$J$6,Data!C:C,Analysis!P17)</f>
        <v>113909</v>
      </c>
      <c r="R17" s="19">
        <f>SUMIFS(Data!D:D,Data!A:A,Analysis!$D$6,Data!B:B,Analysis!$J$6,Data!C:C,Analysis!P17)</f>
        <v>33146</v>
      </c>
      <c r="S17" s="20">
        <f t="shared" si="2"/>
        <v>113909</v>
      </c>
      <c r="W17" s="31">
        <f>SUM(Data!D:D)</f>
        <v>53651701</v>
      </c>
      <c r="X17" s="32"/>
      <c r="Z17" s="31">
        <f>SUM(R6:R53)</f>
        <v>4651820</v>
      </c>
      <c r="AA17" s="32"/>
    </row>
    <row r="18" spans="3:27" ht="14.65" thickBot="1" x14ac:dyDescent="0.5">
      <c r="I18" s="43" t="str">
        <f>INDEX(L18:L27,11-J3)</f>
        <v>Teapot </v>
      </c>
      <c r="K18">
        <v>1</v>
      </c>
      <c r="L18" s="18" t="str">
        <f>INDEX($L$6:$L$15,MATCH(M18,$M$6:$M$15,0))</f>
        <v>Teapot </v>
      </c>
      <c r="M18" s="24">
        <f>LARGE($M$6:$M$15,K18)</f>
        <v>6632745</v>
      </c>
      <c r="N18" s="25">
        <f>IF(L18=$J$6,M18,0)</f>
        <v>6632745</v>
      </c>
      <c r="P18" s="18" t="s">
        <v>14</v>
      </c>
      <c r="Q18" s="19">
        <f>SUMIFS(Data!E:E,Data!A:A,Analysis!$D$6,Data!B:B,Analysis!$J$6,Data!C:C,Analysis!P18)</f>
        <v>156836</v>
      </c>
      <c r="R18" s="19">
        <f>SUMIFS(Data!D:D,Data!A:A,Analysis!$D$6,Data!B:B,Analysis!$J$6,Data!C:C,Analysis!P18)</f>
        <v>38554</v>
      </c>
      <c r="S18" s="20">
        <f t="shared" si="2"/>
        <v>156836</v>
      </c>
      <c r="V18" s="52" t="s">
        <v>88</v>
      </c>
      <c r="W18" s="11" t="str">
        <f>IF(U8=2,W17,"")</f>
        <v/>
      </c>
      <c r="X18" t="str">
        <f>IF(U8=2,"Qty sold till date","")</f>
        <v/>
      </c>
      <c r="Z18" s="11" t="str">
        <f>IF(U8=2,Z17,"")</f>
        <v/>
      </c>
      <c r="AA18" s="52" t="s">
        <v>88</v>
      </c>
    </row>
    <row r="19" spans="3:27" ht="14.65" thickBot="1" x14ac:dyDescent="0.5">
      <c r="K19">
        <v>2</v>
      </c>
      <c r="L19" s="18" t="str">
        <f t="shared" ref="L19:L27" si="4">INDEX($L$6:$L$15,MATCH(M19,$M$6:$M$15,0))</f>
        <v> Kettle </v>
      </c>
      <c r="M19" s="24">
        <f t="shared" ref="M19:M27" si="5">LARGE($M$6:$M$15,K19)</f>
        <v>5278636</v>
      </c>
      <c r="N19" s="25">
        <f t="shared" ref="N19:N27" si="6">IF(L19=$J$6,M19,0)</f>
        <v>0</v>
      </c>
      <c r="P19" s="18" t="s">
        <v>15</v>
      </c>
      <c r="Q19" s="19">
        <f>SUMIFS(Data!E:E,Data!A:A,Analysis!$D$6,Data!B:B,Analysis!$J$6,Data!C:C,Analysis!P19)</f>
        <v>158881</v>
      </c>
      <c r="R19" s="19">
        <f>SUMIFS(Data!D:D,Data!A:A,Analysis!$D$6,Data!B:B,Analysis!$J$6,Data!C:C,Analysis!P19)</f>
        <v>30745</v>
      </c>
      <c r="S19" s="20">
        <f t="shared" si="2"/>
        <v>158881</v>
      </c>
      <c r="AA19" t="str">
        <f>IF(U8=2,"Current Qty sold","")</f>
        <v/>
      </c>
    </row>
    <row r="20" spans="3:27" x14ac:dyDescent="0.45">
      <c r="C20" s="12" t="s">
        <v>83</v>
      </c>
      <c r="D20" s="35"/>
      <c r="I20" s="46" t="s">
        <v>79</v>
      </c>
      <c r="J20" s="47"/>
      <c r="K20">
        <v>3</v>
      </c>
      <c r="L20" s="18" t="str">
        <f t="shared" si="4"/>
        <v>Egg slicer</v>
      </c>
      <c r="M20" s="24">
        <f t="shared" si="5"/>
        <v>5263921</v>
      </c>
      <c r="N20" s="25">
        <f t="shared" si="6"/>
        <v>0</v>
      </c>
      <c r="P20" s="18" t="s">
        <v>16</v>
      </c>
      <c r="Q20" s="19">
        <f>SUMIFS(Data!E:E,Data!A:A,Analysis!$D$6,Data!B:B,Analysis!$J$6,Data!C:C,Analysis!P20)</f>
        <v>171337</v>
      </c>
      <c r="R20" s="19">
        <f>SUMIFS(Data!D:D,Data!A:A,Analysis!$D$6,Data!B:B,Analysis!$J$6,Data!C:C,Analysis!P20)</f>
        <v>60060</v>
      </c>
      <c r="S20" s="20">
        <f t="shared" si="2"/>
        <v>171337</v>
      </c>
      <c r="W20" s="12" t="s">
        <v>87</v>
      </c>
      <c r="X20" s="14"/>
    </row>
    <row r="21" spans="3:27" ht="14.65" thickBot="1" x14ac:dyDescent="0.5">
      <c r="C21" s="15" t="s">
        <v>84</v>
      </c>
      <c r="D21" s="17" t="s">
        <v>61</v>
      </c>
      <c r="I21" s="48" t="str">
        <f>"Summary of "&amp;UPPER(I18)&amp;" Revenue in "&amp;C13</f>
        <v>Summary of TEAPOT  Revenue in 2022</v>
      </c>
      <c r="J21" s="49"/>
      <c r="K21">
        <v>4</v>
      </c>
      <c r="L21" s="18" t="str">
        <f t="shared" si="4"/>
        <v>Blender </v>
      </c>
      <c r="M21" s="24">
        <f t="shared" si="5"/>
        <v>4780144</v>
      </c>
      <c r="N21" s="25">
        <f t="shared" si="6"/>
        <v>0</v>
      </c>
      <c r="P21" s="18" t="s">
        <v>17</v>
      </c>
      <c r="Q21" s="19">
        <f>SUMIFS(Data!E:E,Data!A:A,Analysis!$D$6,Data!B:B,Analysis!$J$6,Data!C:C,Analysis!P21)</f>
        <v>159276</v>
      </c>
      <c r="R21" s="19">
        <f>SUMIFS(Data!D:D,Data!A:A,Analysis!$D$6,Data!B:B,Analysis!$J$6,Data!C:C,Analysis!P21)</f>
        <v>49778</v>
      </c>
      <c r="S21" s="20">
        <f t="shared" si="2"/>
        <v>159276</v>
      </c>
      <c r="W21" s="15" t="s">
        <v>61</v>
      </c>
      <c r="X21" s="17"/>
    </row>
    <row r="22" spans="3:27" ht="43.5" customHeight="1" thickBot="1" x14ac:dyDescent="0.5">
      <c r="C22" s="18" t="s">
        <v>82</v>
      </c>
      <c r="D22" s="29">
        <f>SUMIFS(Data!E:E,Data!A:A,Analysis!$D$6,Data!B:B,Analysis!$J$6,Data!F:F,Analysis!C22)</f>
        <v>3412325</v>
      </c>
      <c r="E22" s="44">
        <f>D22/SUM($D$22:$D$23)</f>
        <v>0.51446648408765905</v>
      </c>
      <c r="I22" s="50" t="str">
        <f>IF(G14&gt;G15,UPPER(J6)&amp; "has the highest Revenue in "&amp;D6&amp; " compared to the previous years (2019, 2020, &amp; 2021)","")</f>
        <v>TEAPOT has the highest Revenue in 2022 compared to the previous years (2019, 2020, &amp; 2021)</v>
      </c>
      <c r="J22" s="51"/>
      <c r="K22">
        <v>5</v>
      </c>
      <c r="L22" s="18" t="str">
        <f t="shared" si="4"/>
        <v>Breadbox </v>
      </c>
      <c r="M22" s="24">
        <f t="shared" si="5"/>
        <v>4609952</v>
      </c>
      <c r="N22" s="25">
        <f t="shared" si="6"/>
        <v>0</v>
      </c>
      <c r="P22" s="18" t="s">
        <v>18</v>
      </c>
      <c r="Q22" s="19">
        <f>SUMIFS(Data!E:E,Data!A:A,Analysis!$D$6,Data!B:B,Analysis!$J$6,Data!C:C,Analysis!P22)</f>
        <v>174820</v>
      </c>
      <c r="R22" s="19">
        <f>SUMIFS(Data!D:D,Data!A:A,Analysis!$D$6,Data!B:B,Analysis!$J$6,Data!C:C,Analysis!P22)</f>
        <v>16656</v>
      </c>
      <c r="S22" s="20">
        <f t="shared" si="2"/>
        <v>174820</v>
      </c>
      <c r="W22" s="33">
        <f>SUM(Data!E:E)</f>
        <v>159383368</v>
      </c>
      <c r="X22" s="29"/>
    </row>
    <row r="23" spans="3:27" ht="14.65" thickBot="1" x14ac:dyDescent="0.5">
      <c r="C23" s="21" t="s">
        <v>81</v>
      </c>
      <c r="D23" s="32">
        <f>SUMIFS(Data!E:E,Data!A:A,Analysis!$D$6,Data!B:B,Analysis!$J$6,Data!F:F,Analysis!C23)</f>
        <v>3220420</v>
      </c>
      <c r="E23" s="45">
        <f>D23/SUM($D$22:$D$23)</f>
        <v>0.48553351591234095</v>
      </c>
      <c r="K23">
        <v>6</v>
      </c>
      <c r="L23" s="18" t="str">
        <f t="shared" si="4"/>
        <v>Microwave oven </v>
      </c>
      <c r="M23" s="24">
        <f t="shared" si="5"/>
        <v>3572538</v>
      </c>
      <c r="N23" s="25">
        <f t="shared" si="6"/>
        <v>0</v>
      </c>
      <c r="P23" s="18" t="s">
        <v>19</v>
      </c>
      <c r="Q23" s="19">
        <f>SUMIFS(Data!E:E,Data!A:A,Analysis!$D$6,Data!B:B,Analysis!$J$6,Data!C:C,Analysis!P23)</f>
        <v>193184</v>
      </c>
      <c r="R23" s="19">
        <f>SUMIFS(Data!D:D,Data!A:A,Analysis!$D$6,Data!B:B,Analysis!$J$6,Data!C:C,Analysis!P23)</f>
        <v>64429</v>
      </c>
      <c r="S23" s="20">
        <f t="shared" si="2"/>
        <v>193184</v>
      </c>
      <c r="V23" s="52" t="s">
        <v>88</v>
      </c>
      <c r="W23" s="34">
        <f>IF(U8=1,W22,"")</f>
        <v>159383368</v>
      </c>
      <c r="X23" s="32" t="str">
        <f>IF(U8=1,"Revenue till date","")</f>
        <v>Revenue till date</v>
      </c>
    </row>
    <row r="24" spans="3:27" x14ac:dyDescent="0.45">
      <c r="K24">
        <v>7</v>
      </c>
      <c r="L24" s="18" t="str">
        <f t="shared" si="4"/>
        <v>Toaster </v>
      </c>
      <c r="M24" s="24">
        <f t="shared" si="5"/>
        <v>3355051</v>
      </c>
      <c r="N24" s="25">
        <f t="shared" si="6"/>
        <v>0</v>
      </c>
      <c r="P24" s="18" t="s">
        <v>20</v>
      </c>
      <c r="Q24" s="19">
        <f>SUMIFS(Data!E:E,Data!A:A,Analysis!$D$6,Data!B:B,Analysis!$J$6,Data!C:C,Analysis!P24)</f>
        <v>136442</v>
      </c>
      <c r="R24" s="19">
        <f>SUMIFS(Data!D:D,Data!A:A,Analysis!$D$6,Data!B:B,Analysis!$J$6,Data!C:C,Analysis!P24)</f>
        <v>140031</v>
      </c>
      <c r="S24" s="20">
        <f t="shared" si="2"/>
        <v>136442</v>
      </c>
    </row>
    <row r="25" spans="3:27" x14ac:dyDescent="0.45">
      <c r="K25">
        <v>8</v>
      </c>
      <c r="L25" s="18" t="str">
        <f t="shared" si="4"/>
        <v>Mixing bowl</v>
      </c>
      <c r="M25" s="24">
        <f t="shared" si="5"/>
        <v>2898819</v>
      </c>
      <c r="N25" s="25">
        <f t="shared" si="6"/>
        <v>0</v>
      </c>
      <c r="P25" s="18" t="s">
        <v>21</v>
      </c>
      <c r="Q25" s="19">
        <f>SUMIFS(Data!E:E,Data!A:A,Analysis!$D$6,Data!B:B,Analysis!$J$6,Data!C:C,Analysis!P25)</f>
        <v>117008</v>
      </c>
      <c r="R25" s="19">
        <f>SUMIFS(Data!D:D,Data!A:A,Analysis!$D$6,Data!B:B,Analysis!$J$6,Data!C:C,Analysis!P25)</f>
        <v>58322</v>
      </c>
      <c r="S25" s="20">
        <f t="shared" si="2"/>
        <v>117008</v>
      </c>
    </row>
    <row r="26" spans="3:27" x14ac:dyDescent="0.45">
      <c r="K26">
        <v>9</v>
      </c>
      <c r="L26" s="18" t="str">
        <f t="shared" si="4"/>
        <v>Frying pan</v>
      </c>
      <c r="M26" s="24">
        <f t="shared" si="5"/>
        <v>2763987</v>
      </c>
      <c r="N26" s="25">
        <f t="shared" si="6"/>
        <v>0</v>
      </c>
      <c r="P26" s="18" t="s">
        <v>22</v>
      </c>
      <c r="Q26" s="19">
        <f>SUMIFS(Data!E:E,Data!A:A,Analysis!$D$6,Data!B:B,Analysis!$J$6,Data!C:C,Analysis!P26)</f>
        <v>119783</v>
      </c>
      <c r="R26" s="19">
        <f>SUMIFS(Data!D:D,Data!A:A,Analysis!$D$6,Data!B:B,Analysis!$J$6,Data!C:C,Analysis!P26)</f>
        <v>43713</v>
      </c>
      <c r="S26" s="20">
        <f t="shared" si="2"/>
        <v>119783</v>
      </c>
    </row>
    <row r="27" spans="3:27" ht="14.65" thickBot="1" x14ac:dyDescent="0.5">
      <c r="K27">
        <v>10</v>
      </c>
      <c r="L27" s="21" t="str">
        <f t="shared" si="4"/>
        <v>Dishwasher </v>
      </c>
      <c r="M27" s="26">
        <f t="shared" si="5"/>
        <v>2657607</v>
      </c>
      <c r="N27" s="27">
        <f t="shared" si="6"/>
        <v>0</v>
      </c>
      <c r="P27" s="18" t="s">
        <v>23</v>
      </c>
      <c r="Q27" s="19">
        <f>SUMIFS(Data!E:E,Data!A:A,Analysis!$D$6,Data!B:B,Analysis!$J$6,Data!C:C,Analysis!P27)</f>
        <v>100290</v>
      </c>
      <c r="R27" s="19">
        <f>SUMIFS(Data!D:D,Data!A:A,Analysis!$D$6,Data!B:B,Analysis!$J$6,Data!C:C,Analysis!P27)</f>
        <v>15250</v>
      </c>
      <c r="S27" s="20">
        <f t="shared" si="2"/>
        <v>100290</v>
      </c>
    </row>
    <row r="28" spans="3:27" x14ac:dyDescent="0.45">
      <c r="P28" s="18" t="s">
        <v>24</v>
      </c>
      <c r="Q28" s="19">
        <f>SUMIFS(Data!E:E,Data!A:A,Analysis!$D$6,Data!B:B,Analysis!$J$6,Data!C:C,Analysis!P28)</f>
        <v>110022</v>
      </c>
      <c r="R28" s="19">
        <f>SUMIFS(Data!D:D,Data!A:A,Analysis!$D$6,Data!B:B,Analysis!$J$6,Data!C:C,Analysis!P28)</f>
        <v>108212</v>
      </c>
      <c r="S28" s="20">
        <f t="shared" si="2"/>
        <v>110022</v>
      </c>
    </row>
    <row r="29" spans="3:27" x14ac:dyDescent="0.45">
      <c r="P29" s="18" t="s">
        <v>25</v>
      </c>
      <c r="Q29" s="19">
        <f>SUMIFS(Data!E:E,Data!A:A,Analysis!$D$6,Data!B:B,Analysis!$J$6,Data!C:C,Analysis!P29)</f>
        <v>113870</v>
      </c>
      <c r="R29" s="19">
        <f>SUMIFS(Data!D:D,Data!A:A,Analysis!$D$6,Data!B:B,Analysis!$J$6,Data!C:C,Analysis!P29)</f>
        <v>9946</v>
      </c>
      <c r="S29" s="20">
        <f t="shared" si="2"/>
        <v>113870</v>
      </c>
    </row>
    <row r="30" spans="3:27" x14ac:dyDescent="0.45">
      <c r="P30" s="18" t="s">
        <v>26</v>
      </c>
      <c r="Q30" s="19">
        <f>SUMIFS(Data!E:E,Data!A:A,Analysis!$D$6,Data!B:B,Analysis!$J$6,Data!C:C,Analysis!P30)</f>
        <v>112475</v>
      </c>
      <c r="R30" s="19">
        <f>SUMIFS(Data!D:D,Data!A:A,Analysis!$D$6,Data!B:B,Analysis!$J$6,Data!C:C,Analysis!P30)</f>
        <v>22081</v>
      </c>
      <c r="S30" s="20">
        <f t="shared" si="2"/>
        <v>112475</v>
      </c>
    </row>
    <row r="31" spans="3:27" x14ac:dyDescent="0.45">
      <c r="P31" s="18" t="s">
        <v>27</v>
      </c>
      <c r="Q31" s="19">
        <f>SUMIFS(Data!E:E,Data!A:A,Analysis!$D$6,Data!B:B,Analysis!$J$6,Data!C:C,Analysis!P31)</f>
        <v>124855</v>
      </c>
      <c r="R31" s="19">
        <f>SUMIFS(Data!D:D,Data!A:A,Analysis!$D$6,Data!B:B,Analysis!$J$6,Data!C:C,Analysis!P31)</f>
        <v>18060</v>
      </c>
      <c r="S31" s="20">
        <f t="shared" si="2"/>
        <v>124855</v>
      </c>
    </row>
    <row r="32" spans="3:27" x14ac:dyDescent="0.45">
      <c r="P32" s="18" t="s">
        <v>28</v>
      </c>
      <c r="Q32" s="19">
        <f>SUMIFS(Data!E:E,Data!A:A,Analysis!$D$6,Data!B:B,Analysis!$J$6,Data!C:C,Analysis!P32)</f>
        <v>134038</v>
      </c>
      <c r="R32" s="19">
        <f>SUMIFS(Data!D:D,Data!A:A,Analysis!$D$6,Data!B:B,Analysis!$J$6,Data!C:C,Analysis!P32)</f>
        <v>9673</v>
      </c>
      <c r="S32" s="20">
        <f t="shared" si="2"/>
        <v>134038</v>
      </c>
    </row>
    <row r="33" spans="16:19" x14ac:dyDescent="0.45">
      <c r="P33" s="18" t="s">
        <v>29</v>
      </c>
      <c r="Q33" s="19">
        <f>SUMIFS(Data!E:E,Data!A:A,Analysis!$D$6,Data!B:B,Analysis!$J$6,Data!C:C,Analysis!P33)</f>
        <v>127168</v>
      </c>
      <c r="R33" s="19">
        <f>SUMIFS(Data!D:D,Data!A:A,Analysis!$D$6,Data!B:B,Analysis!$J$6,Data!C:C,Analysis!P33)</f>
        <v>84255</v>
      </c>
      <c r="S33" s="20">
        <f t="shared" si="2"/>
        <v>127168</v>
      </c>
    </row>
    <row r="34" spans="16:19" x14ac:dyDescent="0.45">
      <c r="P34" s="18" t="s">
        <v>30</v>
      </c>
      <c r="Q34" s="19">
        <f>SUMIFS(Data!E:E,Data!A:A,Analysis!$D$6,Data!B:B,Analysis!$J$6,Data!C:C,Analysis!P34)</f>
        <v>100043</v>
      </c>
      <c r="R34" s="19">
        <f>SUMIFS(Data!D:D,Data!A:A,Analysis!$D$6,Data!B:B,Analysis!$J$6,Data!C:C,Analysis!P34)</f>
        <v>22422</v>
      </c>
      <c r="S34" s="20">
        <f t="shared" si="2"/>
        <v>100043</v>
      </c>
    </row>
    <row r="35" spans="16:19" x14ac:dyDescent="0.45">
      <c r="P35" s="18" t="s">
        <v>31</v>
      </c>
      <c r="Q35" s="19">
        <f>SUMIFS(Data!E:E,Data!A:A,Analysis!$D$6,Data!B:B,Analysis!$J$6,Data!C:C,Analysis!P35)</f>
        <v>125574</v>
      </c>
      <c r="R35" s="19">
        <f>SUMIFS(Data!D:D,Data!A:A,Analysis!$D$6,Data!B:B,Analysis!$J$6,Data!C:C,Analysis!P35)</f>
        <v>135095</v>
      </c>
      <c r="S35" s="20">
        <f t="shared" si="2"/>
        <v>125574</v>
      </c>
    </row>
    <row r="36" spans="16:19" x14ac:dyDescent="0.45">
      <c r="P36" s="18" t="s">
        <v>32</v>
      </c>
      <c r="Q36" s="19">
        <f>SUMIFS(Data!E:E,Data!A:A,Analysis!$D$6,Data!B:B,Analysis!$J$6,Data!C:C,Analysis!P36)</f>
        <v>115375</v>
      </c>
      <c r="R36" s="19">
        <f>SUMIFS(Data!D:D,Data!A:A,Analysis!$D$6,Data!B:B,Analysis!$J$6,Data!C:C,Analysis!P36)</f>
        <v>57713</v>
      </c>
      <c r="S36" s="20">
        <f t="shared" si="2"/>
        <v>115375</v>
      </c>
    </row>
    <row r="37" spans="16:19" x14ac:dyDescent="0.45">
      <c r="P37" s="18" t="s">
        <v>33</v>
      </c>
      <c r="Q37" s="19">
        <f>SUMIFS(Data!E:E,Data!A:A,Analysis!$D$6,Data!B:B,Analysis!$J$6,Data!C:C,Analysis!P37)</f>
        <v>119819</v>
      </c>
      <c r="R37" s="19">
        <f>SUMIFS(Data!D:D,Data!A:A,Analysis!$D$6,Data!B:B,Analysis!$J$6,Data!C:C,Analysis!P37)</f>
        <v>5318</v>
      </c>
      <c r="S37" s="20">
        <f t="shared" si="2"/>
        <v>119819</v>
      </c>
    </row>
    <row r="38" spans="16:19" x14ac:dyDescent="0.45">
      <c r="P38" s="18" t="s">
        <v>34</v>
      </c>
      <c r="Q38" s="19">
        <f>SUMIFS(Data!E:E,Data!A:A,Analysis!$D$6,Data!B:B,Analysis!$J$6,Data!C:C,Analysis!P38)</f>
        <v>111257</v>
      </c>
      <c r="R38" s="19">
        <f>SUMIFS(Data!D:D,Data!A:A,Analysis!$D$6,Data!B:B,Analysis!$J$6,Data!C:C,Analysis!P38)</f>
        <v>71455</v>
      </c>
      <c r="S38" s="20">
        <f t="shared" si="2"/>
        <v>111257</v>
      </c>
    </row>
    <row r="39" spans="16:19" x14ac:dyDescent="0.45">
      <c r="P39" s="18" t="s">
        <v>35</v>
      </c>
      <c r="Q39" s="19">
        <f>SUMIFS(Data!E:E,Data!A:A,Analysis!$D$6,Data!B:B,Analysis!$J$6,Data!C:C,Analysis!P39)</f>
        <v>107936</v>
      </c>
      <c r="R39" s="19">
        <f>SUMIFS(Data!D:D,Data!A:A,Analysis!$D$6,Data!B:B,Analysis!$J$6,Data!C:C,Analysis!P39)</f>
        <v>27001</v>
      </c>
      <c r="S39" s="20">
        <f t="shared" si="2"/>
        <v>107936</v>
      </c>
    </row>
    <row r="40" spans="16:19" x14ac:dyDescent="0.45">
      <c r="P40" s="18" t="s">
        <v>36</v>
      </c>
      <c r="Q40" s="19">
        <f>SUMIFS(Data!E:E,Data!A:A,Analysis!$D$6,Data!B:B,Analysis!$J$6,Data!C:C,Analysis!P40)</f>
        <v>118058</v>
      </c>
      <c r="R40" s="19">
        <f>SUMIFS(Data!D:D,Data!A:A,Analysis!$D$6,Data!B:B,Analysis!$J$6,Data!C:C,Analysis!P40)</f>
        <v>44219</v>
      </c>
      <c r="S40" s="20">
        <f t="shared" si="2"/>
        <v>118058</v>
      </c>
    </row>
    <row r="41" spans="16:19" x14ac:dyDescent="0.45">
      <c r="P41" s="18" t="s">
        <v>37</v>
      </c>
      <c r="Q41" s="19">
        <f>SUMIFS(Data!E:E,Data!A:A,Analysis!$D$6,Data!B:B,Analysis!$J$6,Data!C:C,Analysis!P41)</f>
        <v>122503</v>
      </c>
      <c r="R41" s="19">
        <f>SUMIFS(Data!D:D,Data!A:A,Analysis!$D$6,Data!B:B,Analysis!$J$6,Data!C:C,Analysis!P41)</f>
        <v>115880</v>
      </c>
      <c r="S41" s="20">
        <f t="shared" si="2"/>
        <v>122503</v>
      </c>
    </row>
    <row r="42" spans="16:19" x14ac:dyDescent="0.45">
      <c r="P42" s="18" t="s">
        <v>38</v>
      </c>
      <c r="Q42" s="19">
        <f>SUMIFS(Data!E:E,Data!A:A,Analysis!$D$6,Data!B:B,Analysis!$J$6,Data!C:C,Analysis!P42)</f>
        <v>116968</v>
      </c>
      <c r="R42" s="19">
        <f>SUMIFS(Data!D:D,Data!A:A,Analysis!$D$6,Data!B:B,Analysis!$J$6,Data!C:C,Analysis!P42)</f>
        <v>9571</v>
      </c>
      <c r="S42" s="20">
        <f t="shared" si="2"/>
        <v>116968</v>
      </c>
    </row>
    <row r="43" spans="16:19" x14ac:dyDescent="0.45">
      <c r="P43" s="18" t="s">
        <v>39</v>
      </c>
      <c r="Q43" s="19">
        <f>SUMIFS(Data!E:E,Data!A:A,Analysis!$D$6,Data!B:B,Analysis!$J$6,Data!C:C,Analysis!P43)</f>
        <v>109351</v>
      </c>
      <c r="R43" s="19">
        <f>SUMIFS(Data!D:D,Data!A:A,Analysis!$D$6,Data!B:B,Analysis!$J$6,Data!C:C,Analysis!P43)</f>
        <v>28369</v>
      </c>
      <c r="S43" s="20">
        <f t="shared" si="2"/>
        <v>109351</v>
      </c>
    </row>
    <row r="44" spans="16:19" x14ac:dyDescent="0.45">
      <c r="P44" s="18" t="s">
        <v>40</v>
      </c>
      <c r="Q44" s="19">
        <f>SUMIFS(Data!E:E,Data!A:A,Analysis!$D$6,Data!B:B,Analysis!$J$6,Data!C:C,Analysis!P44)</f>
        <v>121466</v>
      </c>
      <c r="R44" s="19">
        <f>SUMIFS(Data!D:D,Data!A:A,Analysis!$D$6,Data!B:B,Analysis!$J$6,Data!C:C,Analysis!P44)</f>
        <v>5838</v>
      </c>
      <c r="S44" s="20">
        <f t="shared" si="2"/>
        <v>121466</v>
      </c>
    </row>
    <row r="45" spans="16:19" x14ac:dyDescent="0.45">
      <c r="P45" s="18" t="s">
        <v>41</v>
      </c>
      <c r="Q45" s="19">
        <f>SUMIFS(Data!E:E,Data!A:A,Analysis!$D$6,Data!B:B,Analysis!$J$6,Data!C:C,Analysis!P45)</f>
        <v>121584</v>
      </c>
      <c r="R45" s="19">
        <f>SUMIFS(Data!D:D,Data!A:A,Analysis!$D$6,Data!B:B,Analysis!$J$6,Data!C:C,Analysis!P45)</f>
        <v>37776</v>
      </c>
      <c r="S45" s="20">
        <f t="shared" si="2"/>
        <v>121584</v>
      </c>
    </row>
    <row r="46" spans="16:19" x14ac:dyDescent="0.45">
      <c r="P46" s="18" t="s">
        <v>42</v>
      </c>
      <c r="Q46" s="19">
        <f>SUMIFS(Data!E:E,Data!A:A,Analysis!$D$6,Data!B:B,Analysis!$J$6,Data!C:C,Analysis!P46)</f>
        <v>595137</v>
      </c>
      <c r="R46" s="19">
        <f>SUMIFS(Data!D:D,Data!A:A,Analysis!$D$6,Data!B:B,Analysis!$J$6,Data!C:C,Analysis!P46)</f>
        <v>1049136</v>
      </c>
      <c r="S46" s="20">
        <f t="shared" si="2"/>
        <v>595137</v>
      </c>
    </row>
    <row r="47" spans="16:19" x14ac:dyDescent="0.45">
      <c r="P47" s="18" t="s">
        <v>43</v>
      </c>
      <c r="Q47" s="19">
        <f>SUMIFS(Data!E:E,Data!A:A,Analysis!$D$6,Data!B:B,Analysis!$J$6,Data!C:C,Analysis!P47)</f>
        <v>105243</v>
      </c>
      <c r="R47" s="19">
        <f>SUMIFS(Data!D:D,Data!A:A,Analysis!$D$6,Data!B:B,Analysis!$J$6,Data!C:C,Analysis!P47)</f>
        <v>26320</v>
      </c>
      <c r="S47" s="20">
        <f t="shared" si="2"/>
        <v>105243</v>
      </c>
    </row>
    <row r="48" spans="16:19" x14ac:dyDescent="0.45">
      <c r="P48" s="18" t="s">
        <v>44</v>
      </c>
      <c r="Q48" s="19">
        <f>SUMIFS(Data!E:E,Data!A:A,Analysis!$D$6,Data!B:B,Analysis!$J$6,Data!C:C,Analysis!P48)</f>
        <v>113280</v>
      </c>
      <c r="R48" s="19">
        <f>SUMIFS(Data!D:D,Data!A:A,Analysis!$D$6,Data!B:B,Analysis!$J$6,Data!C:C,Analysis!P48)</f>
        <v>5019</v>
      </c>
      <c r="S48" s="20">
        <f t="shared" si="2"/>
        <v>113280</v>
      </c>
    </row>
    <row r="49" spans="16:19" x14ac:dyDescent="0.45">
      <c r="P49" s="18" t="s">
        <v>45</v>
      </c>
      <c r="Q49" s="19">
        <f>SUMIFS(Data!E:E,Data!A:A,Analysis!$D$6,Data!B:B,Analysis!$J$6,Data!C:C,Analysis!P49)</f>
        <v>116995</v>
      </c>
      <c r="R49" s="19">
        <f>SUMIFS(Data!D:D,Data!A:A,Analysis!$D$6,Data!B:B,Analysis!$J$6,Data!C:C,Analysis!P49)</f>
        <v>99849</v>
      </c>
      <c r="S49" s="20">
        <f t="shared" si="2"/>
        <v>116995</v>
      </c>
    </row>
    <row r="50" spans="16:19" x14ac:dyDescent="0.45">
      <c r="P50" s="18" t="s">
        <v>46</v>
      </c>
      <c r="Q50" s="19">
        <f>SUMIFS(Data!E:E,Data!A:A,Analysis!$D$6,Data!B:B,Analysis!$J$6,Data!C:C,Analysis!P50)</f>
        <v>120811</v>
      </c>
      <c r="R50" s="19">
        <f>SUMIFS(Data!D:D,Data!A:A,Analysis!$D$6,Data!B:B,Analysis!$J$6,Data!C:C,Analysis!P50)</f>
        <v>138967</v>
      </c>
      <c r="S50" s="20">
        <f t="shared" si="2"/>
        <v>120811</v>
      </c>
    </row>
    <row r="51" spans="16:19" x14ac:dyDescent="0.45">
      <c r="P51" s="18" t="s">
        <v>47</v>
      </c>
      <c r="Q51" s="19">
        <f>SUMIFS(Data!E:E,Data!A:A,Analysis!$D$6,Data!B:B,Analysis!$J$6,Data!C:C,Analysis!P51)</f>
        <v>110473</v>
      </c>
      <c r="R51" s="19">
        <f>SUMIFS(Data!D:D,Data!A:A,Analysis!$D$6,Data!B:B,Analysis!$J$6,Data!C:C,Analysis!P51)</f>
        <v>14255</v>
      </c>
      <c r="S51" s="20">
        <f t="shared" si="2"/>
        <v>110473</v>
      </c>
    </row>
    <row r="52" spans="16:19" x14ac:dyDescent="0.45">
      <c r="P52" s="18" t="s">
        <v>48</v>
      </c>
      <c r="Q52" s="19">
        <f>SUMIFS(Data!E:E,Data!A:A,Analysis!$D$6,Data!B:B,Analysis!$J$6,Data!C:C,Analysis!P52)</f>
        <v>115944</v>
      </c>
      <c r="R52" s="19">
        <f>SUMIFS(Data!D:D,Data!A:A,Analysis!$D$6,Data!B:B,Analysis!$J$6,Data!C:C,Analysis!P52)</f>
        <v>60382</v>
      </c>
      <c r="S52" s="20">
        <f t="shared" si="2"/>
        <v>115944</v>
      </c>
    </row>
    <row r="53" spans="16:19" ht="14.65" thickBot="1" x14ac:dyDescent="0.5">
      <c r="P53" s="21" t="s">
        <v>49</v>
      </c>
      <c r="Q53" s="22">
        <f>SUMIFS(Data!E:E,Data!A:A,Analysis!$D$6,Data!B:B,Analysis!$J$6,Data!C:C,Analysis!P53)</f>
        <v>102417</v>
      </c>
      <c r="R53" s="22">
        <f>SUMIFS(Data!D:D,Data!A:A,Analysis!$D$6,Data!B:B,Analysis!$J$6,Data!C:C,Analysis!P53)</f>
        <v>6869</v>
      </c>
      <c r="S53" s="23">
        <f t="shared" si="2"/>
        <v>102417</v>
      </c>
    </row>
  </sheetData>
  <autoFilter ref="L5:N15" xr:uid="{6BB3ACFB-0D9D-42A8-9D81-EB2F9D8FB62A}"/>
  <dataValidations disablePrompts="1" count="1">
    <dataValidation type="list" allowBlank="1" showInputMessage="1" showErrorMessage="1" sqref="E6" xr:uid="{F23DC4F0-FEF9-46BA-A7E2-311E970B5C51}">
      <formula1>$C$6:$C$9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818D-0117-43BF-AFE6-57AD2FA3820D}">
  <dimension ref="A1"/>
  <sheetViews>
    <sheetView showGridLines="0" showRowColHeaders="0" zoomScale="105" workbookViewId="0">
      <selection activeCell="L8" sqref="L8"/>
    </sheetView>
  </sheetViews>
  <sheetFormatPr defaultRowHeight="14.25" x14ac:dyDescent="0.45"/>
  <sheetData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Spinner 1">
              <controlPr defaultSize="0" autoPict="0">
                <anchor moveWithCells="1" sizeWithCells="1">
                  <from>
                    <xdr:col>1</xdr:col>
                    <xdr:colOff>47625</xdr:colOff>
                    <xdr:row>5</xdr:row>
                    <xdr:rowOff>142875</xdr:rowOff>
                  </from>
                  <to>
                    <xdr:col>1</xdr:col>
                    <xdr:colOff>476250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Option Button 2">
              <controlPr defaultSize="0" autoFill="0" autoLine="0" autoPict="0">
                <anchor moveWithCells="1">
                  <from>
                    <xdr:col>13</xdr:col>
                    <xdr:colOff>333375</xdr:colOff>
                    <xdr:row>9</xdr:row>
                    <xdr:rowOff>42863</xdr:rowOff>
                  </from>
                  <to>
                    <xdr:col>15</xdr:col>
                    <xdr:colOff>123825</xdr:colOff>
                    <xdr:row>10</xdr:row>
                    <xdr:rowOff>61913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Option Button 3">
              <controlPr defaultSize="0" autoFill="0" autoLine="0" autoPict="0">
                <anchor moveWithCells="1">
                  <from>
                    <xdr:col>16</xdr:col>
                    <xdr:colOff>519113</xdr:colOff>
                    <xdr:row>9</xdr:row>
                    <xdr:rowOff>42863</xdr:rowOff>
                  </from>
                  <to>
                    <xdr:col>18</xdr:col>
                    <xdr:colOff>304800</xdr:colOff>
                    <xdr:row>10</xdr:row>
                    <xdr:rowOff>61913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New Data</vt:lpstr>
      <vt:lpstr>Population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Shivangi Khoria</cp:lastModifiedBy>
  <dcterms:created xsi:type="dcterms:W3CDTF">2022-11-13T01:45:02Z</dcterms:created>
  <dcterms:modified xsi:type="dcterms:W3CDTF">2026-01-03T11:11:49Z</dcterms:modified>
</cp:coreProperties>
</file>