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Data Analytics Projects\MS Excel Projects\Online Sales Project\"/>
    </mc:Choice>
  </mc:AlternateContent>
  <xr:revisionPtr revIDLastSave="0" documentId="13_ncr:1_{8BCF40B3-9894-4EB8-9E0C-C2D07DC8F048}" xr6:coauthVersionLast="47" xr6:coauthVersionMax="47" xr10:uidLastSave="{00000000-0000-0000-0000-000000000000}"/>
  <bookViews>
    <workbookView xWindow="-98" yWindow="-98" windowWidth="21795" windowHeight="12975" xr2:uid="{00000000-000D-0000-FFFF-FFFF00000000}"/>
  </bookViews>
  <sheets>
    <sheet name="Raw data" sheetId="1" r:id="rId1"/>
    <sheet name="Clearned data" sheetId="2" r:id="rId2"/>
    <sheet name="Analysis" sheetId="3" r:id="rId3"/>
    <sheet name="Dashboard" sheetId="4" r:id="rId4"/>
  </sheets>
  <definedNames>
    <definedName name="ExternalData_1" localSheetId="1" hidden="1">'Clearned data'!$A$1:$I$999</definedName>
    <definedName name="Slicer_Payment_Type">#N/A</definedName>
    <definedName name="Slicer_Time_range">#N/A</definedName>
    <definedName name="Slicer_Weekdays">#N/A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2" l="1"/>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W28" i="3" l="1"/>
  <c r="X28" i="3" s="1"/>
  <c r="W29" i="3"/>
  <c r="X29" i="3" s="1"/>
  <c r="W27" i="3"/>
  <c r="X27" i="3" l="1"/>
  <c r="W31" i="3" s="1"/>
  <c r="W23" i="3"/>
  <c r="W32" i="3" l="1"/>
  <c r="AF4" i="3"/>
  <c r="AE8" i="3" s="1"/>
  <c r="S17" i="3" l="1"/>
  <c r="S16" i="3"/>
  <c r="S15" i="3"/>
  <c r="U4" i="3" l="1"/>
  <c r="N10" i="3"/>
  <c r="K10" i="3"/>
  <c r="J11" i="3"/>
  <c r="K11" i="3"/>
  <c r="J10" i="3"/>
  <c r="Q10" i="3" l="1"/>
  <c r="P10" i="3"/>
  <c r="R10" i="3"/>
  <c r="N15" i="3"/>
  <c r="O10" i="3"/>
  <c r="O11" i="3" s="1"/>
  <c r="O1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AD71952-4CEE-45AC-BEEA-BDF5E58C09A5}" keepAlive="1" name="Query - Table1" description="Connection to the 'Table1' query in the workbook." type="5" refreshedVersion="6"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<sst xmlns="http://schemas.openxmlformats.org/spreadsheetml/2006/main" count="12102" uniqueCount="1765">
  <si>
    <t>Transaction_date</t>
  </si>
  <si>
    <t>Product</t>
  </si>
  <si>
    <t>Payment_Type</t>
  </si>
  <si>
    <t>City</t>
  </si>
  <si>
    <t>State</t>
  </si>
  <si>
    <t>Country</t>
  </si>
  <si>
    <t>Last_Login</t>
  </si>
  <si>
    <t>Latitude</t>
  </si>
  <si>
    <t>Longitude</t>
  </si>
  <si>
    <t>US Zip</t>
  </si>
  <si>
    <t>Product1</t>
  </si>
  <si>
    <t>Visa</t>
  </si>
  <si>
    <t>Betina</t>
  </si>
  <si>
    <t>Parkville</t>
  </si>
  <si>
    <t>MO</t>
  </si>
  <si>
    <t>United States</t>
  </si>
  <si>
    <t>Mastercard</t>
  </si>
  <si>
    <t>Federica e Andrea</t>
  </si>
  <si>
    <t>Astoria</t>
  </si>
  <si>
    <t>OR</t>
  </si>
  <si>
    <t>Product2</t>
  </si>
  <si>
    <t>Gerd W</t>
  </si>
  <si>
    <t>Cahaba Heights</t>
  </si>
  <si>
    <t>AL</t>
  </si>
  <si>
    <t>LAURENCE</t>
  </si>
  <si>
    <t>Mickleton</t>
  </si>
  <si>
    <t>NJ</t>
  </si>
  <si>
    <t>Fleur</t>
  </si>
  <si>
    <t>Peoria</t>
  </si>
  <si>
    <t>IL</t>
  </si>
  <si>
    <t>adam</t>
  </si>
  <si>
    <t>Martin</t>
  </si>
  <si>
    <t>TN</t>
  </si>
  <si>
    <t>Stacy</t>
  </si>
  <si>
    <t>New York</t>
  </si>
  <si>
    <t>NY</t>
  </si>
  <si>
    <t>Sean</t>
  </si>
  <si>
    <t>Shavano Park</t>
  </si>
  <si>
    <t>TX</t>
  </si>
  <si>
    <t>Georgia</t>
  </si>
  <si>
    <t>Eagle</t>
  </si>
  <si>
    <t>ID</t>
  </si>
  <si>
    <t>Richard</t>
  </si>
  <si>
    <t>Riverside</t>
  </si>
  <si>
    <t>Hani</t>
  </si>
  <si>
    <t>Salt Lake City</t>
  </si>
  <si>
    <t>UT</t>
  </si>
  <si>
    <t>asuman</t>
  </si>
  <si>
    <t>Chula Vista</t>
  </si>
  <si>
    <t>CA</t>
  </si>
  <si>
    <t>Lisa</t>
  </si>
  <si>
    <t>Sugar Land</t>
  </si>
  <si>
    <t>Bryan Kerrene</t>
  </si>
  <si>
    <t>Maxine</t>
  </si>
  <si>
    <t>Morton</t>
  </si>
  <si>
    <t>Family</t>
  </si>
  <si>
    <t>Los Gatos</t>
  </si>
  <si>
    <t>Katherine</t>
  </si>
  <si>
    <t>Linda</t>
  </si>
  <si>
    <t>Miami</t>
  </si>
  <si>
    <t>FL</t>
  </si>
  <si>
    <t>Sheila</t>
  </si>
  <si>
    <t>Brooklyn</t>
  </si>
  <si>
    <t>Amex</t>
  </si>
  <si>
    <t>Kelly</t>
  </si>
  <si>
    <t>Reston</t>
  </si>
  <si>
    <t>VA</t>
  </si>
  <si>
    <t>jennifer</t>
  </si>
  <si>
    <t>Phoenix</t>
  </si>
  <si>
    <t>AZ</t>
  </si>
  <si>
    <t>Anneli</t>
  </si>
  <si>
    <t>Houston</t>
  </si>
  <si>
    <t>Ritz</t>
  </si>
  <si>
    <t>Pittsfield</t>
  </si>
  <si>
    <t>VT</t>
  </si>
  <si>
    <t>Sylvia</t>
  </si>
  <si>
    <t>Marie</t>
  </si>
  <si>
    <t>Ball Ground</t>
  </si>
  <si>
    <t>GA</t>
  </si>
  <si>
    <t>Anabela</t>
  </si>
  <si>
    <t>Flossmoor</t>
  </si>
  <si>
    <t>Nicole</t>
  </si>
  <si>
    <t>Christiane</t>
  </si>
  <si>
    <t>Delray Beach</t>
  </si>
  <si>
    <t>Vanessa</t>
  </si>
  <si>
    <t>Sandy Springs</t>
  </si>
  <si>
    <t>Karina</t>
  </si>
  <si>
    <t>Fort Lauderdale</t>
  </si>
  <si>
    <t>Angela</t>
  </si>
  <si>
    <t>Ankeny</t>
  </si>
  <si>
    <t>IA</t>
  </si>
  <si>
    <t>Darren</t>
  </si>
  <si>
    <t>Pittsboro</t>
  </si>
  <si>
    <t>NC</t>
  </si>
  <si>
    <t>Nikki</t>
  </si>
  <si>
    <t>New Rochelle</t>
  </si>
  <si>
    <t>June</t>
  </si>
  <si>
    <t>Beachwood</t>
  </si>
  <si>
    <t>OH</t>
  </si>
  <si>
    <t>chrissy</t>
  </si>
  <si>
    <t>W Lebanon</t>
  </si>
  <si>
    <t>NH</t>
  </si>
  <si>
    <t>Dottie</t>
  </si>
  <si>
    <t>Woodsboro</t>
  </si>
  <si>
    <t>MD</t>
  </si>
  <si>
    <t>Lynne</t>
  </si>
  <si>
    <t>Memphis</t>
  </si>
  <si>
    <t>Rosa Maria</t>
  </si>
  <si>
    <t>Cincinnati</t>
  </si>
  <si>
    <t>Gitte</t>
  </si>
  <si>
    <t>Staten Island</t>
  </si>
  <si>
    <t>Crystal</t>
  </si>
  <si>
    <t>Farmington</t>
  </si>
  <si>
    <t>MI</t>
  </si>
  <si>
    <t>Delphine</t>
  </si>
  <si>
    <t>Santa Monica</t>
  </si>
  <si>
    <t>Valda</t>
  </si>
  <si>
    <t>Irvine</t>
  </si>
  <si>
    <t>Clare</t>
  </si>
  <si>
    <t>Keller</t>
  </si>
  <si>
    <t>ZENA</t>
  </si>
  <si>
    <t>Honolulu</t>
  </si>
  <si>
    <t>HI</t>
  </si>
  <si>
    <t>Rennae</t>
  </si>
  <si>
    <t>Amelia Island</t>
  </si>
  <si>
    <t>Tod</t>
  </si>
  <si>
    <t>Coral Gables</t>
  </si>
  <si>
    <t>Janaina</t>
  </si>
  <si>
    <t>Jolene</t>
  </si>
  <si>
    <t>Englewood</t>
  </si>
  <si>
    <t>CO</t>
  </si>
  <si>
    <t>Alexis</t>
  </si>
  <si>
    <t>Genoa</t>
  </si>
  <si>
    <t>Melissa</t>
  </si>
  <si>
    <t>Parkland</t>
  </si>
  <si>
    <t>CLARE</t>
  </si>
  <si>
    <t>San Francisco</t>
  </si>
  <si>
    <t>catherine</t>
  </si>
  <si>
    <t>Bruce and Camille</t>
  </si>
  <si>
    <t>Clinton</t>
  </si>
  <si>
    <t>Ellen</t>
  </si>
  <si>
    <t>Owensboro</t>
  </si>
  <si>
    <t>KY</t>
  </si>
  <si>
    <t>Amy</t>
  </si>
  <si>
    <t>Lakewood Village</t>
  </si>
  <si>
    <t>Brian</t>
  </si>
  <si>
    <t>College Park</t>
  </si>
  <si>
    <t>Kenny</t>
  </si>
  <si>
    <t>Kailua Kona</t>
  </si>
  <si>
    <t>ayse</t>
  </si>
  <si>
    <t>Redondo Beach</t>
  </si>
  <si>
    <t>Maria and Timothy</t>
  </si>
  <si>
    <t>Fountain Hls</t>
  </si>
  <si>
    <t>Gerald</t>
  </si>
  <si>
    <t>Mahopac</t>
  </si>
  <si>
    <t>Kara</t>
  </si>
  <si>
    <t>Chicago</t>
  </si>
  <si>
    <t>Orsi</t>
  </si>
  <si>
    <t>Rayford</t>
  </si>
  <si>
    <t>Ben</t>
  </si>
  <si>
    <t>Escondido</t>
  </si>
  <si>
    <t>Chelsey</t>
  </si>
  <si>
    <t>Ashburn</t>
  </si>
  <si>
    <t>Charis</t>
  </si>
  <si>
    <t>Los Angeles</t>
  </si>
  <si>
    <t>Marlene</t>
  </si>
  <si>
    <t>Edgewood</t>
  </si>
  <si>
    <t>WA</t>
  </si>
  <si>
    <t>Fie</t>
  </si>
  <si>
    <t>Janet</t>
  </si>
  <si>
    <t>Marietta</t>
  </si>
  <si>
    <t>Jamie</t>
  </si>
  <si>
    <t>Chad</t>
  </si>
  <si>
    <t>West Orange</t>
  </si>
  <si>
    <t>Anna</t>
  </si>
  <si>
    <t>Downey</t>
  </si>
  <si>
    <t>Lafayette</t>
  </si>
  <si>
    <t>Ruth</t>
  </si>
  <si>
    <t>Nashville</t>
  </si>
  <si>
    <t>AR</t>
  </si>
  <si>
    <t>Shailesh</t>
  </si>
  <si>
    <t>Joppa</t>
  </si>
  <si>
    <t>Conrad</t>
  </si>
  <si>
    <t>Alison</t>
  </si>
  <si>
    <t>Hampton</t>
  </si>
  <si>
    <t>Tracy</t>
  </si>
  <si>
    <t>Louisville</t>
  </si>
  <si>
    <t>Kate</t>
  </si>
  <si>
    <t>Broadlands</t>
  </si>
  <si>
    <t>Therese</t>
  </si>
  <si>
    <t>Abdul-L</t>
  </si>
  <si>
    <t>heidi</t>
  </si>
  <si>
    <t>Saint Paul</t>
  </si>
  <si>
    <t>MN</t>
  </si>
  <si>
    <t>jiyoung</t>
  </si>
  <si>
    <t>Klara</t>
  </si>
  <si>
    <t>Spring Lake Park</t>
  </si>
  <si>
    <t>Vicki and Bill</t>
  </si>
  <si>
    <t>Seattle</t>
  </si>
  <si>
    <t>David</t>
  </si>
  <si>
    <t>Deptford</t>
  </si>
  <si>
    <t>Alpharetta</t>
  </si>
  <si>
    <t>Greg</t>
  </si>
  <si>
    <t>Washington</t>
  </si>
  <si>
    <t>DC</t>
  </si>
  <si>
    <t>Bernadette</t>
  </si>
  <si>
    <t>luciana</t>
  </si>
  <si>
    <t>Athens</t>
  </si>
  <si>
    <t>Maja</t>
  </si>
  <si>
    <t>Hoschton</t>
  </si>
  <si>
    <t>Kirstie</t>
  </si>
  <si>
    <t>Royal Oak</t>
  </si>
  <si>
    <t>Scott</t>
  </si>
  <si>
    <t>Jammie</t>
  </si>
  <si>
    <t>Belmont</t>
  </si>
  <si>
    <t>MA</t>
  </si>
  <si>
    <t>Frank</t>
  </si>
  <si>
    <t>Old Greenwich</t>
  </si>
  <si>
    <t>CT</t>
  </si>
  <si>
    <t>scott</t>
  </si>
  <si>
    <t>Coconut Grove</t>
  </si>
  <si>
    <t>Jiri</t>
  </si>
  <si>
    <t>Vienna</t>
  </si>
  <si>
    <t>Bev</t>
  </si>
  <si>
    <t>San Ramon</t>
  </si>
  <si>
    <t>Dave and Amy</t>
  </si>
  <si>
    <t>Norfolk</t>
  </si>
  <si>
    <t>Rebecca</t>
  </si>
  <si>
    <t>Djeiny</t>
  </si>
  <si>
    <t>Rockville</t>
  </si>
  <si>
    <t>Product3</t>
  </si>
  <si>
    <t>Amanda</t>
  </si>
  <si>
    <t>Shreveport</t>
  </si>
  <si>
    <t>LA</t>
  </si>
  <si>
    <t>Andrea</t>
  </si>
  <si>
    <t>Joanna</t>
  </si>
  <si>
    <t>Little Silver</t>
  </si>
  <si>
    <t>alison</t>
  </si>
  <si>
    <t>Mid City West</t>
  </si>
  <si>
    <t>PA</t>
  </si>
  <si>
    <t>malin</t>
  </si>
  <si>
    <t>Atlanta</t>
  </si>
  <si>
    <t>Anastasia</t>
  </si>
  <si>
    <t>NYC</t>
  </si>
  <si>
    <t>Brookline</t>
  </si>
  <si>
    <t>Blanca Gabriela</t>
  </si>
  <si>
    <t>Irving</t>
  </si>
  <si>
    <t>Elisa</t>
  </si>
  <si>
    <t>Ottawa Hills</t>
  </si>
  <si>
    <t>Patricia</t>
  </si>
  <si>
    <t>Portola Valley</t>
  </si>
  <si>
    <t>Kristyn</t>
  </si>
  <si>
    <t>Kearns</t>
  </si>
  <si>
    <t>Cathy</t>
  </si>
  <si>
    <t>Kaylee</t>
  </si>
  <si>
    <t>Penngrove</t>
  </si>
  <si>
    <t>suzanne</t>
  </si>
  <si>
    <t>Lemont</t>
  </si>
  <si>
    <t>Cassandra</t>
  </si>
  <si>
    <t>San Carlos</t>
  </si>
  <si>
    <t>Jennifer</t>
  </si>
  <si>
    <t>Wantagh</t>
  </si>
  <si>
    <t>Harriet</t>
  </si>
  <si>
    <t>Fort Oglethorpe</t>
  </si>
  <si>
    <t>Janine</t>
  </si>
  <si>
    <t>Corbin City</t>
  </si>
  <si>
    <t>Debora</t>
  </si>
  <si>
    <t>Lakeside</t>
  </si>
  <si>
    <t>Vishpala</t>
  </si>
  <si>
    <t>Margate</t>
  </si>
  <si>
    <t>Emer</t>
  </si>
  <si>
    <t>South Palm Beach</t>
  </si>
  <si>
    <t>john</t>
  </si>
  <si>
    <t>lailani</t>
  </si>
  <si>
    <t>Anchorage</t>
  </si>
  <si>
    <t>AK</t>
  </si>
  <si>
    <t>Celina</t>
  </si>
  <si>
    <t>North Brunswick</t>
  </si>
  <si>
    <t>Rosemary</t>
  </si>
  <si>
    <t>Jacksonville</t>
  </si>
  <si>
    <t>Patrick</t>
  </si>
  <si>
    <t>Baytown</t>
  </si>
  <si>
    <t>Jacob</t>
  </si>
  <si>
    <t>Winter Haven</t>
  </si>
  <si>
    <t>elisabeth</t>
  </si>
  <si>
    <t>Gonzaga Univ</t>
  </si>
  <si>
    <t>Winchester</t>
  </si>
  <si>
    <t>Orit</t>
  </si>
  <si>
    <t>Dallas</t>
  </si>
  <si>
    <t>Anja Langer</t>
  </si>
  <si>
    <t>Eric</t>
  </si>
  <si>
    <t>Ely</t>
  </si>
  <si>
    <t>NV</t>
  </si>
  <si>
    <t>Miriane</t>
  </si>
  <si>
    <t>Jeff</t>
  </si>
  <si>
    <t>Shannon</t>
  </si>
  <si>
    <t>Buffalo Grove</t>
  </si>
  <si>
    <t>Helen</t>
  </si>
  <si>
    <t>Mechanics Grove</t>
  </si>
  <si>
    <t>Fatisha</t>
  </si>
  <si>
    <t>Nina</t>
  </si>
  <si>
    <t>Silver Spring</t>
  </si>
  <si>
    <t>Georgina</t>
  </si>
  <si>
    <t>Portland</t>
  </si>
  <si>
    <t>Kellie</t>
  </si>
  <si>
    <t>Terry</t>
  </si>
  <si>
    <t>San Antonio</t>
  </si>
  <si>
    <t>Cindy</t>
  </si>
  <si>
    <t>Simone</t>
  </si>
  <si>
    <t>Hilde</t>
  </si>
  <si>
    <t>Princeville</t>
  </si>
  <si>
    <t>leiser</t>
  </si>
  <si>
    <t>N Java</t>
  </si>
  <si>
    <t>Ann</t>
  </si>
  <si>
    <t>Austin</t>
  </si>
  <si>
    <t>Nichol Jane</t>
  </si>
  <si>
    <t>Midland Park</t>
  </si>
  <si>
    <t>Beatriz</t>
  </si>
  <si>
    <t>Centerport</t>
  </si>
  <si>
    <t>Isabelle</t>
  </si>
  <si>
    <t>Shorewood</t>
  </si>
  <si>
    <t>Southlake</t>
  </si>
  <si>
    <t>Doug</t>
  </si>
  <si>
    <t>Huntington</t>
  </si>
  <si>
    <t>AMY</t>
  </si>
  <si>
    <t>The Woodlands</t>
  </si>
  <si>
    <t>HELIDA</t>
  </si>
  <si>
    <t>White House</t>
  </si>
  <si>
    <t>Wendy</t>
  </si>
  <si>
    <t>Lake Mahopac</t>
  </si>
  <si>
    <t>shelby</t>
  </si>
  <si>
    <t>Plantation</t>
  </si>
  <si>
    <t>Heloise</t>
  </si>
  <si>
    <t>Arlington</t>
  </si>
  <si>
    <t>Jodie</t>
  </si>
  <si>
    <t>Great Falls</t>
  </si>
  <si>
    <t>Virginia</t>
  </si>
  <si>
    <t>Dickerson</t>
  </si>
  <si>
    <t>Princeton</t>
  </si>
  <si>
    <t>Katrine</t>
  </si>
  <si>
    <t>North Tustin</t>
  </si>
  <si>
    <t>prof</t>
  </si>
  <si>
    <t>Gladwyne</t>
  </si>
  <si>
    <t>KeithMichelle</t>
  </si>
  <si>
    <t>Miye</t>
  </si>
  <si>
    <t>Downingtown</t>
  </si>
  <si>
    <t>Heidi</t>
  </si>
  <si>
    <t>MT Pleasant</t>
  </si>
  <si>
    <t>Daniele</t>
  </si>
  <si>
    <t>Katy</t>
  </si>
  <si>
    <t>Nadine</t>
  </si>
  <si>
    <t>Belgrade</t>
  </si>
  <si>
    <t>MT</t>
  </si>
  <si>
    <t>Corrales</t>
  </si>
  <si>
    <t>NM</t>
  </si>
  <si>
    <t>Veronique</t>
  </si>
  <si>
    <t>Tenafly</t>
  </si>
  <si>
    <t>Erica</t>
  </si>
  <si>
    <t>Leesburg</t>
  </si>
  <si>
    <t>Natalie</t>
  </si>
  <si>
    <t>Bryceville</t>
  </si>
  <si>
    <t>cari</t>
  </si>
  <si>
    <t>Dryden</t>
  </si>
  <si>
    <t>Ina</t>
  </si>
  <si>
    <t>Fayetteville</t>
  </si>
  <si>
    <t>Trina</t>
  </si>
  <si>
    <t>Overland</t>
  </si>
  <si>
    <t>KS</t>
  </si>
  <si>
    <t>Jenna and Paul</t>
  </si>
  <si>
    <t>Senatobia</t>
  </si>
  <si>
    <t>MS</t>
  </si>
  <si>
    <t>Monique</t>
  </si>
  <si>
    <t>Waldorf</t>
  </si>
  <si>
    <t>lilia</t>
  </si>
  <si>
    <t>Lainey</t>
  </si>
  <si>
    <t>Lakeville</t>
  </si>
  <si>
    <t>Fiona</t>
  </si>
  <si>
    <t>Stamford</t>
  </si>
  <si>
    <t>Stanford</t>
  </si>
  <si>
    <t>Howell</t>
  </si>
  <si>
    <t>ruth</t>
  </si>
  <si>
    <t>Encinitas</t>
  </si>
  <si>
    <t>Courtney</t>
  </si>
  <si>
    <t>Atchison</t>
  </si>
  <si>
    <t>Mililani</t>
  </si>
  <si>
    <t>Anthony</t>
  </si>
  <si>
    <t>Victor</t>
  </si>
  <si>
    <t>Eleanor</t>
  </si>
  <si>
    <t>Fairbanks</t>
  </si>
  <si>
    <t>BALA</t>
  </si>
  <si>
    <t>Accokeek</t>
  </si>
  <si>
    <t>Mrs</t>
  </si>
  <si>
    <t>Sunnyvale</t>
  </si>
  <si>
    <t>Ithaca</t>
  </si>
  <si>
    <t>alex</t>
  </si>
  <si>
    <t>Farmingtn Hls</t>
  </si>
  <si>
    <t>T</t>
  </si>
  <si>
    <t>Alva and Martin</t>
  </si>
  <si>
    <t>Jacqui</t>
  </si>
  <si>
    <t>Scottsdale</t>
  </si>
  <si>
    <t>KERRY</t>
  </si>
  <si>
    <t>leanne</t>
  </si>
  <si>
    <t>Clyde Hill</t>
  </si>
  <si>
    <t>Marina</t>
  </si>
  <si>
    <t>Minneapolis</t>
  </si>
  <si>
    <t>camilla</t>
  </si>
  <si>
    <t>Maie</t>
  </si>
  <si>
    <t>Queen Creek</t>
  </si>
  <si>
    <t>verena</t>
  </si>
  <si>
    <t>Marie-Christine</t>
  </si>
  <si>
    <t>Durham</t>
  </si>
  <si>
    <t>Gabriella</t>
  </si>
  <si>
    <t>valerie et nicolas</t>
  </si>
  <si>
    <t>Glenn Dale</t>
  </si>
  <si>
    <t>Renee</t>
  </si>
  <si>
    <t>Edinburg</t>
  </si>
  <si>
    <t>Monica</t>
  </si>
  <si>
    <t>Weston</t>
  </si>
  <si>
    <t>Laura</t>
  </si>
  <si>
    <t>Sarah</t>
  </si>
  <si>
    <t>Ulrika</t>
  </si>
  <si>
    <t>leigh</t>
  </si>
  <si>
    <t>Potomac Falls</t>
  </si>
  <si>
    <t>Nuria</t>
  </si>
  <si>
    <t>Superior</t>
  </si>
  <si>
    <t>Ignacio</t>
  </si>
  <si>
    <t>Engleside</t>
  </si>
  <si>
    <t>nihan</t>
  </si>
  <si>
    <t>Roanoke</t>
  </si>
  <si>
    <t>alan</t>
  </si>
  <si>
    <t>Norcross</t>
  </si>
  <si>
    <t>lydia</t>
  </si>
  <si>
    <t>Sandy Plains</t>
  </si>
  <si>
    <t>Anja</t>
  </si>
  <si>
    <t>Gainesville</t>
  </si>
  <si>
    <t>Holly</t>
  </si>
  <si>
    <t>megan</t>
  </si>
  <si>
    <t>West Hills</t>
  </si>
  <si>
    <t>Tarah</t>
  </si>
  <si>
    <t>San Jose</t>
  </si>
  <si>
    <t>Joanne</t>
  </si>
  <si>
    <t>Oak Park</t>
  </si>
  <si>
    <t>Margaret</t>
  </si>
  <si>
    <t>Terrell Hills</t>
  </si>
  <si>
    <t>Whitney</t>
  </si>
  <si>
    <t>Falmouth</t>
  </si>
  <si>
    <t>Pam</t>
  </si>
  <si>
    <t>Richmond</t>
  </si>
  <si>
    <t>Heather</t>
  </si>
  <si>
    <t>Ooltewah</t>
  </si>
  <si>
    <t>Kathryn</t>
  </si>
  <si>
    <t>Pacific Beach</t>
  </si>
  <si>
    <t>Michele</t>
  </si>
  <si>
    <t>Craig</t>
  </si>
  <si>
    <t>Kim</t>
  </si>
  <si>
    <t>Elaine</t>
  </si>
  <si>
    <t>Helena</t>
  </si>
  <si>
    <t>Fremont</t>
  </si>
  <si>
    <t>Mark</t>
  </si>
  <si>
    <t>Holmdel</t>
  </si>
  <si>
    <t>alice and rudolf</t>
  </si>
  <si>
    <t>Baltimore</t>
  </si>
  <si>
    <t>Yoko</t>
  </si>
  <si>
    <t>Andover</t>
  </si>
  <si>
    <t>Barbara</t>
  </si>
  <si>
    <t>La Crescenta</t>
  </si>
  <si>
    <t>Kit</t>
  </si>
  <si>
    <t>Suwanee</t>
  </si>
  <si>
    <t>cristina</t>
  </si>
  <si>
    <t>linda</t>
  </si>
  <si>
    <t>Alicja</t>
  </si>
  <si>
    <t>Kenmore</t>
  </si>
  <si>
    <t>Rachel</t>
  </si>
  <si>
    <t>Fresno</t>
  </si>
  <si>
    <t>Atascadero</t>
  </si>
  <si>
    <t>Fairfield</t>
  </si>
  <si>
    <t>Francoise</t>
  </si>
  <si>
    <t>Danville</t>
  </si>
  <si>
    <t>Corinne</t>
  </si>
  <si>
    <t>Anthem</t>
  </si>
  <si>
    <t>Carmen</t>
  </si>
  <si>
    <t>Brittany</t>
  </si>
  <si>
    <t>Orlando</t>
  </si>
  <si>
    <t>Sandrine</t>
  </si>
  <si>
    <t>Walnut Creek</t>
  </si>
  <si>
    <t>asuncion</t>
  </si>
  <si>
    <t>Centennial</t>
  </si>
  <si>
    <t>Sophie</t>
  </si>
  <si>
    <t>Newtown</t>
  </si>
  <si>
    <t>samuel</t>
  </si>
  <si>
    <t>Saddle Brook</t>
  </si>
  <si>
    <t>AngelinaPatrick</t>
  </si>
  <si>
    <t>San Diego</t>
  </si>
  <si>
    <t>Sven</t>
  </si>
  <si>
    <t>Issaquah</t>
  </si>
  <si>
    <t>Lexington</t>
  </si>
  <si>
    <t>jason</t>
  </si>
  <si>
    <t>Altadena</t>
  </si>
  <si>
    <t>Tabatha</t>
  </si>
  <si>
    <t>Aline</t>
  </si>
  <si>
    <t>Davis</t>
  </si>
  <si>
    <t>Natasha</t>
  </si>
  <si>
    <t>Pasadena</t>
  </si>
  <si>
    <t>Melinda</t>
  </si>
  <si>
    <t>Britlyn</t>
  </si>
  <si>
    <t>Norwalk</t>
  </si>
  <si>
    <t>Floyds Knobs</t>
  </si>
  <si>
    <t>IN</t>
  </si>
  <si>
    <t>Caroline</t>
  </si>
  <si>
    <t>Karena</t>
  </si>
  <si>
    <t>janet</t>
  </si>
  <si>
    <t>Hon</t>
  </si>
  <si>
    <t>Hans</t>
  </si>
  <si>
    <t>Knoxville</t>
  </si>
  <si>
    <t>SandraThierryZoe</t>
  </si>
  <si>
    <t>Cara</t>
  </si>
  <si>
    <t>Humble</t>
  </si>
  <si>
    <t>carolien</t>
  </si>
  <si>
    <t>Mashpee</t>
  </si>
  <si>
    <t>Birmingham</t>
  </si>
  <si>
    <t>St Augustine</t>
  </si>
  <si>
    <t>Tom</t>
  </si>
  <si>
    <t>Justine</t>
  </si>
  <si>
    <t>Rogers</t>
  </si>
  <si>
    <t>Fatima</t>
  </si>
  <si>
    <t>Sonja</t>
  </si>
  <si>
    <t>Alpine</t>
  </si>
  <si>
    <t>Cleo</t>
  </si>
  <si>
    <t>Pacific Palisades</t>
  </si>
  <si>
    <t>Claire</t>
  </si>
  <si>
    <t>Trumansburg</t>
  </si>
  <si>
    <t>Lindsey</t>
  </si>
  <si>
    <t>Kennett Square</t>
  </si>
  <si>
    <t>Nicola</t>
  </si>
  <si>
    <t>Morro Bay</t>
  </si>
  <si>
    <t>sherry</t>
  </si>
  <si>
    <t>Las Vegas</t>
  </si>
  <si>
    <t>San Anselmo</t>
  </si>
  <si>
    <t>Matt</t>
  </si>
  <si>
    <t>N Woodmere</t>
  </si>
  <si>
    <t>Stephanie</t>
  </si>
  <si>
    <t>Fairfax</t>
  </si>
  <si>
    <t>Hurst</t>
  </si>
  <si>
    <t>Chandler</t>
  </si>
  <si>
    <t>Liza</t>
  </si>
  <si>
    <t>Dammeron Valley</t>
  </si>
  <si>
    <t>Buffalo</t>
  </si>
  <si>
    <t>Karin</t>
  </si>
  <si>
    <t>Olive Branch</t>
  </si>
  <si>
    <t>cath</t>
  </si>
  <si>
    <t>Warwick</t>
  </si>
  <si>
    <t>San Mateo</t>
  </si>
  <si>
    <t>Aloma</t>
  </si>
  <si>
    <t>C</t>
  </si>
  <si>
    <t>Mareike</t>
  </si>
  <si>
    <t>Cumming</t>
  </si>
  <si>
    <t>lamia</t>
  </si>
  <si>
    <t>Little Compton</t>
  </si>
  <si>
    <t>RI</t>
  </si>
  <si>
    <t>Madhu</t>
  </si>
  <si>
    <t>sandhya</t>
  </si>
  <si>
    <t>Kimberly</t>
  </si>
  <si>
    <t>Herndon</t>
  </si>
  <si>
    <t>Tania</t>
  </si>
  <si>
    <t>Vista</t>
  </si>
  <si>
    <t>andrea</t>
  </si>
  <si>
    <t>Oostburg</t>
  </si>
  <si>
    <t>WI</t>
  </si>
  <si>
    <t>carol</t>
  </si>
  <si>
    <t>Ann Arbor</t>
  </si>
  <si>
    <t>Nona</t>
  </si>
  <si>
    <t>South Jordan</t>
  </si>
  <si>
    <t>Alicia</t>
  </si>
  <si>
    <t>Lincoln</t>
  </si>
  <si>
    <t>NE</t>
  </si>
  <si>
    <t>sandra</t>
  </si>
  <si>
    <t>Burr Oak</t>
  </si>
  <si>
    <t>Olivia</t>
  </si>
  <si>
    <t>Wheaton</t>
  </si>
  <si>
    <t>Killeen</t>
  </si>
  <si>
    <t>Annette</t>
  </si>
  <si>
    <t>Manhattan</t>
  </si>
  <si>
    <t>Jamestown</t>
  </si>
  <si>
    <t>Jasinta Jeanne</t>
  </si>
  <si>
    <t>Owings Mills</t>
  </si>
  <si>
    <t>Cherish</t>
  </si>
  <si>
    <t>Abikay</t>
  </si>
  <si>
    <t>Fullerton</t>
  </si>
  <si>
    <t>amanda</t>
  </si>
  <si>
    <t>Rochester Hills</t>
  </si>
  <si>
    <t>eugenia</t>
  </si>
  <si>
    <t>Wisconsin Rapids</t>
  </si>
  <si>
    <t>Karen</t>
  </si>
  <si>
    <t>Bea</t>
  </si>
  <si>
    <t>Hilde Karin</t>
  </si>
  <si>
    <t>Emillie</t>
  </si>
  <si>
    <t>Eagan</t>
  </si>
  <si>
    <t>Ailsa</t>
  </si>
  <si>
    <t>Lindenhurst</t>
  </si>
  <si>
    <t>Bloomfield</t>
  </si>
  <si>
    <t>Michael</t>
  </si>
  <si>
    <t>Ryan</t>
  </si>
  <si>
    <t>Simpsonville</t>
  </si>
  <si>
    <t>SC</t>
  </si>
  <si>
    <t>Bertrand</t>
  </si>
  <si>
    <t>North Caldwell</t>
  </si>
  <si>
    <t>John</t>
  </si>
  <si>
    <t>Ashley</t>
  </si>
  <si>
    <t>Rancho Cordova</t>
  </si>
  <si>
    <t>Tori</t>
  </si>
  <si>
    <t>Hanne</t>
  </si>
  <si>
    <t>Paula</t>
  </si>
  <si>
    <t>Larchmont</t>
  </si>
  <si>
    <t>Saint Charles</t>
  </si>
  <si>
    <t>kemp</t>
  </si>
  <si>
    <t>Brentwood</t>
  </si>
  <si>
    <t>Pensacola</t>
  </si>
  <si>
    <t>A</t>
  </si>
  <si>
    <t>Saint Petersburg</t>
  </si>
  <si>
    <t>Mc Lean</t>
  </si>
  <si>
    <t>Hendersonville</t>
  </si>
  <si>
    <t>Maricel</t>
  </si>
  <si>
    <t>Malibu</t>
  </si>
  <si>
    <t>Allen</t>
  </si>
  <si>
    <t>Maki</t>
  </si>
  <si>
    <t>Miami Beach</t>
  </si>
  <si>
    <t>Jessica</t>
  </si>
  <si>
    <t>Woodland Hills</t>
  </si>
  <si>
    <t>Wouter and Andrea</t>
  </si>
  <si>
    <t>Pam and Rob</t>
  </si>
  <si>
    <t>Yorba Linda</t>
  </si>
  <si>
    <t>kathleen kane</t>
  </si>
  <si>
    <t>Jamaica Plain</t>
  </si>
  <si>
    <t>cheryl</t>
  </si>
  <si>
    <t>Beverly Hills</t>
  </si>
  <si>
    <t>Charlene</t>
  </si>
  <si>
    <t>Sebastopol</t>
  </si>
  <si>
    <t>Glendora</t>
  </si>
  <si>
    <t>Maria Macarena</t>
  </si>
  <si>
    <t>Billings</t>
  </si>
  <si>
    <t>Maggie</t>
  </si>
  <si>
    <t>Libertyville</t>
  </si>
  <si>
    <t>Christophe</t>
  </si>
  <si>
    <t>Temecula</t>
  </si>
  <si>
    <t>Manoj</t>
  </si>
  <si>
    <t>Boise</t>
  </si>
  <si>
    <t>Brenda</t>
  </si>
  <si>
    <t>Rock Hill</t>
  </si>
  <si>
    <t>Lizelle</t>
  </si>
  <si>
    <t>olla</t>
  </si>
  <si>
    <t>Westminster</t>
  </si>
  <si>
    <t>Keri</t>
  </si>
  <si>
    <t>Attie</t>
  </si>
  <si>
    <t>Cypress</t>
  </si>
  <si>
    <t>odile</t>
  </si>
  <si>
    <t>Lititz</t>
  </si>
  <si>
    <t>Niki</t>
  </si>
  <si>
    <t>Chadds Ford</t>
  </si>
  <si>
    <t>Danny</t>
  </si>
  <si>
    <t>St Thomas</t>
  </si>
  <si>
    <t>VI</t>
  </si>
  <si>
    <t>Coppell</t>
  </si>
  <si>
    <t>Beckie</t>
  </si>
  <si>
    <t>Ladera Ranch</t>
  </si>
  <si>
    <t>ann</t>
  </si>
  <si>
    <t>Boca Raton</t>
  </si>
  <si>
    <t>Chaska</t>
  </si>
  <si>
    <t>Catherine</t>
  </si>
  <si>
    <t>Hghlnds Ranch</t>
  </si>
  <si>
    <t>Rhonda</t>
  </si>
  <si>
    <t>alix</t>
  </si>
  <si>
    <t>Sigrun</t>
  </si>
  <si>
    <t>Maria</t>
  </si>
  <si>
    <t>Boyceville</t>
  </si>
  <si>
    <t>Elizabeth</t>
  </si>
  <si>
    <t>Cos Cob</t>
  </si>
  <si>
    <t>Charlotte</t>
  </si>
  <si>
    <t>Sterling</t>
  </si>
  <si>
    <t>Ridgefield</t>
  </si>
  <si>
    <t>Ronja</t>
  </si>
  <si>
    <t>BURCAK</t>
  </si>
  <si>
    <t>christy</t>
  </si>
  <si>
    <t>Germantown</t>
  </si>
  <si>
    <t>Mandy</t>
  </si>
  <si>
    <t>Hono</t>
  </si>
  <si>
    <t>Elena</t>
  </si>
  <si>
    <t>South Waterford</t>
  </si>
  <si>
    <t>ME</t>
  </si>
  <si>
    <t>Nita and Trebor</t>
  </si>
  <si>
    <t>Washington Township</t>
  </si>
  <si>
    <t>Elisabeth</t>
  </si>
  <si>
    <t>Wilmington</t>
  </si>
  <si>
    <t>Reto</t>
  </si>
  <si>
    <t>Joelle</t>
  </si>
  <si>
    <t>Rowayton</t>
  </si>
  <si>
    <t>Alexandria</t>
  </si>
  <si>
    <t>Lebanon</t>
  </si>
  <si>
    <t>Villanova</t>
  </si>
  <si>
    <t>Alfredo A</t>
  </si>
  <si>
    <t>Saeko</t>
  </si>
  <si>
    <t>VIOLETA</t>
  </si>
  <si>
    <t>Antje</t>
  </si>
  <si>
    <t>Sacramento</t>
  </si>
  <si>
    <t>Nathalie</t>
  </si>
  <si>
    <t>Haymarket</t>
  </si>
  <si>
    <t>Judith L.</t>
  </si>
  <si>
    <t>Audinet</t>
  </si>
  <si>
    <t>Cambridge</t>
  </si>
  <si>
    <t>Jo</t>
  </si>
  <si>
    <t>Pembroke Pines</t>
  </si>
  <si>
    <t>Chester</t>
  </si>
  <si>
    <t>isabela</t>
  </si>
  <si>
    <t>Mary</t>
  </si>
  <si>
    <t>Ringgold</t>
  </si>
  <si>
    <t>Wall</t>
  </si>
  <si>
    <t>Huntington Beach</t>
  </si>
  <si>
    <t>Kristen</t>
  </si>
  <si>
    <t>Aniko</t>
  </si>
  <si>
    <t>Random Lake</t>
  </si>
  <si>
    <t>Petra</t>
  </si>
  <si>
    <t>Ruby</t>
  </si>
  <si>
    <t>Bedford Corners</t>
  </si>
  <si>
    <t>Tammy</t>
  </si>
  <si>
    <t>Milford</t>
  </si>
  <si>
    <t>Croton On Hudson</t>
  </si>
  <si>
    <t>james</t>
  </si>
  <si>
    <t>Allison</t>
  </si>
  <si>
    <t>Naples</t>
  </si>
  <si>
    <t>Surat</t>
  </si>
  <si>
    <t>Bridgewater</t>
  </si>
  <si>
    <t>Judy</t>
  </si>
  <si>
    <t>Megan</t>
  </si>
  <si>
    <t>Huntersville</t>
  </si>
  <si>
    <t>Charmain</t>
  </si>
  <si>
    <t>Cartersburg</t>
  </si>
  <si>
    <t>Katharina</t>
  </si>
  <si>
    <t>Flower Mound</t>
  </si>
  <si>
    <t>Zaneta</t>
  </si>
  <si>
    <t>Rochester</t>
  </si>
  <si>
    <t>Cherie</t>
  </si>
  <si>
    <t>Columbus</t>
  </si>
  <si>
    <t>Sag Harbor</t>
  </si>
  <si>
    <t>Frances</t>
  </si>
  <si>
    <t>Beatrice</t>
  </si>
  <si>
    <t>DE</t>
  </si>
  <si>
    <t>Christian</t>
  </si>
  <si>
    <t>Mableton</t>
  </si>
  <si>
    <t>Hollie</t>
  </si>
  <si>
    <t>Malahat</t>
  </si>
  <si>
    <t>Jean</t>
  </si>
  <si>
    <t>Chiefland</t>
  </si>
  <si>
    <t>Riche Lou</t>
  </si>
  <si>
    <t>Newton</t>
  </si>
  <si>
    <t>lorna</t>
  </si>
  <si>
    <t>Castle Rock</t>
  </si>
  <si>
    <t>Julie</t>
  </si>
  <si>
    <t>Anita</t>
  </si>
  <si>
    <t>Montgomery</t>
  </si>
  <si>
    <t>Manteno</t>
  </si>
  <si>
    <t>elizabeth r</t>
  </si>
  <si>
    <t>Sara</t>
  </si>
  <si>
    <t>Tulin</t>
  </si>
  <si>
    <t>Cranberry Twp</t>
  </si>
  <si>
    <t>Kenneth</t>
  </si>
  <si>
    <t>Lake Ronkonkoma</t>
  </si>
  <si>
    <t>Bluffton</t>
  </si>
  <si>
    <t>Juliann</t>
  </si>
  <si>
    <t>Winter Spgs</t>
  </si>
  <si>
    <t>Chelmsford</t>
  </si>
  <si>
    <t>matthew</t>
  </si>
  <si>
    <t>Steven</t>
  </si>
  <si>
    <t>Angie</t>
  </si>
  <si>
    <t>Rodeo</t>
  </si>
  <si>
    <t>Lauren</t>
  </si>
  <si>
    <t>Poughkeepsie</t>
  </si>
  <si>
    <t>Esther</t>
  </si>
  <si>
    <t>North Eastham</t>
  </si>
  <si>
    <t>marie-louise</t>
  </si>
  <si>
    <t>Sitka</t>
  </si>
  <si>
    <t>paula</t>
  </si>
  <si>
    <t>Sammamish</t>
  </si>
  <si>
    <t>Ewa Beach</t>
  </si>
  <si>
    <t>Maureen</t>
  </si>
  <si>
    <t>Statesville</t>
  </si>
  <si>
    <t>Kapaa</t>
  </si>
  <si>
    <t>caterina</t>
  </si>
  <si>
    <t>Burbank</t>
  </si>
  <si>
    <t>Cheryl</t>
  </si>
  <si>
    <t>Hilton Head</t>
  </si>
  <si>
    <t>Frank and Christelle</t>
  </si>
  <si>
    <t>Valley Center</t>
  </si>
  <si>
    <t>Triona</t>
  </si>
  <si>
    <t>Swampscott</t>
  </si>
  <si>
    <t>Phillip</t>
  </si>
  <si>
    <t>jingyan</t>
  </si>
  <si>
    <t>Bristol</t>
  </si>
  <si>
    <t>Selma</t>
  </si>
  <si>
    <t>Greenville</t>
  </si>
  <si>
    <t>Doug and Tina</t>
  </si>
  <si>
    <t>Pls Vrds Est</t>
  </si>
  <si>
    <t>Hale</t>
  </si>
  <si>
    <t>Morrison</t>
  </si>
  <si>
    <t>Kevin</t>
  </si>
  <si>
    <t>Hollywood</t>
  </si>
  <si>
    <t>christal</t>
  </si>
  <si>
    <t>Alex</t>
  </si>
  <si>
    <t>Augusta</t>
  </si>
  <si>
    <t>Pamela</t>
  </si>
  <si>
    <t>Skaneateles</t>
  </si>
  <si>
    <t>Julia</t>
  </si>
  <si>
    <t>Madison</t>
  </si>
  <si>
    <t>carolina</t>
  </si>
  <si>
    <t>Basildon</t>
  </si>
  <si>
    <t>England</t>
  </si>
  <si>
    <t>United Kingdom</t>
  </si>
  <si>
    <t>Sabine</t>
  </si>
  <si>
    <t>London</t>
  </si>
  <si>
    <t>Jeremy</t>
  </si>
  <si>
    <t>Manchester</t>
  </si>
  <si>
    <t>chris</t>
  </si>
  <si>
    <t>Sari</t>
  </si>
  <si>
    <t>Newbury</t>
  </si>
  <si>
    <t>Kemble</t>
  </si>
  <si>
    <t>Tamar</t>
  </si>
  <si>
    <t>Headley</t>
  </si>
  <si>
    <t>Bernadett</t>
  </si>
  <si>
    <t>Southampton</t>
  </si>
  <si>
    <t>AnaPaula</t>
  </si>
  <si>
    <t>Helens Bay</t>
  </si>
  <si>
    <t>Northern Ireland</t>
  </si>
  <si>
    <t>Cheltenham</t>
  </si>
  <si>
    <t>anne</t>
  </si>
  <si>
    <t>Bournemouth</t>
  </si>
  <si>
    <t>Grace</t>
  </si>
  <si>
    <t>York</t>
  </si>
  <si>
    <t>Basingstoke</t>
  </si>
  <si>
    <t>New Malden</t>
  </si>
  <si>
    <t>Bishop Auckland</t>
  </si>
  <si>
    <t>Aberdeen</t>
  </si>
  <si>
    <t>Scotland</t>
  </si>
  <si>
    <t>Randy</t>
  </si>
  <si>
    <t>Wigan</t>
  </si>
  <si>
    <t>Abbey Town</t>
  </si>
  <si>
    <t>Genevieve</t>
  </si>
  <si>
    <t>Milton Keynes</t>
  </si>
  <si>
    <t>Lina</t>
  </si>
  <si>
    <t>Edinburgh</t>
  </si>
  <si>
    <t>Newburgh</t>
  </si>
  <si>
    <t>Kirriemuir</t>
  </si>
  <si>
    <t>LAURIE</t>
  </si>
  <si>
    <t>Guildford</t>
  </si>
  <si>
    <t>kirsten</t>
  </si>
  <si>
    <t>Bishops Stortford</t>
  </si>
  <si>
    <t>Babs</t>
  </si>
  <si>
    <t>Blackpool</t>
  </si>
  <si>
    <t>Hollyn</t>
  </si>
  <si>
    <t>Miss</t>
  </si>
  <si>
    <t>anissa</t>
  </si>
  <si>
    <t>Slough</t>
  </si>
  <si>
    <t>Saffron Walden</t>
  </si>
  <si>
    <t>Berkeswell</t>
  </si>
  <si>
    <t>breon</t>
  </si>
  <si>
    <t>Leighton Buzzard</t>
  </si>
  <si>
    <t>Dr. Donald</t>
  </si>
  <si>
    <t>Stockton-on-Tees</t>
  </si>
  <si>
    <t>Zane</t>
  </si>
  <si>
    <t>Warlingham</t>
  </si>
  <si>
    <t>Anett</t>
  </si>
  <si>
    <t>Gosport</t>
  </si>
  <si>
    <t>pirunkit</t>
  </si>
  <si>
    <t>Petworth</t>
  </si>
  <si>
    <t>Nanci</t>
  </si>
  <si>
    <t>Reading</t>
  </si>
  <si>
    <t>ciara and mike</t>
  </si>
  <si>
    <t>Tejal</t>
  </si>
  <si>
    <t>Gerardo</t>
  </si>
  <si>
    <t>Ravinder</t>
  </si>
  <si>
    <t>Lurgan</t>
  </si>
  <si>
    <t>Shenfield</t>
  </si>
  <si>
    <t>Bolton</t>
  </si>
  <si>
    <t>High Wycombe</t>
  </si>
  <si>
    <t>DD</t>
  </si>
  <si>
    <t>Toni</t>
  </si>
  <si>
    <t>Luc1nda</t>
  </si>
  <si>
    <t>Naseer</t>
  </si>
  <si>
    <t>Glenn</t>
  </si>
  <si>
    <t>Perth</t>
  </si>
  <si>
    <t>Family in</t>
  </si>
  <si>
    <t>Jodi</t>
  </si>
  <si>
    <t>Sutton Valence</t>
  </si>
  <si>
    <t>Dumbleton</t>
  </si>
  <si>
    <t>maggie</t>
  </si>
  <si>
    <t>Stockton</t>
  </si>
  <si>
    <t>SUSAN</t>
  </si>
  <si>
    <t>Oxford</t>
  </si>
  <si>
    <t>ashton</t>
  </si>
  <si>
    <t>Exeter</t>
  </si>
  <si>
    <t>Pavel</t>
  </si>
  <si>
    <t>Liverpool</t>
  </si>
  <si>
    <t>Calne</t>
  </si>
  <si>
    <t>Aaron</t>
  </si>
  <si>
    <t>Zoe</t>
  </si>
  <si>
    <t>Coventry</t>
  </si>
  <si>
    <t>Kayla</t>
  </si>
  <si>
    <t>Leamington Spa</t>
  </si>
  <si>
    <t>Ken</t>
  </si>
  <si>
    <t>Sidcup</t>
  </si>
  <si>
    <t>Samantha</t>
  </si>
  <si>
    <t>Watford</t>
  </si>
  <si>
    <t>Erika</t>
  </si>
  <si>
    <t>Redruth</t>
  </si>
  <si>
    <t>Louise</t>
  </si>
  <si>
    <t>Ashlee</t>
  </si>
  <si>
    <t>Banbury</t>
  </si>
  <si>
    <t>Astrid</t>
  </si>
  <si>
    <t>Canterbury</t>
  </si>
  <si>
    <t>Eman</t>
  </si>
  <si>
    <t>Penclawdd</t>
  </si>
  <si>
    <t>Wales</t>
  </si>
  <si>
    <t>Jyoti</t>
  </si>
  <si>
    <t>Tunbridge Wells</t>
  </si>
  <si>
    <t>gail</t>
  </si>
  <si>
    <t>Mike</t>
  </si>
  <si>
    <t>Howard</t>
  </si>
  <si>
    <t>Worcester</t>
  </si>
  <si>
    <t>Leicester</t>
  </si>
  <si>
    <t>William</t>
  </si>
  <si>
    <t>Chalfont Saint Peter</t>
  </si>
  <si>
    <t>Tatjana and Martin</t>
  </si>
  <si>
    <t>Malinda</t>
  </si>
  <si>
    <t>Kidderminster</t>
  </si>
  <si>
    <t>dia</t>
  </si>
  <si>
    <t>Claygate</t>
  </si>
  <si>
    <t>Caroline and Jonathan</t>
  </si>
  <si>
    <t>Chichester</t>
  </si>
  <si>
    <t>Carole</t>
  </si>
  <si>
    <t>Cardiff</t>
  </si>
  <si>
    <t>Ashford</t>
  </si>
  <si>
    <t>erin</t>
  </si>
  <si>
    <t>Jen</t>
  </si>
  <si>
    <t>Maidstone</t>
  </si>
  <si>
    <t>gladys</t>
  </si>
  <si>
    <t>Saint Albans</t>
  </si>
  <si>
    <t>Cobham</t>
  </si>
  <si>
    <t>Alyssa</t>
  </si>
  <si>
    <t>Brighton</t>
  </si>
  <si>
    <t>esther</t>
  </si>
  <si>
    <t>Huddersfield</t>
  </si>
  <si>
    <t>Hans-Joerg</t>
  </si>
  <si>
    <t>Belfast</t>
  </si>
  <si>
    <t>julie</t>
  </si>
  <si>
    <t>Haverhill</t>
  </si>
  <si>
    <t>Jumeira</t>
  </si>
  <si>
    <t>Dubayy</t>
  </si>
  <si>
    <t>United Arab Emirates</t>
  </si>
  <si>
    <t>Kathrin</t>
  </si>
  <si>
    <t>Abu Dhabi</t>
  </si>
  <si>
    <t>Abu Zaby</t>
  </si>
  <si>
    <t>Dubai</t>
  </si>
  <si>
    <t>Michelle</t>
  </si>
  <si>
    <t>Jeannette</t>
  </si>
  <si>
    <t>Aziz</t>
  </si>
  <si>
    <t>Irpin'</t>
  </si>
  <si>
    <t>Kiev</t>
  </si>
  <si>
    <t>Ukraine</t>
  </si>
  <si>
    <t>Sam</t>
  </si>
  <si>
    <t>Tesvikiye</t>
  </si>
  <si>
    <t>Istanbul</t>
  </si>
  <si>
    <t>Turkey</t>
  </si>
  <si>
    <t>Zekeriyakoy</t>
  </si>
  <si>
    <t>Dickson</t>
  </si>
  <si>
    <t>Kemerburgaz</t>
  </si>
  <si>
    <t>Costanza</t>
  </si>
  <si>
    <t>Beykoz</t>
  </si>
  <si>
    <t>Novy</t>
  </si>
  <si>
    <t>Darian</t>
  </si>
  <si>
    <t>Izmir</t>
  </si>
  <si>
    <t>Emily</t>
  </si>
  <si>
    <t>Killarney</t>
  </si>
  <si>
    <t>New Providence</t>
  </si>
  <si>
    <t>The Bahamas</t>
  </si>
  <si>
    <t>Cormac</t>
  </si>
  <si>
    <t>Freeport City</t>
  </si>
  <si>
    <t>Freeport</t>
  </si>
  <si>
    <t>PATRICK</t>
  </si>
  <si>
    <t>Ban Khlong Sip</t>
  </si>
  <si>
    <t>Krung Thep</t>
  </si>
  <si>
    <t>Thailand</t>
  </si>
  <si>
    <t>elaine</t>
  </si>
  <si>
    <t>Phuket</t>
  </si>
  <si>
    <t>SYLVIA</t>
  </si>
  <si>
    <t>Vesenaz</t>
  </si>
  <si>
    <t>Geneve</t>
  </si>
  <si>
    <t>Switzerland</t>
  </si>
  <si>
    <t>Deirdre</t>
  </si>
  <si>
    <t>Lausanne</t>
  </si>
  <si>
    <t>Vaud</t>
  </si>
  <si>
    <t>Morges</t>
  </si>
  <si>
    <t>Sherri</t>
  </si>
  <si>
    <t>Freienbach</t>
  </si>
  <si>
    <t>Schwyz</t>
  </si>
  <si>
    <t>Binningen</t>
  </si>
  <si>
    <t>Basel-Country</t>
  </si>
  <si>
    <t>katie</t>
  </si>
  <si>
    <t>Ruschlikon</t>
  </si>
  <si>
    <t>Zurich</t>
  </si>
  <si>
    <t>Anne-line</t>
  </si>
  <si>
    <t>Zug</t>
  </si>
  <si>
    <t>Bellinzona</t>
  </si>
  <si>
    <t>Ticino</t>
  </si>
  <si>
    <t>isabel</t>
  </si>
  <si>
    <t>Ruti</t>
  </si>
  <si>
    <t>Shane</t>
  </si>
  <si>
    <t>Versoix</t>
  </si>
  <si>
    <t>Trelex</t>
  </si>
  <si>
    <t>Meredith</t>
  </si>
  <si>
    <t>Kloten</t>
  </si>
  <si>
    <t>Richard and Comfort</t>
  </si>
  <si>
    <t>Regensdorf</t>
  </si>
  <si>
    <t>Yvette</t>
  </si>
  <si>
    <t>Aubonne</t>
  </si>
  <si>
    <t>george</t>
  </si>
  <si>
    <t>Neuchatel</t>
  </si>
  <si>
    <t>VERBENA</t>
  </si>
  <si>
    <t>Basel</t>
  </si>
  <si>
    <t>Basel-Town</t>
  </si>
  <si>
    <t>Plan-les-Ouattes</t>
  </si>
  <si>
    <t>Suejean</t>
  </si>
  <si>
    <t>Gingins</t>
  </si>
  <si>
    <t>minjeong</t>
  </si>
  <si>
    <t>Bern</t>
  </si>
  <si>
    <t>Lusell</t>
  </si>
  <si>
    <t>Oberwil</t>
  </si>
  <si>
    <t>Katrin</t>
  </si>
  <si>
    <t>Zumikon</t>
  </si>
  <si>
    <t>Balgach</t>
  </si>
  <si>
    <t>St Gallen</t>
  </si>
  <si>
    <t>Carouge</t>
  </si>
  <si>
    <t>Tarja</t>
  </si>
  <si>
    <t>Villars</t>
  </si>
  <si>
    <t>Liz</t>
  </si>
  <si>
    <t>Langnau</t>
  </si>
  <si>
    <t>danielle</t>
  </si>
  <si>
    <t>manuela</t>
  </si>
  <si>
    <t>Massagno</t>
  </si>
  <si>
    <t>Begnins</t>
  </si>
  <si>
    <t>Berikon</t>
  </si>
  <si>
    <t>Aargau</t>
  </si>
  <si>
    <t>Tary</t>
  </si>
  <si>
    <t>Kerry</t>
  </si>
  <si>
    <t>Anieres</t>
  </si>
  <si>
    <t>Lesleigh</t>
  </si>
  <si>
    <t>Baden</t>
  </si>
  <si>
    <t>Bonnie</t>
  </si>
  <si>
    <t>Saltsjobaden</t>
  </si>
  <si>
    <t>Stockholm</t>
  </si>
  <si>
    <t>Sweden</t>
  </si>
  <si>
    <t>ayelet</t>
  </si>
  <si>
    <t>Malmo</t>
  </si>
  <si>
    <t>Skane</t>
  </si>
  <si>
    <t>Marion</t>
  </si>
  <si>
    <t>Umea</t>
  </si>
  <si>
    <t>Vasterbotten</t>
  </si>
  <si>
    <t>mary</t>
  </si>
  <si>
    <t>Nacka</t>
  </si>
  <si>
    <t>JP</t>
  </si>
  <si>
    <t>Tierp</t>
  </si>
  <si>
    <t>Uppsala</t>
  </si>
  <si>
    <t>R</t>
  </si>
  <si>
    <t>Danderyd</t>
  </si>
  <si>
    <t>Ed</t>
  </si>
  <si>
    <t>Stocksund</t>
  </si>
  <si>
    <t>Diane</t>
  </si>
  <si>
    <t>Djurgarden</t>
  </si>
  <si>
    <t>Olympe</t>
  </si>
  <si>
    <t>Lidingo</t>
  </si>
  <si>
    <t>Norrkoping</t>
  </si>
  <si>
    <t>Ostergotland</t>
  </si>
  <si>
    <t>Detlev</t>
  </si>
  <si>
    <t>Taby</t>
  </si>
  <si>
    <t>La Alberca</t>
  </si>
  <si>
    <t>Murcia</t>
  </si>
  <si>
    <t>Spain</t>
  </si>
  <si>
    <t>Christof and Heidi</t>
  </si>
  <si>
    <t>Barcelona</t>
  </si>
  <si>
    <t>Catalonia</t>
  </si>
  <si>
    <t>Jan</t>
  </si>
  <si>
    <t>Madrid</t>
  </si>
  <si>
    <t>DOREEN</t>
  </si>
  <si>
    <t>Andrew</t>
  </si>
  <si>
    <t>Sevilla</t>
  </si>
  <si>
    <t>Andalucia</t>
  </si>
  <si>
    <t>Katie</t>
  </si>
  <si>
    <t>Gava</t>
  </si>
  <si>
    <t>Bent Erik</t>
  </si>
  <si>
    <t>Basauri</t>
  </si>
  <si>
    <t>Pais Vasco</t>
  </si>
  <si>
    <t>beatrice</t>
  </si>
  <si>
    <t>Churra</t>
  </si>
  <si>
    <t>Jerome</t>
  </si>
  <si>
    <t>Roza</t>
  </si>
  <si>
    <t>Alcobendas</t>
  </si>
  <si>
    <t>El Escorial</t>
  </si>
  <si>
    <t>DeeDee</t>
  </si>
  <si>
    <t>Songnae-dong</t>
  </si>
  <si>
    <t>Soul-t'ukpyolsi</t>
  </si>
  <si>
    <t>South Korea</t>
  </si>
  <si>
    <t>Roodepoort</t>
  </si>
  <si>
    <t>Gauteng</t>
  </si>
  <si>
    <t>South Africa</t>
  </si>
  <si>
    <t>Filip and Teresa</t>
  </si>
  <si>
    <t>Centurion</t>
  </si>
  <si>
    <t>Marian</t>
  </si>
  <si>
    <t>Durban</t>
  </si>
  <si>
    <t>KwaZulu-Natal</t>
  </si>
  <si>
    <t>Pietermaritzburg</t>
  </si>
  <si>
    <t>Niamh</t>
  </si>
  <si>
    <t>Benoni</t>
  </si>
  <si>
    <t>ron</t>
  </si>
  <si>
    <t>Tsaritsyno</t>
  </si>
  <si>
    <t>Moscow City</t>
  </si>
  <si>
    <t>Russia</t>
  </si>
  <si>
    <t>Gustavo</t>
  </si>
  <si>
    <t>Voluntari</t>
  </si>
  <si>
    <t>Bucuresti</t>
  </si>
  <si>
    <t>Romania</t>
  </si>
  <si>
    <t>Elyssa</t>
  </si>
  <si>
    <t>Gdansk</t>
  </si>
  <si>
    <t>Pomorskie</t>
  </si>
  <si>
    <t>Poland</t>
  </si>
  <si>
    <t>giovanna</t>
  </si>
  <si>
    <t>Pruszkow</t>
  </si>
  <si>
    <t>Mazowieckie</t>
  </si>
  <si>
    <t>Borja</t>
  </si>
  <si>
    <t>Bohol</t>
  </si>
  <si>
    <t>Philippines</t>
  </si>
  <si>
    <t>Baluan</t>
  </si>
  <si>
    <t>General Santos</t>
  </si>
  <si>
    <t>Stefan</t>
  </si>
  <si>
    <t>Stavanger</t>
  </si>
  <si>
    <t>Rogaland</t>
  </si>
  <si>
    <t>Norway</t>
  </si>
  <si>
    <t>Dr. Claudia</t>
  </si>
  <si>
    <t>Oslo</t>
  </si>
  <si>
    <t>Jannik</t>
  </si>
  <si>
    <t>Holmenkollen</t>
  </si>
  <si>
    <t>nicole</t>
  </si>
  <si>
    <t>Liban</t>
  </si>
  <si>
    <t>frauke</t>
  </si>
  <si>
    <t>Horten</t>
  </si>
  <si>
    <t>Vestfold</t>
  </si>
  <si>
    <t>Pia</t>
  </si>
  <si>
    <t>Sola</t>
  </si>
  <si>
    <t>Aardal</t>
  </si>
  <si>
    <t>Sogn og Fjordane</t>
  </si>
  <si>
    <t>Nordstrand</t>
  </si>
  <si>
    <t>Krista</t>
  </si>
  <si>
    <t>Bergen</t>
  </si>
  <si>
    <t>Hordaland</t>
  </si>
  <si>
    <t>sangeeta</t>
  </si>
  <si>
    <t>Vossevangen</t>
  </si>
  <si>
    <t>Selene</t>
  </si>
  <si>
    <t>Stavenger</t>
  </si>
  <si>
    <t>Laleh</t>
  </si>
  <si>
    <t>Aasgaardstrand</t>
  </si>
  <si>
    <t>Tranby</t>
  </si>
  <si>
    <t>Buskerud</t>
  </si>
  <si>
    <t>ZOE</t>
  </si>
  <si>
    <t>New Plymouth City</t>
  </si>
  <si>
    <t>Taranaki</t>
  </si>
  <si>
    <t>New Zealand</t>
  </si>
  <si>
    <t>Torbay</t>
  </si>
  <si>
    <t>Auckland</t>
  </si>
  <si>
    <t>Elsa</t>
  </si>
  <si>
    <t>Waiwera</t>
  </si>
  <si>
    <t>Waiau Pa</t>
  </si>
  <si>
    <t>Hawera</t>
  </si>
  <si>
    <t>Eindhoven</t>
  </si>
  <si>
    <t>Noord-Brabant</t>
  </si>
  <si>
    <t>Netherlands</t>
  </si>
  <si>
    <t>Badhoevedorp</t>
  </si>
  <si>
    <t>Noord-Holland</t>
  </si>
  <si>
    <t>Regina</t>
  </si>
  <si>
    <t>Glimmen</t>
  </si>
  <si>
    <t>Groningen</t>
  </si>
  <si>
    <t>Den Haag</t>
  </si>
  <si>
    <t>Zuid-Holland</t>
  </si>
  <si>
    <t>sunny</t>
  </si>
  <si>
    <t>Amsterdam</t>
  </si>
  <si>
    <t>Antonella</t>
  </si>
  <si>
    <t>Tricia</t>
  </si>
  <si>
    <t>Castricum</t>
  </si>
  <si>
    <t>Larry</t>
  </si>
  <si>
    <t>Naarden</t>
  </si>
  <si>
    <t>Caterina</t>
  </si>
  <si>
    <t>Darrah</t>
  </si>
  <si>
    <t>Angel Marie</t>
  </si>
  <si>
    <t>Ede</t>
  </si>
  <si>
    <t>Gelderland</t>
  </si>
  <si>
    <t>Kelsi</t>
  </si>
  <si>
    <t>Utrecht</t>
  </si>
  <si>
    <t>Nola</t>
  </si>
  <si>
    <t>Brona</t>
  </si>
  <si>
    <t>Hilversum</t>
  </si>
  <si>
    <t>Chris</t>
  </si>
  <si>
    <t>Parth</t>
  </si>
  <si>
    <t>Oegstgeest</t>
  </si>
  <si>
    <t>Mimi</t>
  </si>
  <si>
    <t>Monte-Carlo</t>
  </si>
  <si>
    <t>Monaco</t>
  </si>
  <si>
    <t>Liann</t>
  </si>
  <si>
    <t>Bubuieci</t>
  </si>
  <si>
    <t>Chisinau</t>
  </si>
  <si>
    <t>Moldova</t>
  </si>
  <si>
    <t>Black River</t>
  </si>
  <si>
    <t>Mauritius</t>
  </si>
  <si>
    <t>seemab</t>
  </si>
  <si>
    <t>San Pawl tat-Targa</t>
  </si>
  <si>
    <t>Malta</t>
  </si>
  <si>
    <t>Nadur</t>
  </si>
  <si>
    <t>Diana</t>
  </si>
  <si>
    <t>Kuala Lumpur</t>
  </si>
  <si>
    <t>Malaysia</t>
  </si>
  <si>
    <t>Gasperich</t>
  </si>
  <si>
    <t>Luxembourg</t>
  </si>
  <si>
    <t>Vecmilgravis</t>
  </si>
  <si>
    <t>Riga</t>
  </si>
  <si>
    <t>Latvia</t>
  </si>
  <si>
    <t>Campbell</t>
  </si>
  <si>
    <t>Mushrif</t>
  </si>
  <si>
    <t>Kuwait</t>
  </si>
  <si>
    <t>luisa</t>
  </si>
  <si>
    <t>Gorey</t>
  </si>
  <si>
    <t>Jersey</t>
  </si>
  <si>
    <t>Christy</t>
  </si>
  <si>
    <t>Setagaya</t>
  </si>
  <si>
    <t>Tokyo</t>
  </si>
  <si>
    <t>Japan</t>
  </si>
  <si>
    <t>Anjan</t>
  </si>
  <si>
    <t>Robin</t>
  </si>
  <si>
    <t>Milan</t>
  </si>
  <si>
    <t>Lombardy</t>
  </si>
  <si>
    <t>Italy</t>
  </si>
  <si>
    <t>Vicenza</t>
  </si>
  <si>
    <t>Veneto</t>
  </si>
  <si>
    <t>Leila</t>
  </si>
  <si>
    <t>Ponte San Nicolo</t>
  </si>
  <si>
    <t>Milano</t>
  </si>
  <si>
    <t>Pilar</t>
  </si>
  <si>
    <t>Florence</t>
  </si>
  <si>
    <t>Tuscany</t>
  </si>
  <si>
    <t>don</t>
  </si>
  <si>
    <t>Cagliari</t>
  </si>
  <si>
    <t>Sardinia</t>
  </si>
  <si>
    <t>Katerina</t>
  </si>
  <si>
    <t>Firenze</t>
  </si>
  <si>
    <t>Fernando</t>
  </si>
  <si>
    <t>Grosseto</t>
  </si>
  <si>
    <t>Nacole</t>
  </si>
  <si>
    <t>Jupiterlina Elika</t>
  </si>
  <si>
    <t>Rome</t>
  </si>
  <si>
    <t>Lazio</t>
  </si>
  <si>
    <t>Lucca</t>
  </si>
  <si>
    <t>Michel</t>
  </si>
  <si>
    <t>Lipari</t>
  </si>
  <si>
    <t>Sicilia</t>
  </si>
  <si>
    <t>natalie</t>
  </si>
  <si>
    <t>jure</t>
  </si>
  <si>
    <t>Renee Elisabeth</t>
  </si>
  <si>
    <t>Tel Aviv</t>
  </si>
  <si>
    <t>Israel</t>
  </si>
  <si>
    <t>Leanne</t>
  </si>
  <si>
    <t>Julianstown</t>
  </si>
  <si>
    <t>Meath</t>
  </si>
  <si>
    <t>Ireland</t>
  </si>
  <si>
    <t>Janis</t>
  </si>
  <si>
    <t>Ballynora</t>
  </si>
  <si>
    <t>Cork</t>
  </si>
  <si>
    <t>Anupam</t>
  </si>
  <si>
    <t>Kinsaley</t>
  </si>
  <si>
    <t>Dublin</t>
  </si>
  <si>
    <t>Danielle</t>
  </si>
  <si>
    <t>Rathgar</t>
  </si>
  <si>
    <t>Roger</t>
  </si>
  <si>
    <t>Urlingford</t>
  </si>
  <si>
    <t>Kilkenny</t>
  </si>
  <si>
    <t>Julianne</t>
  </si>
  <si>
    <t>Navan</t>
  </si>
  <si>
    <t>Lesley</t>
  </si>
  <si>
    <t>Alan</t>
  </si>
  <si>
    <t>Malahide</t>
  </si>
  <si>
    <t>Leah</t>
  </si>
  <si>
    <t>Castleknock</t>
  </si>
  <si>
    <t>Laine</t>
  </si>
  <si>
    <t>Tara</t>
  </si>
  <si>
    <t>Killiney</t>
  </si>
  <si>
    <t>Helga</t>
  </si>
  <si>
    <t>Clontarf</t>
  </si>
  <si>
    <t>Nita</t>
  </si>
  <si>
    <t>Sutton</t>
  </si>
  <si>
    <t>Santry</t>
  </si>
  <si>
    <t>burt</t>
  </si>
  <si>
    <t>Rathfarnham</t>
  </si>
  <si>
    <t>Sandymount</t>
  </si>
  <si>
    <t>Saggart</t>
  </si>
  <si>
    <t>Ec</t>
  </si>
  <si>
    <t>Clonmel</t>
  </si>
  <si>
    <t>Tipperary</t>
  </si>
  <si>
    <t>Drogheda</t>
  </si>
  <si>
    <t>Louth</t>
  </si>
  <si>
    <t>Newcastle</t>
  </si>
  <si>
    <t>Wicklow</t>
  </si>
  <si>
    <t>Dun Laoghaire</t>
  </si>
  <si>
    <t>jo</t>
  </si>
  <si>
    <t>Ballincollig</t>
  </si>
  <si>
    <t>Castlebar</t>
  </si>
  <si>
    <t>Mayo</t>
  </si>
  <si>
    <t>Oswald</t>
  </si>
  <si>
    <t>Tramore</t>
  </si>
  <si>
    <t>Waterford</t>
  </si>
  <si>
    <t>michelle</t>
  </si>
  <si>
    <t>Arklow</t>
  </si>
  <si>
    <t>Shona</t>
  </si>
  <si>
    <t>Mornington</t>
  </si>
  <si>
    <t>Rima</t>
  </si>
  <si>
    <t>Mullingar</t>
  </si>
  <si>
    <t>Westmeath</t>
  </si>
  <si>
    <t>Peter</t>
  </si>
  <si>
    <t>Shankill</t>
  </si>
  <si>
    <t>Elyse</t>
  </si>
  <si>
    <t>Bandon</t>
  </si>
  <si>
    <t>Maryse</t>
  </si>
  <si>
    <t>Baile Atha Bui</t>
  </si>
  <si>
    <t>Dana</t>
  </si>
  <si>
    <t>Thurles</t>
  </si>
  <si>
    <t>Rowena</t>
  </si>
  <si>
    <t>Sneem</t>
  </si>
  <si>
    <t>Lilly</t>
  </si>
  <si>
    <t>Kilcornan</t>
  </si>
  <si>
    <t>Limerick</t>
  </si>
  <si>
    <t>Blarney</t>
  </si>
  <si>
    <t>claire</t>
  </si>
  <si>
    <t>Ballyneety</t>
  </si>
  <si>
    <t>Andree</t>
  </si>
  <si>
    <t>Newmarket</t>
  </si>
  <si>
    <t>Shiree</t>
  </si>
  <si>
    <t>Clondalkin</t>
  </si>
  <si>
    <t>Tracey</t>
  </si>
  <si>
    <t>Harold's Cross</t>
  </si>
  <si>
    <t>Jackie</t>
  </si>
  <si>
    <t>philippa katherine</t>
  </si>
  <si>
    <t>Cabinteely</t>
  </si>
  <si>
    <t>Alexia</t>
  </si>
  <si>
    <t>Blackrock</t>
  </si>
  <si>
    <t>Gloria Gail</t>
  </si>
  <si>
    <t>Foxrock</t>
  </si>
  <si>
    <t>barbara</t>
  </si>
  <si>
    <t>Hyderabad</t>
  </si>
  <si>
    <t>Andhra Pradesh</t>
  </si>
  <si>
    <t>India</t>
  </si>
  <si>
    <t>Gurgaon</t>
  </si>
  <si>
    <t>Haryana</t>
  </si>
  <si>
    <t>Camille and Carmen</t>
  </si>
  <si>
    <t>Thorlakshofn</t>
  </si>
  <si>
    <t>Iceland</t>
  </si>
  <si>
    <t>christina</t>
  </si>
  <si>
    <t>Chepel</t>
  </si>
  <si>
    <t>Budapest</t>
  </si>
  <si>
    <t>Hungary</t>
  </si>
  <si>
    <t>Aideen and Jonathan</t>
  </si>
  <si>
    <t>Kecskemet</t>
  </si>
  <si>
    <t>Bacs-Kiskun</t>
  </si>
  <si>
    <t>Line</t>
  </si>
  <si>
    <t>Budaors</t>
  </si>
  <si>
    <t>Pest</t>
  </si>
  <si>
    <t>Ana</t>
  </si>
  <si>
    <t>Hong Kong</t>
  </si>
  <si>
    <t>Glen</t>
  </si>
  <si>
    <t>Atlantida</t>
  </si>
  <si>
    <t>Guatemala</t>
  </si>
  <si>
    <t>Chevonne</t>
  </si>
  <si>
    <t>Athina</t>
  </si>
  <si>
    <t>Attiki</t>
  </si>
  <si>
    <t>Greece</t>
  </si>
  <si>
    <t>Marcia</t>
  </si>
  <si>
    <t>Telgte</t>
  </si>
  <si>
    <t>Nordrhein-Westfalen</t>
  </si>
  <si>
    <t>Germany</t>
  </si>
  <si>
    <t>Hofheim am Taunus</t>
  </si>
  <si>
    <t>Hessen</t>
  </si>
  <si>
    <t>Caren</t>
  </si>
  <si>
    <t>Braunschweig</t>
  </si>
  <si>
    <t>Lower Saxony</t>
  </si>
  <si>
    <t>Saraya</t>
  </si>
  <si>
    <t>Dresden</t>
  </si>
  <si>
    <t>Saxony</t>
  </si>
  <si>
    <t>Lucien</t>
  </si>
  <si>
    <t>Wiesbaden</t>
  </si>
  <si>
    <t>Oldenburg</t>
  </si>
  <si>
    <t>Irene</t>
  </si>
  <si>
    <t>Munich</t>
  </si>
  <si>
    <t>Bayern</t>
  </si>
  <si>
    <t>Glan-Munchweiler</t>
  </si>
  <si>
    <t>Rhineland-Palatinate</t>
  </si>
  <si>
    <t>Berlin</t>
  </si>
  <si>
    <t>Beate</t>
  </si>
  <si>
    <t>Hamburg</t>
  </si>
  <si>
    <t>Gries</t>
  </si>
  <si>
    <t>Carmela</t>
  </si>
  <si>
    <t>Hannover</t>
  </si>
  <si>
    <t>Bato</t>
  </si>
  <si>
    <t>Munchengosserstadt</t>
  </si>
  <si>
    <t>Thuringia</t>
  </si>
  <si>
    <t>Rich</t>
  </si>
  <si>
    <t>Ingelheim-Mitte</t>
  </si>
  <si>
    <t>Hanna Agla</t>
  </si>
  <si>
    <t>Donauworth</t>
  </si>
  <si>
    <t>Ehingen an der Donau</t>
  </si>
  <si>
    <t>Baden-Wurttemberg</t>
  </si>
  <si>
    <t>Ludwigsburg</t>
  </si>
  <si>
    <t>amy</t>
  </si>
  <si>
    <t>Stuttgart</t>
  </si>
  <si>
    <t>Karen and Andrew</t>
  </si>
  <si>
    <t>Munchen</t>
  </si>
  <si>
    <t>Dania</t>
  </si>
  <si>
    <t>Damian</t>
  </si>
  <si>
    <t>Mettlach</t>
  </si>
  <si>
    <t>Saarland</t>
  </si>
  <si>
    <t>Evelyn</t>
  </si>
  <si>
    <t>Grossbodungen</t>
  </si>
  <si>
    <t>stacy</t>
  </si>
  <si>
    <t>Aidan</t>
  </si>
  <si>
    <t>Chatou</t>
  </si>
  <si>
    <t>Ile-de-France</t>
  </si>
  <si>
    <t>France</t>
  </si>
  <si>
    <t>Rouen</t>
  </si>
  <si>
    <t>Upper Normandy</t>
  </si>
  <si>
    <t>Tiffany</t>
  </si>
  <si>
    <t>Paris</t>
  </si>
  <si>
    <t>Rennes</t>
  </si>
  <si>
    <t>Roquefort</t>
  </si>
  <si>
    <t>Provence-Alpes-Cote d'Azur</t>
  </si>
  <si>
    <t>Brulon</t>
  </si>
  <si>
    <t>Pays de la Loire</t>
  </si>
  <si>
    <t>Jane</t>
  </si>
  <si>
    <t>Biot</t>
  </si>
  <si>
    <t>James</t>
  </si>
  <si>
    <t>Guer</t>
  </si>
  <si>
    <t>Sabrina</t>
  </si>
  <si>
    <t>Rambouillet</t>
  </si>
  <si>
    <t>Veigy-Foncenex</t>
  </si>
  <si>
    <t>Rhone-Alpes</t>
  </si>
  <si>
    <t>Jag</t>
  </si>
  <si>
    <t>Saint-Cergues</t>
  </si>
  <si>
    <t>Adam</t>
  </si>
  <si>
    <t>Besancon</t>
  </si>
  <si>
    <t>Franche-Comte</t>
  </si>
  <si>
    <t>Ornex</t>
  </si>
  <si>
    <t>Ferney-Voltaire</t>
  </si>
  <si>
    <t>steve</t>
  </si>
  <si>
    <t>Evires</t>
  </si>
  <si>
    <t>M George</t>
  </si>
  <si>
    <t>Oscar</t>
  </si>
  <si>
    <t>Chamonix-Mont-Blanc</t>
  </si>
  <si>
    <t>Arc-et-Senans</t>
  </si>
  <si>
    <t>Kasey</t>
  </si>
  <si>
    <t>Aix-en-Provence</t>
  </si>
  <si>
    <t>Antibes</t>
  </si>
  <si>
    <t>Olga</t>
  </si>
  <si>
    <t>Strasbourg</t>
  </si>
  <si>
    <t>Alsace</t>
  </si>
  <si>
    <t>brian</t>
  </si>
  <si>
    <t>Hagen</t>
  </si>
  <si>
    <t>Lorraine</t>
  </si>
  <si>
    <t>Ghislaine</t>
  </si>
  <si>
    <t>Lena</t>
  </si>
  <si>
    <t>Kuopio</t>
  </si>
  <si>
    <t>Ita-Suomen Laani</t>
  </si>
  <si>
    <t>Finland</t>
  </si>
  <si>
    <t>smith</t>
  </si>
  <si>
    <t>Lahti</t>
  </si>
  <si>
    <t>Etela-Suomen Laani</t>
  </si>
  <si>
    <t>Santo Domingo City</t>
  </si>
  <si>
    <t>Distrito Nacional</t>
  </si>
  <si>
    <t>Dominican Republic</t>
  </si>
  <si>
    <t>Mehmet Fatih</t>
  </si>
  <si>
    <t>Helsingor</t>
  </si>
  <si>
    <t>Frederiksborg</t>
  </si>
  <si>
    <t>Denmark</t>
  </si>
  <si>
    <t>simone</t>
  </si>
  <si>
    <t>Kobenhavn</t>
  </si>
  <si>
    <t>Alice</t>
  </si>
  <si>
    <t>Nakskov</t>
  </si>
  <si>
    <t>Storstrom</t>
  </si>
  <si>
    <t>Si</t>
  </si>
  <si>
    <t>Holte</t>
  </si>
  <si>
    <t>Gerlinde</t>
  </si>
  <si>
    <t>Hellerup</t>
  </si>
  <si>
    <t>Cameron</t>
  </si>
  <si>
    <t>Rungsted</t>
  </si>
  <si>
    <t>GAIA</t>
  </si>
  <si>
    <t>Soro</t>
  </si>
  <si>
    <t>Vestsjalland</t>
  </si>
  <si>
    <t>Lyngby</t>
  </si>
  <si>
    <t>George</t>
  </si>
  <si>
    <t>Kjobenhavn</t>
  </si>
  <si>
    <t>Staden Kobenhavn</t>
  </si>
  <si>
    <t>Tomasz</t>
  </si>
  <si>
    <t>Klampenborg</t>
  </si>
  <si>
    <t>Brondby Strand</t>
  </si>
  <si>
    <t>Majken</t>
  </si>
  <si>
    <t>Charlottenlund</t>
  </si>
  <si>
    <t>Laasby</t>
  </si>
  <si>
    <t>Arhus</t>
  </si>
  <si>
    <t>Suchdol</t>
  </si>
  <si>
    <t>Prague</t>
  </si>
  <si>
    <t>Czech Republic</t>
  </si>
  <si>
    <t>Central Bohemia</t>
  </si>
  <si>
    <t>Hradec Kralove</t>
  </si>
  <si>
    <t>East Bohemia</t>
  </si>
  <si>
    <t>melanie</t>
  </si>
  <si>
    <t>Santa Barbaraa</t>
  </si>
  <si>
    <t>Heredia</t>
  </si>
  <si>
    <t>Costa Rica</t>
  </si>
  <si>
    <t>Taicheng</t>
  </si>
  <si>
    <t>Guangdong</t>
  </si>
  <si>
    <t>China</t>
  </si>
  <si>
    <t>Daria</t>
  </si>
  <si>
    <t>George Town</t>
  </si>
  <si>
    <t>Cayman Isls</t>
  </si>
  <si>
    <t>Ottawa</t>
  </si>
  <si>
    <t>Ontario</t>
  </si>
  <si>
    <t>Canada</t>
  </si>
  <si>
    <t>Anushka</t>
  </si>
  <si>
    <t>Maple Ridge District Municipality</t>
  </si>
  <si>
    <t>British Columbia</t>
  </si>
  <si>
    <t>Baybars</t>
  </si>
  <si>
    <t>Prince Albert</t>
  </si>
  <si>
    <t>Saskatchewan</t>
  </si>
  <si>
    <t>Gina</t>
  </si>
  <si>
    <t>Red Deer</t>
  </si>
  <si>
    <t>Alberta</t>
  </si>
  <si>
    <t>Calgary</t>
  </si>
  <si>
    <t>Bruce</t>
  </si>
  <si>
    <t>Belleville</t>
  </si>
  <si>
    <t>Lydia</t>
  </si>
  <si>
    <t>Comox</t>
  </si>
  <si>
    <t>nathalie</t>
  </si>
  <si>
    <t>Lindi</t>
  </si>
  <si>
    <t>Vancouver</t>
  </si>
  <si>
    <t>Gerhard</t>
  </si>
  <si>
    <t>Alliston</t>
  </si>
  <si>
    <t>Kofi</t>
  </si>
  <si>
    <t>Tsawwassen</t>
  </si>
  <si>
    <t>Okotoks</t>
  </si>
  <si>
    <t>Kanata</t>
  </si>
  <si>
    <t>Annelies</t>
  </si>
  <si>
    <t>Ile-Perrot</t>
  </si>
  <si>
    <t>Quebec</t>
  </si>
  <si>
    <t>Sarka</t>
  </si>
  <si>
    <t>Yellowknife</t>
  </si>
  <si>
    <t>Northwest Territories</t>
  </si>
  <si>
    <t>Winnipeg</t>
  </si>
  <si>
    <t>Manitoba</t>
  </si>
  <si>
    <t>Denise</t>
  </si>
  <si>
    <t>Montreal</t>
  </si>
  <si>
    <t>Jeffrey</t>
  </si>
  <si>
    <t>Montreal-Nord</t>
  </si>
  <si>
    <t>Kelowna</t>
  </si>
  <si>
    <t>Gabriel</t>
  </si>
  <si>
    <t>Three Hills</t>
  </si>
  <si>
    <t>Priska</t>
  </si>
  <si>
    <t>Tina</t>
  </si>
  <si>
    <t>Damali</t>
  </si>
  <si>
    <t>Toronto</t>
  </si>
  <si>
    <t>L</t>
  </si>
  <si>
    <t>Alcona</t>
  </si>
  <si>
    <t>Anse Comeau</t>
  </si>
  <si>
    <t>Ginger</t>
  </si>
  <si>
    <t>King City</t>
  </si>
  <si>
    <t>Saint Catharines</t>
  </si>
  <si>
    <t>maria</t>
  </si>
  <si>
    <t>Christyna</t>
  </si>
  <si>
    <t>Sharon</t>
  </si>
  <si>
    <t>Ajax</t>
  </si>
  <si>
    <t>Yana</t>
  </si>
  <si>
    <t>North Bay</t>
  </si>
  <si>
    <t>Henrietta</t>
  </si>
  <si>
    <t>Debra</t>
  </si>
  <si>
    <t>Saskatoon</t>
  </si>
  <si>
    <t>Benoit</t>
  </si>
  <si>
    <t>Fort Saint James</t>
  </si>
  <si>
    <t>Hamilton</t>
  </si>
  <si>
    <t>Kendra</t>
  </si>
  <si>
    <t>Derrick</t>
  </si>
  <si>
    <t>Trine Marie</t>
  </si>
  <si>
    <t>Orillia</t>
  </si>
  <si>
    <t>familly</t>
  </si>
  <si>
    <t>Creemore</t>
  </si>
  <si>
    <t>Precious</t>
  </si>
  <si>
    <t>Edmonton</t>
  </si>
  <si>
    <t>Mona</t>
  </si>
  <si>
    <t>jacqueline</t>
  </si>
  <si>
    <t>North Vancouver</t>
  </si>
  <si>
    <t>Paul</t>
  </si>
  <si>
    <t>Burnaby</t>
  </si>
  <si>
    <t>Cornwall</t>
  </si>
  <si>
    <t>Mount Forest</t>
  </si>
  <si>
    <t>sorcha</t>
  </si>
  <si>
    <t>Cartierville</t>
  </si>
  <si>
    <t>isabelle</t>
  </si>
  <si>
    <t>Sainte-Therese-de-Blainville</t>
  </si>
  <si>
    <t>Lolarae</t>
  </si>
  <si>
    <t>Jenevieve</t>
  </si>
  <si>
    <t>Guelph</t>
  </si>
  <si>
    <t>Simcoe</t>
  </si>
  <si>
    <t>Joern</t>
  </si>
  <si>
    <t>Karoline</t>
  </si>
  <si>
    <t>Powell River</t>
  </si>
  <si>
    <t>Alessandra</t>
  </si>
  <si>
    <t>loudon</t>
  </si>
  <si>
    <t>Mission</t>
  </si>
  <si>
    <t>Brandi</t>
  </si>
  <si>
    <t>Tanya</t>
  </si>
  <si>
    <t>Carcross</t>
  </si>
  <si>
    <t>Yukon Territory</t>
  </si>
  <si>
    <t>Stephen</t>
  </si>
  <si>
    <t>TG</t>
  </si>
  <si>
    <t>Zagore</t>
  </si>
  <si>
    <t>Stara Zagora</t>
  </si>
  <si>
    <t>Bulgaria</t>
  </si>
  <si>
    <t>Joachim</t>
  </si>
  <si>
    <t>Fortaleza</t>
  </si>
  <si>
    <t>Ceara</t>
  </si>
  <si>
    <t>Brazil</t>
  </si>
  <si>
    <t>Campinas</t>
  </si>
  <si>
    <t>Sao Paulo</t>
  </si>
  <si>
    <t>Porto Alegre</t>
  </si>
  <si>
    <t>Rio Grande do Sul</t>
  </si>
  <si>
    <t>Lesa</t>
  </si>
  <si>
    <t>Vespasiano</t>
  </si>
  <si>
    <t>Minas Gerais</t>
  </si>
  <si>
    <t>Michaela</t>
  </si>
  <si>
    <t>Mafra</t>
  </si>
  <si>
    <t>Santa Catarina</t>
  </si>
  <si>
    <t>Bermuda</t>
  </si>
  <si>
    <t>Brussels</t>
  </si>
  <si>
    <t>Brussels (Bruxelles)</t>
  </si>
  <si>
    <t>Belgium</t>
  </si>
  <si>
    <t>Jocelyn</t>
  </si>
  <si>
    <t>Bruxelles</t>
  </si>
  <si>
    <t>Christine</t>
  </si>
  <si>
    <t>Antwerpen</t>
  </si>
  <si>
    <t>Geraldine</t>
  </si>
  <si>
    <t>Audrey</t>
  </si>
  <si>
    <t>mike</t>
  </si>
  <si>
    <t>La Louviere</t>
  </si>
  <si>
    <t>Hainaut</t>
  </si>
  <si>
    <t>Dez</t>
  </si>
  <si>
    <t>Al 'Adliyah</t>
  </si>
  <si>
    <t>Al Manamah</t>
  </si>
  <si>
    <t>Bahrain</t>
  </si>
  <si>
    <t>Austria</t>
  </si>
  <si>
    <t>corina</t>
  </si>
  <si>
    <t>Neustift am Walde</t>
  </si>
  <si>
    <t>manon</t>
  </si>
  <si>
    <t>Altlengbach</t>
  </si>
  <si>
    <t>Lower Austria</t>
  </si>
  <si>
    <t>Tamara</t>
  </si>
  <si>
    <t>Klosterneuburg</t>
  </si>
  <si>
    <t>WalcProduct3ee</t>
  </si>
  <si>
    <t>Tyrol</t>
  </si>
  <si>
    <t>Macy</t>
  </si>
  <si>
    <t>Inner City</t>
  </si>
  <si>
    <t>Gouya</t>
  </si>
  <si>
    <t>Echuca</t>
  </si>
  <si>
    <t>Victoria</t>
  </si>
  <si>
    <t>Australia</t>
  </si>
  <si>
    <t>Burpengary</t>
  </si>
  <si>
    <t>Queensland</t>
  </si>
  <si>
    <t>Melbourne</t>
  </si>
  <si>
    <t>Gold Coast</t>
  </si>
  <si>
    <t>IMAN</t>
  </si>
  <si>
    <t>Brisbane</t>
  </si>
  <si>
    <t>jeremy</t>
  </si>
  <si>
    <t>Charlestown</t>
  </si>
  <si>
    <t>New South Wales</t>
  </si>
  <si>
    <t>The Grange</t>
  </si>
  <si>
    <t>Bob</t>
  </si>
  <si>
    <t>Sydney</t>
  </si>
  <si>
    <t>Wollongong</t>
  </si>
  <si>
    <t>Morgan</t>
  </si>
  <si>
    <t>Coomera</t>
  </si>
  <si>
    <t>STEPHANIE</t>
  </si>
  <si>
    <t>Mona Vale</t>
  </si>
  <si>
    <t>Emma</t>
  </si>
  <si>
    <t>Nerang</t>
  </si>
  <si>
    <t>South Melbourne</t>
  </si>
  <si>
    <t>nina</t>
  </si>
  <si>
    <t>Parramatta</t>
  </si>
  <si>
    <t>eva</t>
  </si>
  <si>
    <t>Gisborne</t>
  </si>
  <si>
    <t>Griffith</t>
  </si>
  <si>
    <t>Lindfield</t>
  </si>
  <si>
    <t>Ruangrote</t>
  </si>
  <si>
    <t>Dawn</t>
  </si>
  <si>
    <t>Vaucluse</t>
  </si>
  <si>
    <t>Lyndoch</t>
  </si>
  <si>
    <t>South Australia</t>
  </si>
  <si>
    <t>Western Australia</t>
  </si>
  <si>
    <t>Anglesea</t>
  </si>
  <si>
    <t>Perth City</t>
  </si>
  <si>
    <t>Ellen Walton</t>
  </si>
  <si>
    <t>Kees en Valesca</t>
  </si>
  <si>
    <t>Scamander</t>
  </si>
  <si>
    <t>Tasmania</t>
  </si>
  <si>
    <t>Dean</t>
  </si>
  <si>
    <t>Rockingham</t>
  </si>
  <si>
    <t>Kirsten</t>
  </si>
  <si>
    <t>Piret</t>
  </si>
  <si>
    <t>Bunbury</t>
  </si>
  <si>
    <t>Birkdale</t>
  </si>
  <si>
    <t>Polyxene</t>
  </si>
  <si>
    <t>clara</t>
  </si>
  <si>
    <t>KELI</t>
  </si>
  <si>
    <t>Worongary</t>
  </si>
  <si>
    <t>Anke</t>
  </si>
  <si>
    <t>Avalon</t>
  </si>
  <si>
    <t>TRICIA</t>
  </si>
  <si>
    <t>pamela</t>
  </si>
  <si>
    <t>Ayacucho</t>
  </si>
  <si>
    <t>Buenos Aires</t>
  </si>
  <si>
    <t>Argentina</t>
  </si>
  <si>
    <t>Transaction date</t>
  </si>
  <si>
    <t>Sales</t>
  </si>
  <si>
    <t>Buyers name</t>
  </si>
  <si>
    <t>Transaction time.1</t>
  </si>
  <si>
    <t>AM</t>
  </si>
  <si>
    <t>PM</t>
  </si>
  <si>
    <t>Row Labels</t>
  </si>
  <si>
    <t>Grand Total</t>
  </si>
  <si>
    <t>Sum of Sales</t>
  </si>
  <si>
    <t>Weekdays</t>
  </si>
  <si>
    <t>Time range</t>
  </si>
  <si>
    <t>Sum of Sales2</t>
  </si>
  <si>
    <t>Count of Sales</t>
  </si>
  <si>
    <t>Lookup area</t>
  </si>
  <si>
    <t>Extracted</t>
  </si>
  <si>
    <t>American Express</t>
  </si>
  <si>
    <t>Average of Sales3</t>
  </si>
  <si>
    <t>condition 1</t>
  </si>
  <si>
    <t>condition 2</t>
  </si>
  <si>
    <t>Top sales country</t>
  </si>
  <si>
    <t>Checking selected time ranges</t>
  </si>
  <si>
    <t>Caption</t>
  </si>
  <si>
    <t>sellecting Top selling day</t>
  </si>
  <si>
    <t>Worse  selling day</t>
  </si>
  <si>
    <t>Time series analaysis</t>
  </si>
  <si>
    <t>Extract sales time</t>
  </si>
  <si>
    <t>Time</t>
  </si>
  <si>
    <t>Hours</t>
  </si>
  <si>
    <t>Used caption</t>
  </si>
  <si>
    <t>Used K</t>
  </si>
  <si>
    <t>Visa card</t>
  </si>
  <si>
    <t>12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</si>
</sst>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quot;$&quot;#,##0_);[Red]\(&quot;$&quot;#,##0\)"/>
    <numFmt numFmtId="165" formatCode="_(* #,##0.00_);_(* \(#,##0.00\);_(* &quot;-&quot;??_);_(@_)"/>
    <numFmt numFmtId="166" formatCode="[$-F400]h:mm:ss\ AM/PM"/>
    <numFmt numFmtId="167" formatCode="[$-409]d\-mmm;@"/>
    <numFmt numFmtId="168" formatCode="ddd"/>
    <numFmt numFmtId="169" formatCode="_(* #,##0_);_(* \(#,##0\);_(* &quot;-&quot;??_);_(@_)"/>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rgb="FF352C48"/>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165" fontId="1" fillId="0" borderId="0" applyFont="0" applyFill="0" applyBorder="0" applyAlignment="0" applyProtection="0"/>
  </cellStyleXfs>
  <cellXfs count="25">
    <xf numFmtId="0" fontId="0" fillId="0" borderId="0" xfId="0"/>
    <xf numFmtId="22" fontId="0" fillId="0" borderId="0" xfId="0" applyNumberFormat="1"/>
    <xf numFmtId="166" fontId="0" fillId="0" borderId="0" xfId="0" applyNumberFormat="1"/>
    <xf numFmtId="167" fontId="0" fillId="0" borderId="0" xfId="0" applyNumberFormat="1"/>
    <xf numFmtId="0" fontId="0" fillId="33" borderId="0" xfId="0" applyFill="1"/>
    <xf numFmtId="168" fontId="0" fillId="0" borderId="0" xfId="0" applyNumberFormat="1"/>
    <xf numFmtId="164" fontId="0" fillId="0" borderId="0" xfId="0" applyNumberFormat="1"/>
    <xf numFmtId="10" fontId="0" fillId="0" borderId="0" xfId="0" applyNumberFormat="1"/>
    <xf numFmtId="164" fontId="16" fillId="34" borderId="10" xfId="0" applyNumberFormat="1" applyFont="1" applyFill="1" applyBorder="1"/>
    <xf numFmtId="169" fontId="16" fillId="34" borderId="10" xfId="42" applyNumberFormat="1" applyFont="1" applyFill="1" applyBorder="1"/>
    <xf numFmtId="169" fontId="0" fillId="0" borderId="0" xfId="42" applyNumberFormat="1" applyFont="1"/>
    <xf numFmtId="0" fontId="0" fillId="0" borderId="11" xfId="0" applyBorder="1"/>
    <xf numFmtId="164" fontId="0" fillId="0" borderId="11" xfId="0" applyNumberFormat="1" applyBorder="1"/>
    <xf numFmtId="167" fontId="0" fillId="0" borderId="11" xfId="0" applyNumberFormat="1" applyBorder="1" applyAlignment="1">
      <alignment horizontal="left"/>
    </xf>
    <xf numFmtId="0" fontId="0" fillId="0" borderId="11" xfId="0" applyBorder="1" applyAlignment="1">
      <alignment horizontal="left"/>
    </xf>
    <xf numFmtId="10" fontId="0" fillId="0" borderId="11" xfId="0" applyNumberFormat="1" applyBorder="1"/>
    <xf numFmtId="169" fontId="0" fillId="0" borderId="11" xfId="0" applyNumberFormat="1" applyBorder="1"/>
    <xf numFmtId="14" fontId="0" fillId="0" borderId="11" xfId="0" applyNumberFormat="1" applyBorder="1"/>
    <xf numFmtId="0" fontId="13" fillId="35" borderId="0" xfId="0" applyFont="1" applyFill="1"/>
    <xf numFmtId="167" fontId="13" fillId="35" borderId="11" xfId="0" applyNumberFormat="1" applyFont="1" applyFill="1" applyBorder="1"/>
    <xf numFmtId="0" fontId="13" fillId="35" borderId="11" xfId="0" applyFont="1" applyFill="1" applyBorder="1"/>
    <xf numFmtId="167" fontId="0" fillId="0" borderId="11" xfId="0" applyNumberFormat="1" applyBorder="1"/>
    <xf numFmtId="168" fontId="0" fillId="0" borderId="11" xfId="0" applyNumberFormat="1" applyBorder="1"/>
    <xf numFmtId="0" fontId="16" fillId="0" borderId="0" xfId="0" applyFont="1"/>
    <xf numFmtId="10" fontId="16" fillId="0" borderId="0" xfId="0" applyNumberFormat="1"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1">
    <dxf>
      <numFmt numFmtId="170" formatCode="m/d/yyyy\ h:mm"/>
    </dxf>
    <dxf>
      <numFmt numFmtId="170" formatCode="m/d/yyyy\ h:mm"/>
    </dxf>
    <dxf>
      <numFmt numFmtId="168" formatCode="ddd"/>
    </dxf>
    <dxf>
      <numFmt numFmtId="0" formatCode="General"/>
    </dxf>
    <dxf>
      <numFmt numFmtId="0" formatCode="General"/>
    </dxf>
    <dxf>
      <numFmt numFmtId="0" formatCode="General"/>
    </dxf>
    <dxf>
      <numFmt numFmtId="0" formatCode="General"/>
    </dxf>
    <dxf>
      <numFmt numFmtId="0" formatCode="General"/>
    </dxf>
    <dxf>
      <numFmt numFmtId="166" formatCode="[$-F400]h:mm:ss\ AM/PM"/>
    </dxf>
    <dxf>
      <numFmt numFmtId="167" formatCode="[$-409]d\-mmm;@"/>
    </dxf>
    <dxf>
      <font>
        <color theme="0"/>
      </font>
    </dxf>
    <dxf>
      <font>
        <color theme="0"/>
      </font>
    </dxf>
    <dxf>
      <fill>
        <patternFill patternType="solid">
          <bgColor rgb="FF352C48"/>
        </patternFill>
      </fill>
    </dxf>
    <dxf>
      <fill>
        <patternFill patternType="solid">
          <bgColor rgb="FF352C48"/>
        </patternFill>
      </fill>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color theme="0"/>
      </font>
    </dxf>
    <dxf>
      <font>
        <color theme="0"/>
      </font>
    </dxf>
    <dxf>
      <fill>
        <patternFill patternType="solid">
          <bgColor rgb="FF352C48"/>
        </patternFill>
      </fill>
    </dxf>
    <dxf>
      <fill>
        <patternFill patternType="solid">
          <bgColor rgb="FF352C48"/>
        </patternFill>
      </fill>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_(* #,##0_);_(* \(#,##0\);_(* &quot;-&quot;??_);_(@_)"/>
    </dxf>
    <dxf>
      <numFmt numFmtId="14" formatCode="0.00%"/>
    </dxf>
    <dxf>
      <numFmt numFmtId="164" formatCode="&quot;$&quot;#,##0_);[Red]\(&quot;$&quot;#,##0\)"/>
    </dxf>
    <dxf>
      <numFmt numFmtId="167" formatCode="[$-409]d\-mmm;@"/>
    </dxf>
    <dxf>
      <numFmt numFmtId="167" formatCode="[$-409]d\-mmm;@"/>
    </dxf>
    <dxf>
      <font>
        <color theme="0"/>
      </font>
    </dxf>
    <dxf>
      <fill>
        <patternFill patternType="solid">
          <bgColor rgb="FF352C48"/>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color theme="0"/>
      </font>
    </dxf>
    <dxf>
      <font>
        <color theme="0"/>
      </font>
    </dxf>
    <dxf>
      <fill>
        <patternFill patternType="solid">
          <bgColor rgb="FF352C48"/>
        </patternFill>
      </fill>
    </dxf>
    <dxf>
      <fill>
        <patternFill patternType="solid">
          <bgColor rgb="FF352C48"/>
        </patternFill>
      </fill>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4" formatCode="&quot;$&quot;#,##0_);[Red]\(&quot;$&quot;#,##0\)"/>
    </dxf>
    <dxf>
      <numFmt numFmtId="167" formatCode="[$-409]d\-mmm;@"/>
    </dxf>
    <dxf>
      <numFmt numFmtId="167" formatCode="[$-409]d\-mmm;@"/>
    </dxf>
    <dxf>
      <font>
        <b/>
      </font>
    </dxf>
    <dxf>
      <font>
        <b/>
      </font>
    </dxf>
    <dxf>
      <font>
        <color theme="0"/>
      </font>
    </dxf>
    <dxf>
      <font>
        <color theme="0"/>
      </font>
    </dxf>
    <dxf>
      <fill>
        <patternFill patternType="solid">
          <bgColor rgb="FF352C48"/>
        </patternFill>
      </fill>
    </dxf>
    <dxf>
      <fill>
        <patternFill patternType="solid">
          <bgColor rgb="FF352C4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b/>
      </font>
    </dxf>
    <dxf>
      <font>
        <b/>
      </font>
    </dxf>
    <dxf>
      <font>
        <color theme="0"/>
      </font>
    </dxf>
    <dxf>
      <font>
        <color theme="0"/>
      </font>
    </dxf>
    <dxf>
      <fill>
        <patternFill patternType="solid">
          <bgColor rgb="FF352C48"/>
        </patternFill>
      </fill>
    </dxf>
    <dxf>
      <fill>
        <patternFill patternType="solid">
          <bgColor rgb="FF352C4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color theme="0"/>
      </font>
    </dxf>
    <dxf>
      <fill>
        <patternFill patternType="solid">
          <bgColor rgb="FF352C48"/>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b/>
      </font>
    </dxf>
    <dxf>
      <font>
        <color theme="0"/>
      </font>
    </dxf>
    <dxf>
      <fill>
        <patternFill patternType="solid">
          <bgColor rgb="FF352C48"/>
        </patternFill>
      </fill>
    </dxf>
    <dxf>
      <numFmt numFmtId="164" formatCode="&quot;$&quot;#,##0_);[Red]\(&quot;$&quot;#,##0\)"/>
    </dxf>
    <dxf>
      <numFmt numFmtId="167" formatCode="[$-409]d\-mmm;@"/>
    </dxf>
    <dxf>
      <numFmt numFmtId="167" formatCode="[$-409]d\-mmm;@"/>
    </dxf>
    <dxf>
      <font>
        <b/>
      </font>
    </dxf>
    <dxf>
      <font>
        <b/>
      </font>
    </dxf>
    <dxf>
      <font>
        <color theme="0"/>
      </font>
    </dxf>
    <dxf>
      <font>
        <color theme="0"/>
      </font>
    </dxf>
    <dxf>
      <fill>
        <patternFill patternType="solid">
          <bgColor rgb="FF352C48"/>
        </patternFill>
      </fill>
    </dxf>
    <dxf>
      <fill>
        <patternFill patternType="solid">
          <bgColor rgb="FF352C4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color theme="0"/>
      </font>
    </dxf>
    <dxf>
      <font>
        <color theme="0"/>
      </font>
    </dxf>
    <dxf>
      <fill>
        <patternFill patternType="solid">
          <bgColor rgb="FF352C48"/>
        </patternFill>
      </fill>
    </dxf>
    <dxf>
      <fill>
        <patternFill patternType="solid">
          <bgColor rgb="FF352C48"/>
        </patternFill>
      </fill>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b/>
      </font>
    </dxf>
    <dxf>
      <font>
        <b/>
      </font>
    </dxf>
    <dxf>
      <font>
        <color theme="0"/>
      </font>
    </dxf>
    <dxf>
      <font>
        <color theme="0"/>
      </font>
    </dxf>
    <dxf>
      <fill>
        <patternFill patternType="solid">
          <bgColor rgb="FF352C48"/>
        </patternFill>
      </fill>
    </dxf>
    <dxf>
      <fill>
        <patternFill patternType="solid">
          <bgColor rgb="FF352C4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b/>
        <color theme="1"/>
      </font>
      <border>
        <bottom style="thin">
          <color theme="4"/>
        </bottom>
        <vertical/>
        <horizontal/>
      </border>
    </dxf>
    <dxf>
      <font>
        <color theme="1"/>
      </font>
      <fill>
        <patternFill patternType="solid">
          <bgColor theme="0"/>
        </patternFill>
      </fill>
      <border diagonalUp="0" diagonalDown="0">
        <left/>
        <right/>
        <top/>
        <bottom/>
        <vertical/>
        <horizontal/>
      </border>
    </dxf>
    <dxf>
      <font>
        <b/>
        <color theme="1"/>
      </font>
      <border>
        <bottom style="thin">
          <color theme="4"/>
        </bottom>
        <vertical/>
        <horizontal/>
      </border>
    </dxf>
    <dxf>
      <font>
        <color theme="1"/>
      </font>
      <fill>
        <patternFill>
          <bgColor rgb="FF7030A0"/>
        </patternFill>
      </fill>
      <border diagonalUp="0" diagonalDown="0">
        <left/>
        <right/>
        <top/>
        <bottom/>
        <vertical/>
        <horizontal/>
      </border>
    </dxf>
    <dxf>
      <font>
        <b/>
        <color theme="1"/>
      </font>
      <border>
        <bottom style="thin">
          <color theme="4"/>
        </bottom>
        <vertical/>
        <horizontal/>
      </border>
    </dxf>
    <dxf>
      <font>
        <color theme="1"/>
      </font>
      <fill>
        <patternFill>
          <bgColor theme="0"/>
        </patternFill>
      </fill>
      <border diagonalUp="0" diagonalDown="0">
        <left/>
        <right/>
        <top/>
        <bottom/>
        <vertical/>
        <horizontal/>
      </border>
    </dxf>
  </dxfs>
  <tableStyles count="3" defaultTableStyle="TableStyleMedium2" defaultPivotStyle="PivotStyleLight16">
    <tableStyle name="SlicerStyleLight1 2" pivot="0" table="0" count="10" xr9:uid="{C0F855DC-77C7-4967-9001-C001DD2CACFE}">
      <tableStyleElement type="wholeTable" dxfId="160"/>
      <tableStyleElement type="headerRow" dxfId="159"/>
    </tableStyle>
    <tableStyle name="SlicerStyleLight1 3" pivot="0" table="0" count="10" xr9:uid="{5EE98181-8B55-4DCE-BA37-A695C3015C33}">
      <tableStyleElement type="wholeTable" dxfId="158"/>
      <tableStyleElement type="headerRow" dxfId="157"/>
    </tableStyle>
    <tableStyle name="SlicerStyleLight1 4" pivot="0" table="0" count="10" xr9:uid="{98FBAEC1-37A7-4D53-9F65-13E93101C731}">
      <tableStyleElement type="wholeTable" dxfId="156"/>
      <tableStyleElement type="headerRow" dxfId="155"/>
    </tableStyle>
  </tableStyles>
  <colors>
    <mruColors>
      <color rgb="FFE01A8B"/>
      <color rgb="FF341FB1"/>
      <color rgb="FF261783"/>
      <color rgb="FF00205D"/>
      <color rgb="FF7030A0"/>
      <color rgb="FF002060"/>
      <color rgb="FFBA1674"/>
      <color rgb="FFCC0404"/>
      <color rgb="FFAB2542"/>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sz val="20"/>
            <color rgb="FF000000"/>
          </font>
          <fill>
            <patternFill patternType="solid">
              <fgColor auto="1"/>
              <bgColor rgb="FF00B0F0"/>
            </patternFill>
          </fill>
          <border diagonalUp="0" diagonalDown="0">
            <left/>
            <right/>
            <top/>
            <bottom/>
            <vertical/>
            <horizontal/>
          </border>
        </dxf>
        <dxf>
          <font>
            <color theme="1" tint="0.14996795556505021"/>
          </font>
          <fill>
            <patternFill patternType="solid">
              <fgColor auto="1"/>
              <bgColor rgb="FFE01A8B"/>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6"/>
            <color theme="1" tint="0.34998626667073579"/>
          </font>
          <fill>
            <patternFill patternType="solid">
              <fgColor theme="4" tint="0.59999389629810485"/>
              <bgColor theme="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499984740745262"/>
          </font>
          <fill>
            <patternFill patternType="solid">
              <fgColor rgb="FFFFFFFF"/>
              <bgColor theme="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tint="0.14996795556505021"/>
          </font>
          <fill>
            <patternFill patternType="solid">
              <fgColor auto="1"/>
              <bgColor rgb="FF00B0F0"/>
            </patternFill>
          </fill>
          <border diagonalUp="0" diagonalDown="0">
            <left/>
            <right/>
            <top/>
            <bottom/>
            <vertical/>
            <horizontal/>
          </border>
        </dxf>
        <dxf>
          <font>
            <color theme="1" tint="0.14996795556505021"/>
          </font>
          <fill>
            <patternFill patternType="solid">
              <fgColor auto="1"/>
              <bgColor rgb="FFE01A8B"/>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font>
          <fill>
            <patternFill patternType="solid">
              <fgColor theme="4" tint="0.59999389629810485"/>
              <bgColor rgb="FF7030A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24994659260841701"/>
          </font>
          <fill>
            <patternFill patternType="solid">
              <fgColor rgb="FFFFFFFF"/>
              <bgColor rgb="FF7030A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tint="0.34998626667073579"/>
          </font>
          <fill>
            <patternFill patternType="solid">
              <fgColor auto="1"/>
              <bgColor rgb="FF00B0F0"/>
            </patternFill>
          </fill>
          <border diagonalUp="0" diagonalDown="0">
            <left/>
            <right/>
            <top/>
            <bottom/>
            <vertical/>
            <horizontal/>
          </border>
        </dxf>
        <dxf>
          <font>
            <b/>
            <i val="0"/>
            <color rgb="FF000000"/>
          </font>
          <fill>
            <patternFill patternType="solid">
              <fgColor auto="1"/>
              <bgColor rgb="FFE01A8B"/>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2"/>
            <color rgb="FF002060"/>
          </font>
          <fill>
            <patternFill patternType="solid">
              <fgColor theme="4" tint="0.59999389629810485"/>
              <bgColor theme="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1" tint="0.499984740745262"/>
          </font>
          <fill>
            <patternFill patternType="solid">
              <fgColor rgb="FFFFFFFF"/>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[Online+sales+Dashboard.xlsm]Analysis!PivotTable1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Analysis!$C$3</c:f>
              <c:strCache>
                <c:ptCount val="1"/>
                <c:pt idx="0">
                  <c:v>Total</c:v>
                </c:pt>
              </c:strCache>
            </c:strRef>
          </c:tx>
          <c:spPr>
            <a:solidFill>
              <a:srgbClr val="7030A0"/>
            </a:solidFill>
            <a:ln>
              <a:noFill/>
            </a:ln>
            <a:effectLst/>
          </c:spPr>
          <c:invertIfNegative val="0"/>
          <c:cat>
            <c:strRef>
              <c:f>Analysis!$B$4:$B$11</c:f>
              <c:strCache>
                <c:ptCount val="7"/>
                <c:pt idx="0">
                  <c:v>Sun</c:v>
                </c:pt>
                <c:pt idx="1">
                  <c:v>Mon</c:v>
                </c:pt>
                <c:pt idx="2">
                  <c:v>Tue</c:v>
                </c:pt>
                <c:pt idx="3">
                  <c:v>Wed</c:v>
                </c:pt>
                <c:pt idx="4">
                  <c:v>Thu</c:v>
                </c:pt>
                <c:pt idx="5">
                  <c:v>Fri</c:v>
                </c:pt>
                <c:pt idx="6">
                  <c:v>Sat</c:v>
                </c:pt>
              </c:strCache>
            </c:strRef>
          </c:cat>
          <c:val>
            <c:numRef>
              <c:f>Analysis!$C$4:$C$11</c:f>
              <c:numCache>
                <c:formatCode>"$"#,##0_);[Red]\("$"#,##0\)</c:formatCode>
                <c:ptCount val="7"/>
                <c:pt idx="0">
                  <c:v>2400</c:v>
                </c:pt>
                <c:pt idx="1">
                  <c:v>1200</c:v>
                </c:pt>
                <c:pt idx="2">
                  <c:v>3600</c:v>
                </c:pt>
                <c:pt idx="3">
                  <c:v>1200</c:v>
                </c:pt>
                <c:pt idx="4">
                  <c:v>6000</c:v>
                </c:pt>
                <c:pt idx="6">
                  <c:v>2400</c:v>
                </c:pt>
              </c:numCache>
            </c:numRef>
          </c:val>
          <c:extLst>
            <c:ext xmlns:c16="http://schemas.microsoft.com/office/drawing/2014/chart" uri="{C3380CC4-5D6E-409C-BE32-E72D297353CC}">
              <c16:uniqueId val="{00000000-D4F0-4690-A585-CC1E857DFE08}"/>
            </c:ext>
          </c:extLst>
        </c:ser>
        <c:dLbls>
          <c:showLegendKey val="0"/>
          <c:showVal val="0"/>
          <c:showCatName val="0"/>
          <c:showSerName val="0"/>
          <c:showPercent val="0"/>
          <c:showBubbleSize val="0"/>
        </c:dLbls>
        <c:gapWidth val="219"/>
        <c:overlap val="-27"/>
        <c:axId val="664217679"/>
        <c:axId val="2030412815"/>
      </c:barChart>
      <c:catAx>
        <c:axId val="6642176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2030412815"/>
        <c:crosses val="autoZero"/>
        <c:auto val="1"/>
        <c:lblAlgn val="ctr"/>
        <c:lblOffset val="100"/>
        <c:noMultiLvlLbl val="0"/>
      </c:catAx>
      <c:valAx>
        <c:axId val="2030412815"/>
        <c:scaling>
          <c:orientation val="minMax"/>
        </c:scaling>
        <c:delete val="1"/>
        <c:axPos val="l"/>
        <c:majorGridlines>
          <c:spPr>
            <a:ln w="9525" cap="flat" cmpd="sng" algn="ctr">
              <a:gradFill flip="none" rotWithShape="1">
                <a:gsLst>
                  <a:gs pos="0">
                    <a:schemeClr val="accent1">
                      <a:lumMod val="5000"/>
                      <a:lumOff val="95000"/>
                    </a:schemeClr>
                  </a:gs>
                  <a:gs pos="50000">
                    <a:schemeClr val="accent1">
                      <a:lumMod val="45000"/>
                      <a:lumOff val="55000"/>
                      <a:alpha val="0"/>
                    </a:schemeClr>
                  </a:gs>
                  <a:gs pos="100000">
                    <a:schemeClr val="accent1">
                      <a:lumMod val="30000"/>
                      <a:lumOff val="70000"/>
                      <a:alpha val="35000"/>
                    </a:schemeClr>
                  </a:gs>
                </a:gsLst>
                <a:lin ang="5400000" scaled="1"/>
                <a:tileRect/>
              </a:gradFill>
              <a:round/>
            </a:ln>
            <a:effectLst/>
          </c:spPr>
        </c:majorGridlines>
        <c:numFmt formatCode="&quot;$&quot;#,##0_);[Red]\(&quot;$&quot;#,##0\)" sourceLinked="1"/>
        <c:majorTickMark val="out"/>
        <c:minorTickMark val="none"/>
        <c:tickLblPos val="nextTo"/>
        <c:crossAx val="6642176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[Online+sales+Dashboard.xlsm]Analysis!PivotTable2</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41FB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41FB1"/>
          </a:solidFill>
          <a:ln>
            <a:noFill/>
          </a:ln>
          <a:effectLst/>
        </c:spPr>
      </c:pivotFmt>
    </c:pivotFmts>
    <c:plotArea>
      <c:layout>
        <c:manualLayout>
          <c:layoutTarget val="inner"/>
          <c:xMode val="edge"/>
          <c:yMode val="edge"/>
          <c:x val="3.1683766801876923E-3"/>
          <c:y val="9.3418259023354558E-2"/>
          <c:w val="0.81992587290225083"/>
          <c:h val="0.81316348195329091"/>
        </c:manualLayout>
      </c:layout>
      <c:barChart>
        <c:barDir val="bar"/>
        <c:grouping val="clustered"/>
        <c:varyColors val="0"/>
        <c:ser>
          <c:idx val="0"/>
          <c:order val="0"/>
          <c:tx>
            <c:strRef>
              <c:f>Analysis!$H$3</c:f>
              <c:strCache>
                <c:ptCount val="1"/>
                <c:pt idx="0">
                  <c:v>Total</c:v>
                </c:pt>
              </c:strCache>
            </c:strRef>
          </c:tx>
          <c:spPr>
            <a:solidFill>
              <a:srgbClr val="341FB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Analysis!$G$4:$G$6</c:f>
              <c:strCache>
                <c:ptCount val="2"/>
                <c:pt idx="0">
                  <c:v>Product1</c:v>
                </c:pt>
                <c:pt idx="1">
                  <c:v>Product3</c:v>
                </c:pt>
              </c:strCache>
            </c:strRef>
          </c:cat>
          <c:val>
            <c:numRef>
              <c:f>Analysis!$H$4:$H$6</c:f>
              <c:numCache>
                <c:formatCode>"$"#,##0_);[Red]\("$"#,##0\)</c:formatCode>
                <c:ptCount val="2"/>
                <c:pt idx="0">
                  <c:v>1200</c:v>
                </c:pt>
                <c:pt idx="1">
                  <c:v>1200</c:v>
                </c:pt>
              </c:numCache>
            </c:numRef>
          </c:val>
          <c:extLst>
            <c:ext xmlns:c16="http://schemas.microsoft.com/office/drawing/2014/chart" uri="{C3380CC4-5D6E-409C-BE32-E72D297353CC}">
              <c16:uniqueId val="{00000000-EB17-490E-A640-021EF0D984B1}"/>
            </c:ext>
          </c:extLst>
        </c:ser>
        <c:dLbls>
          <c:showLegendKey val="0"/>
          <c:showVal val="0"/>
          <c:showCatName val="0"/>
          <c:showSerName val="0"/>
          <c:showPercent val="0"/>
          <c:showBubbleSize val="0"/>
        </c:dLbls>
        <c:gapWidth val="76"/>
        <c:axId val="491152320"/>
        <c:axId val="1271920544"/>
      </c:barChart>
      <c:catAx>
        <c:axId val="491152320"/>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tx1">
                    <a:lumMod val="50000"/>
                    <a:lumOff val="50000"/>
                  </a:schemeClr>
                </a:solidFill>
                <a:latin typeface="+mn-lt"/>
                <a:ea typeface="+mn-ea"/>
                <a:cs typeface="+mn-cs"/>
              </a:defRPr>
            </a:pPr>
            <a:endParaRPr lang="en-US"/>
          </a:p>
        </c:txPr>
        <c:crossAx val="1271920544"/>
        <c:crosses val="autoZero"/>
        <c:auto val="1"/>
        <c:lblAlgn val="ctr"/>
        <c:lblOffset val="100"/>
        <c:noMultiLvlLbl val="0"/>
      </c:catAx>
      <c:valAx>
        <c:axId val="1271920544"/>
        <c:scaling>
          <c:orientation val="minMax"/>
        </c:scaling>
        <c:delete val="1"/>
        <c:axPos val="t"/>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crossAx val="491152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Pt>
            <c:idx val="0"/>
            <c:invertIfNegative val="0"/>
            <c:bubble3D val="0"/>
            <c:spPr>
              <a:solidFill>
                <a:srgbClr val="E01A8B"/>
              </a:solidFill>
              <a:ln>
                <a:noFill/>
              </a:ln>
              <a:effectLst/>
            </c:spPr>
            <c:extLst>
              <c:ext xmlns:c16="http://schemas.microsoft.com/office/drawing/2014/chart" uri="{C3380CC4-5D6E-409C-BE32-E72D297353CC}">
                <c16:uniqueId val="{00000001-EDA6-4266-99BA-2E10D0B244A7}"/>
              </c:ext>
            </c:extLst>
          </c:dPt>
          <c:cat>
            <c:strRef>
              <c:f>Analysis!$J$10</c:f>
              <c:strCache>
                <c:ptCount val="1"/>
                <c:pt idx="0">
                  <c:v>AM</c:v>
                </c:pt>
              </c:strCache>
            </c:strRef>
          </c:cat>
          <c:val>
            <c:numRef>
              <c:f>Analysis!$K$10</c:f>
              <c:numCache>
                <c:formatCode>0.00%</c:formatCode>
                <c:ptCount val="1"/>
                <c:pt idx="0">
                  <c:v>0.98892988929889303</c:v>
                </c:pt>
              </c:numCache>
            </c:numRef>
          </c:val>
          <c:extLst>
            <c:ext xmlns:c16="http://schemas.microsoft.com/office/drawing/2014/chart" uri="{C3380CC4-5D6E-409C-BE32-E72D297353CC}">
              <c16:uniqueId val="{00000000-EDA6-4266-99BA-2E10D0B244A7}"/>
            </c:ext>
          </c:extLst>
        </c:ser>
        <c:dLbls>
          <c:showLegendKey val="0"/>
          <c:showVal val="0"/>
          <c:showCatName val="0"/>
          <c:showSerName val="0"/>
          <c:showPercent val="0"/>
          <c:showBubbleSize val="0"/>
        </c:dLbls>
        <c:gapWidth val="182"/>
        <c:axId val="491161920"/>
        <c:axId val="593226032"/>
      </c:barChart>
      <c:catAx>
        <c:axId val="491161920"/>
        <c:scaling>
          <c:orientation val="minMax"/>
        </c:scaling>
        <c:delete val="1"/>
        <c:axPos val="l"/>
        <c:numFmt formatCode="General" sourceLinked="1"/>
        <c:majorTickMark val="none"/>
        <c:minorTickMark val="none"/>
        <c:tickLblPos val="nextTo"/>
        <c:crossAx val="593226032"/>
        <c:crosses val="autoZero"/>
        <c:auto val="1"/>
        <c:lblAlgn val="ctr"/>
        <c:lblOffset val="100"/>
        <c:noMultiLvlLbl val="0"/>
      </c:catAx>
      <c:valAx>
        <c:axId val="593226032"/>
        <c:scaling>
          <c:orientation val="minMax"/>
          <c:max val="1"/>
          <c:min val="0"/>
        </c:scaling>
        <c:delete val="1"/>
        <c:axPos val="b"/>
        <c:numFmt formatCode="0.00%" sourceLinked="1"/>
        <c:majorTickMark val="none"/>
        <c:minorTickMark val="none"/>
        <c:tickLblPos val="nextTo"/>
        <c:crossAx val="4911619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0-9275-45EA-B640-A35DCA5096C1}"/>
              </c:ext>
            </c:extLst>
          </c:dPt>
          <c:cat>
            <c:strRef>
              <c:f>Analysis!$J$11</c:f>
              <c:strCache>
                <c:ptCount val="1"/>
                <c:pt idx="0">
                  <c:v>PM</c:v>
                </c:pt>
              </c:strCache>
            </c:strRef>
          </c:cat>
          <c:val>
            <c:numRef>
              <c:f>Analysis!$K$11</c:f>
              <c:numCache>
                <c:formatCode>0.00%</c:formatCode>
                <c:ptCount val="1"/>
                <c:pt idx="0">
                  <c:v>1.107011070110701E-2</c:v>
                </c:pt>
              </c:numCache>
            </c:numRef>
          </c:val>
          <c:extLst>
            <c:ext xmlns:c16="http://schemas.microsoft.com/office/drawing/2014/chart" uri="{C3380CC4-5D6E-409C-BE32-E72D297353CC}">
              <c16:uniqueId val="{00000000-EDA6-4266-99BA-2E10D0B244A7}"/>
            </c:ext>
          </c:extLst>
        </c:ser>
        <c:dLbls>
          <c:showLegendKey val="0"/>
          <c:showVal val="0"/>
          <c:showCatName val="0"/>
          <c:showSerName val="0"/>
          <c:showPercent val="0"/>
          <c:showBubbleSize val="0"/>
        </c:dLbls>
        <c:gapWidth val="182"/>
        <c:axId val="491161920"/>
        <c:axId val="593226032"/>
      </c:barChart>
      <c:catAx>
        <c:axId val="491161920"/>
        <c:scaling>
          <c:orientation val="minMax"/>
        </c:scaling>
        <c:delete val="1"/>
        <c:axPos val="l"/>
        <c:numFmt formatCode="General" sourceLinked="1"/>
        <c:majorTickMark val="none"/>
        <c:minorTickMark val="none"/>
        <c:tickLblPos val="nextTo"/>
        <c:crossAx val="593226032"/>
        <c:crosses val="autoZero"/>
        <c:auto val="1"/>
        <c:lblAlgn val="ctr"/>
        <c:lblOffset val="100"/>
        <c:noMultiLvlLbl val="0"/>
      </c:catAx>
      <c:valAx>
        <c:axId val="593226032"/>
        <c:scaling>
          <c:orientation val="minMax"/>
          <c:max val="1"/>
          <c:min val="0"/>
        </c:scaling>
        <c:delete val="1"/>
        <c:axPos val="b"/>
        <c:numFmt formatCode="0.00%" sourceLinked="1"/>
        <c:majorTickMark val="none"/>
        <c:minorTickMark val="none"/>
        <c:tickLblPos val="nextTo"/>
        <c:crossAx val="4911619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E01A8B"/>
            </a:solidFill>
            <a:ln>
              <a:noFill/>
            </a:ln>
            <a:effectLst/>
          </c:spPr>
          <c:invertIfNegative val="0"/>
          <c:cat>
            <c:strRef>
              <c:f>Analysis!$N$10</c:f>
              <c:strCache>
                <c:ptCount val="1"/>
                <c:pt idx="0">
                  <c:v>Amex</c:v>
                </c:pt>
              </c:strCache>
            </c:strRef>
          </c:cat>
          <c:val>
            <c:numRef>
              <c:f>Analysis!$O$10</c:f>
              <c:numCache>
                <c:formatCode>0.00%</c:formatCode>
                <c:ptCount val="1"/>
                <c:pt idx="0">
                  <c:v>0.25</c:v>
                </c:pt>
              </c:numCache>
            </c:numRef>
          </c:val>
          <c:extLst>
            <c:ext xmlns:c16="http://schemas.microsoft.com/office/drawing/2014/chart" uri="{C3380CC4-5D6E-409C-BE32-E72D297353CC}">
              <c16:uniqueId val="{00000000-3910-4F1D-9EEC-9D0BFE9C5893}"/>
            </c:ext>
          </c:extLst>
        </c:ser>
        <c:dLbls>
          <c:showLegendKey val="0"/>
          <c:showVal val="0"/>
          <c:showCatName val="0"/>
          <c:showSerName val="0"/>
          <c:showPercent val="0"/>
          <c:showBubbleSize val="0"/>
        </c:dLbls>
        <c:gapWidth val="182"/>
        <c:axId val="656193984"/>
        <c:axId val="659494112"/>
      </c:barChart>
      <c:catAx>
        <c:axId val="656193984"/>
        <c:scaling>
          <c:orientation val="minMax"/>
        </c:scaling>
        <c:delete val="1"/>
        <c:axPos val="l"/>
        <c:numFmt formatCode="General" sourceLinked="1"/>
        <c:majorTickMark val="none"/>
        <c:minorTickMark val="none"/>
        <c:tickLblPos val="nextTo"/>
        <c:crossAx val="659494112"/>
        <c:crosses val="autoZero"/>
        <c:auto val="1"/>
        <c:lblAlgn val="ctr"/>
        <c:lblOffset val="100"/>
        <c:noMultiLvlLbl val="0"/>
      </c:catAx>
      <c:valAx>
        <c:axId val="659494112"/>
        <c:scaling>
          <c:orientation val="minMax"/>
          <c:max val="1"/>
          <c:min val="0"/>
        </c:scaling>
        <c:delete val="1"/>
        <c:axPos val="b"/>
        <c:numFmt formatCode="0.00%" sourceLinked="1"/>
        <c:majorTickMark val="none"/>
        <c:minorTickMark val="none"/>
        <c:tickLblPos val="nextTo"/>
        <c:crossAx val="6561939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[Online+sales+Dashboard.xlsm]Analysis!PivotTable5</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41FB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596276905177427E-2"/>
          <c:y val="0.24242447380049992"/>
          <c:w val="0.94880744618964519"/>
          <c:h val="0.47638413398628876"/>
        </c:manualLayout>
      </c:layout>
      <c:barChart>
        <c:barDir val="col"/>
        <c:grouping val="clustered"/>
        <c:varyColors val="0"/>
        <c:ser>
          <c:idx val="0"/>
          <c:order val="0"/>
          <c:tx>
            <c:strRef>
              <c:f>Analysis!$X$3</c:f>
              <c:strCache>
                <c:ptCount val="1"/>
                <c:pt idx="0">
                  <c:v>Total</c:v>
                </c:pt>
              </c:strCache>
            </c:strRef>
          </c:tx>
          <c:spPr>
            <a:solidFill>
              <a:srgbClr val="341FB1"/>
            </a:solidFill>
            <a:ln>
              <a:noFill/>
            </a:ln>
            <a:effectLst/>
          </c:spPr>
          <c:invertIfNegative val="0"/>
          <c:cat>
            <c:strRef>
              <c:f>Analysis!$W$4</c:f>
              <c:strCache>
                <c:ptCount val="1"/>
                <c:pt idx="0">
                  <c:v>12 PM</c:v>
                </c:pt>
              </c:strCache>
            </c:strRef>
          </c:cat>
          <c:val>
            <c:numRef>
              <c:f>Analysis!$X$4</c:f>
              <c:numCache>
                <c:formatCode>"$"#,##0_);[Red]\("$"#,##0\)</c:formatCode>
                <c:ptCount val="1"/>
                <c:pt idx="0">
                  <c:v>2400</c:v>
                </c:pt>
              </c:numCache>
            </c:numRef>
          </c:val>
          <c:extLst>
            <c:ext xmlns:c16="http://schemas.microsoft.com/office/drawing/2014/chart" uri="{C3380CC4-5D6E-409C-BE32-E72D297353CC}">
              <c16:uniqueId val="{00000002-0FF2-45EB-BB16-178F34621CA6}"/>
            </c:ext>
          </c:extLst>
        </c:ser>
        <c:dLbls>
          <c:showLegendKey val="0"/>
          <c:showVal val="0"/>
          <c:showCatName val="0"/>
          <c:showSerName val="0"/>
          <c:showPercent val="0"/>
          <c:showBubbleSize val="0"/>
        </c:dLbls>
        <c:gapWidth val="219"/>
        <c:axId val="395968143"/>
        <c:axId val="1705937327"/>
      </c:barChart>
      <c:catAx>
        <c:axId val="395968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5937327"/>
        <c:crosses val="autoZero"/>
        <c:auto val="1"/>
        <c:lblAlgn val="ctr"/>
        <c:lblOffset val="100"/>
        <c:noMultiLvlLbl val="0"/>
      </c:catAx>
      <c:valAx>
        <c:axId val="1705937327"/>
        <c:scaling>
          <c:orientation val="minMax"/>
        </c:scaling>
        <c:delete val="1"/>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crossAx val="3959681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7.png"/><Relationship Id="rId18" Type="http://schemas.openxmlformats.org/officeDocument/2006/relationships/image" Target="../media/image12.svg"/><Relationship Id="rId26" Type="http://schemas.openxmlformats.org/officeDocument/2006/relationships/image" Target="../media/image20.svg"/><Relationship Id="rId3" Type="http://schemas.openxmlformats.org/officeDocument/2006/relationships/image" Target="../media/image3.png"/><Relationship Id="rId21" Type="http://schemas.openxmlformats.org/officeDocument/2006/relationships/image" Target="../media/image15.png"/><Relationship Id="rId7" Type="http://schemas.openxmlformats.org/officeDocument/2006/relationships/chart" Target="../charts/chart3.xml"/><Relationship Id="rId12" Type="http://schemas.openxmlformats.org/officeDocument/2006/relationships/chart" Target="../charts/chart6.xml"/><Relationship Id="rId17" Type="http://schemas.openxmlformats.org/officeDocument/2006/relationships/image" Target="../media/image11.png"/><Relationship Id="rId25" Type="http://schemas.openxmlformats.org/officeDocument/2006/relationships/image" Target="../media/image19.png"/><Relationship Id="rId2" Type="http://schemas.openxmlformats.org/officeDocument/2006/relationships/image" Target="../media/image2.svg"/><Relationship Id="rId16" Type="http://schemas.openxmlformats.org/officeDocument/2006/relationships/image" Target="../media/image10.svg"/><Relationship Id="rId20" Type="http://schemas.openxmlformats.org/officeDocument/2006/relationships/image" Target="../media/image14.svg"/><Relationship Id="rId29" Type="http://schemas.openxmlformats.org/officeDocument/2006/relationships/image" Target="../media/image23.pn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image" Target="../media/image6.svg"/><Relationship Id="rId24" Type="http://schemas.openxmlformats.org/officeDocument/2006/relationships/image" Target="../media/image18.svg"/><Relationship Id="rId5" Type="http://schemas.openxmlformats.org/officeDocument/2006/relationships/chart" Target="../charts/chart1.xml"/><Relationship Id="rId15" Type="http://schemas.openxmlformats.org/officeDocument/2006/relationships/image" Target="../media/image9.png"/><Relationship Id="rId23" Type="http://schemas.openxmlformats.org/officeDocument/2006/relationships/image" Target="../media/image17.png"/><Relationship Id="rId28" Type="http://schemas.openxmlformats.org/officeDocument/2006/relationships/image" Target="../media/image22.svg"/><Relationship Id="rId10" Type="http://schemas.openxmlformats.org/officeDocument/2006/relationships/image" Target="../media/image5.png"/><Relationship Id="rId19" Type="http://schemas.openxmlformats.org/officeDocument/2006/relationships/image" Target="../media/image13.png"/><Relationship Id="rId4" Type="http://schemas.openxmlformats.org/officeDocument/2006/relationships/image" Target="../media/image4.svg"/><Relationship Id="rId9" Type="http://schemas.openxmlformats.org/officeDocument/2006/relationships/chart" Target="../charts/chart5.xml"/><Relationship Id="rId14" Type="http://schemas.openxmlformats.org/officeDocument/2006/relationships/image" Target="../media/image8.svg"/><Relationship Id="rId22" Type="http://schemas.openxmlformats.org/officeDocument/2006/relationships/image" Target="../media/image16.svg"/><Relationship Id="rId27" Type="http://schemas.openxmlformats.org/officeDocument/2006/relationships/image" Target="../media/image21.png"/><Relationship Id="rId30" Type="http://schemas.openxmlformats.org/officeDocument/2006/relationships/image" Target="../media/image24.svg"/></Relationships>
</file>

<file path=xl/drawings/drawing1.xml><?xml version="1.0" encoding="utf-8"?>
<xdr:wsDr xmlns:xdr="http://schemas.openxmlformats.org/drawingml/2006/spreadsheetDrawing" xmlns:a="http://schemas.openxmlformats.org/drawingml/2006/main">
  <xdr:twoCellAnchor editAs="absolute">
    <xdr:from>
      <xdr:col>17</xdr:col>
      <xdr:colOff>1065364</xdr:colOff>
      <xdr:row>17</xdr:row>
      <xdr:rowOff>161923</xdr:rowOff>
    </xdr:from>
    <xdr:to>
      <xdr:col>18</xdr:col>
      <xdr:colOff>192577</xdr:colOff>
      <xdr:row>19</xdr:row>
      <xdr:rowOff>80439</xdr:rowOff>
    </xdr:to>
    <xdr:grpSp>
      <xdr:nvGrpSpPr>
        <xdr:cNvPr id="11" name="Group 10">
          <a:extLst>
            <a:ext uri="{FF2B5EF4-FFF2-40B4-BE49-F238E27FC236}">
              <a16:creationId xmlns:a16="http://schemas.microsoft.com/office/drawing/2014/main" id="{F1E9D703-EEF3-44AD-98A6-C77511AF075D}"/>
            </a:ext>
          </a:extLst>
        </xdr:cNvPr>
        <xdr:cNvGrpSpPr/>
      </xdr:nvGrpSpPr>
      <xdr:grpSpPr>
        <a:xfrm rot="60000">
          <a:off x="17329751" y="3217112"/>
          <a:ext cx="277401" cy="277950"/>
          <a:chOff x="5885494" y="4480725"/>
          <a:chExt cx="664940" cy="717951"/>
        </a:xfrm>
      </xdr:grpSpPr>
      <xdr:sp macro="" textlink="">
        <xdr:nvSpPr>
          <xdr:cNvPr id="12" name="Rectangle 11">
            <a:extLst>
              <a:ext uri="{FF2B5EF4-FFF2-40B4-BE49-F238E27FC236}">
                <a16:creationId xmlns:a16="http://schemas.microsoft.com/office/drawing/2014/main" id="{8F0DCFBF-230F-4051-8076-F7B3D98D4EE9}"/>
              </a:ext>
            </a:extLst>
          </xdr:cNvPr>
          <xdr:cNvSpPr/>
        </xdr:nvSpPr>
        <xdr:spPr>
          <a:xfrm rot="2760000">
            <a:off x="5858988" y="4507231"/>
            <a:ext cx="717951" cy="664940"/>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 name="Group 12">
            <a:extLst>
              <a:ext uri="{FF2B5EF4-FFF2-40B4-BE49-F238E27FC236}">
                <a16:creationId xmlns:a16="http://schemas.microsoft.com/office/drawing/2014/main" id="{53DC9E92-648F-4FE8-AF06-A7ED6D512735}"/>
              </a:ext>
            </a:extLst>
          </xdr:cNvPr>
          <xdr:cNvGrpSpPr/>
        </xdr:nvGrpSpPr>
        <xdr:grpSpPr>
          <a:xfrm>
            <a:off x="5965064" y="4566640"/>
            <a:ext cx="505798" cy="546122"/>
            <a:chOff x="5965064" y="4587626"/>
            <a:chExt cx="505798" cy="546122"/>
          </a:xfrm>
        </xdr:grpSpPr>
        <xdr:sp macro="" textlink="">
          <xdr:nvSpPr>
            <xdr:cNvPr id="14" name="Rectangle 13">
              <a:extLst>
                <a:ext uri="{FF2B5EF4-FFF2-40B4-BE49-F238E27FC236}">
                  <a16:creationId xmlns:a16="http://schemas.microsoft.com/office/drawing/2014/main" id="{0ED3CDA8-81FB-472B-ACAE-99231C9F6E24}"/>
                </a:ext>
              </a:extLst>
            </xdr:cNvPr>
            <xdr:cNvSpPr/>
          </xdr:nvSpPr>
          <xdr:spPr>
            <a:xfrm rot="2760000">
              <a:off x="5944902" y="4607788"/>
              <a:ext cx="546122" cy="505798"/>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8A3E6D9D-B829-42E4-8E1A-1A44D6B2E158}"/>
                </a:ext>
              </a:extLst>
            </xdr:cNvPr>
            <xdr:cNvSpPr/>
          </xdr:nvSpPr>
          <xdr:spPr>
            <a:xfrm rot="2760000">
              <a:off x="6021658" y="4678877"/>
              <a:ext cx="392610" cy="363621"/>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333375</xdr:colOff>
      <xdr:row>6</xdr:row>
      <xdr:rowOff>1</xdr:rowOff>
    </xdr:from>
    <xdr:to>
      <xdr:col>13</xdr:col>
      <xdr:colOff>514350</xdr:colOff>
      <xdr:row>34</xdr:row>
      <xdr:rowOff>76201</xdr:rowOff>
    </xdr:to>
    <xdr:sp macro="" textlink="">
      <xdr:nvSpPr>
        <xdr:cNvPr id="11" name="Rectangle 10">
          <a:extLst>
            <a:ext uri="{FF2B5EF4-FFF2-40B4-BE49-F238E27FC236}">
              <a16:creationId xmlns:a16="http://schemas.microsoft.com/office/drawing/2014/main" id="{3675B43D-12EC-4912-BCB2-79BCE9A01E8E}"/>
            </a:ext>
          </a:extLst>
        </xdr:cNvPr>
        <xdr:cNvSpPr/>
      </xdr:nvSpPr>
      <xdr:spPr>
        <a:xfrm>
          <a:off x="2771775" y="1143001"/>
          <a:ext cx="5667375" cy="5410200"/>
        </a:xfrm>
        <a:prstGeom prst="rect">
          <a:avLst/>
        </a:prstGeom>
        <a:solidFill>
          <a:schemeClr val="bg1"/>
        </a:solidFill>
        <a:ln>
          <a:noFill/>
        </a:ln>
        <a:effectLst>
          <a:outerShdw blurRad="6350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6</xdr:col>
      <xdr:colOff>466725</xdr:colOff>
      <xdr:row>10</xdr:row>
      <xdr:rowOff>47625</xdr:rowOff>
    </xdr:from>
    <xdr:to>
      <xdr:col>11</xdr:col>
      <xdr:colOff>333375</xdr:colOff>
      <xdr:row>12</xdr:row>
      <xdr:rowOff>114301</xdr:rowOff>
    </xdr:to>
    <mc:AlternateContent xmlns:mc="http://schemas.openxmlformats.org/markup-compatibility/2006" xmlns:a14="http://schemas.microsoft.com/office/drawing/2010/main">
      <mc:Choice Requires="a14">
        <xdr:graphicFrame macro="">
          <xdr:nvGraphicFramePr>
            <xdr:cNvPr id="69" name="Payment_Type">
              <a:extLst>
                <a:ext uri="{FF2B5EF4-FFF2-40B4-BE49-F238E27FC236}">
                  <a16:creationId xmlns:a16="http://schemas.microsoft.com/office/drawing/2014/main" id="{A895F8E6-2A45-47AA-8011-BD7F25EC8F5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yment_Type"/>
            </a:graphicData>
          </a:graphic>
        </xdr:graphicFrame>
      </mc:Choice>
      <mc:Fallback xmlns="">
        <xdr:sp macro="" textlink="">
          <xdr:nvSpPr>
            <xdr:cNvPr id="0" name=""/>
            <xdr:cNvSpPr>
              <a:spLocks noTextEdit="1"/>
            </xdr:cNvSpPr>
          </xdr:nvSpPr>
          <xdr:spPr>
            <a:xfrm>
              <a:off x="4124325" y="1952625"/>
              <a:ext cx="2914650" cy="4476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561975</xdr:colOff>
      <xdr:row>12</xdr:row>
      <xdr:rowOff>9524</xdr:rowOff>
    </xdr:from>
    <xdr:to>
      <xdr:col>12</xdr:col>
      <xdr:colOff>266700</xdr:colOff>
      <xdr:row>21</xdr:row>
      <xdr:rowOff>0</xdr:rowOff>
    </xdr:to>
    <xdr:grpSp>
      <xdr:nvGrpSpPr>
        <xdr:cNvPr id="57" name="Group 56">
          <a:extLst>
            <a:ext uri="{FF2B5EF4-FFF2-40B4-BE49-F238E27FC236}">
              <a16:creationId xmlns:a16="http://schemas.microsoft.com/office/drawing/2014/main" id="{EC5C063B-890B-4763-997B-7E0D962989A2}"/>
            </a:ext>
          </a:extLst>
        </xdr:cNvPr>
        <xdr:cNvGrpSpPr/>
      </xdr:nvGrpSpPr>
      <xdr:grpSpPr>
        <a:xfrm>
          <a:off x="3822786" y="2171956"/>
          <a:ext cx="4269860" cy="1612301"/>
          <a:chOff x="3924300" y="2295524"/>
          <a:chExt cx="3971925" cy="1704976"/>
        </a:xfrm>
      </xdr:grpSpPr>
      <xdr:sp macro="" textlink="">
        <xdr:nvSpPr>
          <xdr:cNvPr id="27" name="Rectangle 26">
            <a:extLst>
              <a:ext uri="{FF2B5EF4-FFF2-40B4-BE49-F238E27FC236}">
                <a16:creationId xmlns:a16="http://schemas.microsoft.com/office/drawing/2014/main" id="{155A8590-2B79-4C27-993A-ED8EE227ED09}"/>
              </a:ext>
            </a:extLst>
          </xdr:cNvPr>
          <xdr:cNvSpPr/>
        </xdr:nvSpPr>
        <xdr:spPr>
          <a:xfrm>
            <a:off x="6943725" y="2466975"/>
            <a:ext cx="952500" cy="1390650"/>
          </a:xfrm>
          <a:prstGeom prst="rect">
            <a:avLst/>
          </a:prstGeom>
          <a:solidFill>
            <a:srgbClr val="E01A8B"/>
          </a:solidFill>
          <a:ln>
            <a:noFill/>
          </a:ln>
          <a:effectLst>
            <a:outerShdw blurRad="50800" dist="38100" algn="l"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a:extLst>
              <a:ext uri="{FF2B5EF4-FFF2-40B4-BE49-F238E27FC236}">
                <a16:creationId xmlns:a16="http://schemas.microsoft.com/office/drawing/2014/main" id="{032F5FC0-87C6-4B04-B548-DA5EC717F7A0}"/>
              </a:ext>
            </a:extLst>
          </xdr:cNvPr>
          <xdr:cNvSpPr/>
        </xdr:nvSpPr>
        <xdr:spPr>
          <a:xfrm>
            <a:off x="3924300" y="2476500"/>
            <a:ext cx="952500" cy="1390650"/>
          </a:xfrm>
          <a:prstGeom prst="rect">
            <a:avLst/>
          </a:prstGeom>
          <a:solidFill>
            <a:srgbClr val="7030A0"/>
          </a:solidFill>
          <a:ln>
            <a:noFill/>
          </a:ln>
          <a:effectLst>
            <a:outerShdw blurRad="50800" dist="38100" dir="10800000" algn="r"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 name="Rectangle 13">
            <a:extLst>
              <a:ext uri="{FF2B5EF4-FFF2-40B4-BE49-F238E27FC236}">
                <a16:creationId xmlns:a16="http://schemas.microsoft.com/office/drawing/2014/main" id="{F601DFB5-0904-4188-9A94-51168E9C763A}"/>
              </a:ext>
            </a:extLst>
          </xdr:cNvPr>
          <xdr:cNvSpPr/>
        </xdr:nvSpPr>
        <xdr:spPr>
          <a:xfrm>
            <a:off x="4429126" y="2295524"/>
            <a:ext cx="2924174" cy="1704976"/>
          </a:xfrm>
          <a:prstGeom prst="rect">
            <a:avLst/>
          </a:prstGeom>
          <a:solidFill>
            <a:srgbClr val="00B0F0"/>
          </a:solidFill>
          <a:ln>
            <a:noFill/>
          </a:ln>
          <a:effectLst>
            <a:outerShdw blurRad="50800" dist="38100" dir="5400000" sx="102000" sy="102000" algn="t"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304799</xdr:colOff>
      <xdr:row>2</xdr:row>
      <xdr:rowOff>47625</xdr:rowOff>
    </xdr:from>
    <xdr:to>
      <xdr:col>19</xdr:col>
      <xdr:colOff>380999</xdr:colOff>
      <xdr:row>4</xdr:row>
      <xdr:rowOff>123825</xdr:rowOff>
    </xdr:to>
    <xdr:sp macro="" textlink="">
      <xdr:nvSpPr>
        <xdr:cNvPr id="2" name="Rectangle 1">
          <a:extLst>
            <a:ext uri="{FF2B5EF4-FFF2-40B4-BE49-F238E27FC236}">
              <a16:creationId xmlns:a16="http://schemas.microsoft.com/office/drawing/2014/main" id="{25A33809-7B1F-4C70-8F62-4EDD9FC01F57}"/>
            </a:ext>
          </a:extLst>
        </xdr:cNvPr>
        <xdr:cNvSpPr/>
      </xdr:nvSpPr>
      <xdr:spPr>
        <a:xfrm>
          <a:off x="2743199" y="428625"/>
          <a:ext cx="9220200" cy="457200"/>
        </a:xfrm>
        <a:prstGeom prst="rect">
          <a:avLst/>
        </a:prstGeom>
        <a:solidFill>
          <a:schemeClr val="bg1"/>
        </a:solidFill>
        <a:ln>
          <a:noFill/>
        </a:ln>
        <a:effectLst>
          <a:outerShdw blurRad="6350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95250</xdr:colOff>
      <xdr:row>2</xdr:row>
      <xdr:rowOff>47625</xdr:rowOff>
    </xdr:from>
    <xdr:to>
      <xdr:col>4</xdr:col>
      <xdr:colOff>114300</xdr:colOff>
      <xdr:row>34</xdr:row>
      <xdr:rowOff>76200</xdr:rowOff>
    </xdr:to>
    <xdr:grpSp>
      <xdr:nvGrpSpPr>
        <xdr:cNvPr id="6" name="Group 5">
          <a:extLst>
            <a:ext uri="{FF2B5EF4-FFF2-40B4-BE49-F238E27FC236}">
              <a16:creationId xmlns:a16="http://schemas.microsoft.com/office/drawing/2014/main" id="{04FF8CD6-0AB1-498E-BD32-C7C4D7199A63}"/>
            </a:ext>
          </a:extLst>
        </xdr:cNvPr>
        <xdr:cNvGrpSpPr/>
      </xdr:nvGrpSpPr>
      <xdr:grpSpPr>
        <a:xfrm>
          <a:off x="747412" y="408030"/>
          <a:ext cx="1975537" cy="5795062"/>
          <a:chOff x="1485900" y="428625"/>
          <a:chExt cx="1847850" cy="6048375"/>
        </a:xfrm>
        <a:effectLst>
          <a:outerShdw blurRad="50800" dist="38100" dir="10800000" algn="r" rotWithShape="0">
            <a:prstClr val="black">
              <a:alpha val="40000"/>
            </a:prstClr>
          </a:outerShdw>
        </a:effectLst>
      </xdr:grpSpPr>
      <xdr:sp macro="" textlink="">
        <xdr:nvSpPr>
          <xdr:cNvPr id="4" name="Rectangle: Rounded Corners 3">
            <a:extLst>
              <a:ext uri="{FF2B5EF4-FFF2-40B4-BE49-F238E27FC236}">
                <a16:creationId xmlns:a16="http://schemas.microsoft.com/office/drawing/2014/main" id="{AE868B11-FAC6-4FBA-BDB6-F1CE05785622}"/>
              </a:ext>
            </a:extLst>
          </xdr:cNvPr>
          <xdr:cNvSpPr/>
        </xdr:nvSpPr>
        <xdr:spPr>
          <a:xfrm>
            <a:off x="1485900" y="428625"/>
            <a:ext cx="1781175" cy="6048375"/>
          </a:xfrm>
          <a:prstGeom prst="roundRect">
            <a:avLst>
              <a:gd name="adj" fmla="val 1345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 name="Rectangle: Rounded Corners 4">
            <a:extLst>
              <a:ext uri="{FF2B5EF4-FFF2-40B4-BE49-F238E27FC236}">
                <a16:creationId xmlns:a16="http://schemas.microsoft.com/office/drawing/2014/main" id="{2595699B-9497-4CF6-9A22-01A5A5BD6B08}"/>
              </a:ext>
            </a:extLst>
          </xdr:cNvPr>
          <xdr:cNvSpPr/>
        </xdr:nvSpPr>
        <xdr:spPr>
          <a:xfrm>
            <a:off x="3095625" y="428625"/>
            <a:ext cx="238125" cy="6048375"/>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absolute">
    <xdr:from>
      <xdr:col>17</xdr:col>
      <xdr:colOff>9525</xdr:colOff>
      <xdr:row>6</xdr:row>
      <xdr:rowOff>9524</xdr:rowOff>
    </xdr:from>
    <xdr:to>
      <xdr:col>19</xdr:col>
      <xdr:colOff>523875</xdr:colOff>
      <xdr:row>10</xdr:row>
      <xdr:rowOff>133349</xdr:rowOff>
    </xdr:to>
    <xdr:sp macro="" textlink="">
      <xdr:nvSpPr>
        <xdr:cNvPr id="7" name="Rectangle 6">
          <a:extLst>
            <a:ext uri="{FF2B5EF4-FFF2-40B4-BE49-F238E27FC236}">
              <a16:creationId xmlns:a16="http://schemas.microsoft.com/office/drawing/2014/main" id="{A0422F62-D3CC-4594-BB73-9C3D5C716639}"/>
            </a:ext>
          </a:extLst>
        </xdr:cNvPr>
        <xdr:cNvSpPr/>
      </xdr:nvSpPr>
      <xdr:spPr>
        <a:xfrm>
          <a:off x="10372725" y="1152524"/>
          <a:ext cx="1733550" cy="885825"/>
        </a:xfrm>
        <a:prstGeom prst="rect">
          <a:avLst/>
        </a:prstGeom>
        <a:solidFill>
          <a:srgbClr val="26178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104775</xdr:colOff>
      <xdr:row>6</xdr:row>
      <xdr:rowOff>9524</xdr:rowOff>
    </xdr:from>
    <xdr:to>
      <xdr:col>17</xdr:col>
      <xdr:colOff>9525</xdr:colOff>
      <xdr:row>10</xdr:row>
      <xdr:rowOff>133349</xdr:rowOff>
    </xdr:to>
    <xdr:sp macro="" textlink="">
      <xdr:nvSpPr>
        <xdr:cNvPr id="8" name="Rectangle 7">
          <a:extLst>
            <a:ext uri="{FF2B5EF4-FFF2-40B4-BE49-F238E27FC236}">
              <a16:creationId xmlns:a16="http://schemas.microsoft.com/office/drawing/2014/main" id="{27C86E97-D392-4017-9ABC-F7ECBEFF70A8}"/>
            </a:ext>
          </a:extLst>
        </xdr:cNvPr>
        <xdr:cNvSpPr/>
      </xdr:nvSpPr>
      <xdr:spPr>
        <a:xfrm>
          <a:off x="8639175" y="1152524"/>
          <a:ext cx="1733550" cy="885825"/>
        </a:xfrm>
        <a:prstGeom prst="rect">
          <a:avLst/>
        </a:prstGeom>
        <a:solidFill>
          <a:srgbClr val="341FB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114300</xdr:colOff>
      <xdr:row>11</xdr:row>
      <xdr:rowOff>57149</xdr:rowOff>
    </xdr:from>
    <xdr:to>
      <xdr:col>19</xdr:col>
      <xdr:colOff>523875</xdr:colOff>
      <xdr:row>26</xdr:row>
      <xdr:rowOff>28575</xdr:rowOff>
    </xdr:to>
    <xdr:sp macro="" textlink="">
      <xdr:nvSpPr>
        <xdr:cNvPr id="9" name="Rectangle 8">
          <a:extLst>
            <a:ext uri="{FF2B5EF4-FFF2-40B4-BE49-F238E27FC236}">
              <a16:creationId xmlns:a16="http://schemas.microsoft.com/office/drawing/2014/main" id="{F6EE4A01-BDE8-438D-A7F9-73DDF3B40A69}"/>
            </a:ext>
          </a:extLst>
        </xdr:cNvPr>
        <xdr:cNvSpPr/>
      </xdr:nvSpPr>
      <xdr:spPr>
        <a:xfrm>
          <a:off x="8648700" y="2152649"/>
          <a:ext cx="3457575" cy="2828926"/>
        </a:xfrm>
        <a:prstGeom prst="rect">
          <a:avLst/>
        </a:prstGeom>
        <a:solidFill>
          <a:schemeClr val="bg1"/>
        </a:solidFill>
        <a:ln>
          <a:noFill/>
        </a:ln>
        <a:effectLst>
          <a:outerShdw blurRad="6350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14</xdr:col>
      <xdr:colOff>114300</xdr:colOff>
      <xdr:row>26</xdr:row>
      <xdr:rowOff>152400</xdr:rowOff>
    </xdr:from>
    <xdr:to>
      <xdr:col>19</xdr:col>
      <xdr:colOff>523875</xdr:colOff>
      <xdr:row>34</xdr:row>
      <xdr:rowOff>76200</xdr:rowOff>
    </xdr:to>
    <xdr:sp macro="" textlink="">
      <xdr:nvSpPr>
        <xdr:cNvPr id="10" name="Rectangle 9">
          <a:extLst>
            <a:ext uri="{FF2B5EF4-FFF2-40B4-BE49-F238E27FC236}">
              <a16:creationId xmlns:a16="http://schemas.microsoft.com/office/drawing/2014/main" id="{11E2F938-F011-432C-98B9-451A1D5CDD5F}"/>
            </a:ext>
          </a:extLst>
        </xdr:cNvPr>
        <xdr:cNvSpPr/>
      </xdr:nvSpPr>
      <xdr:spPr>
        <a:xfrm>
          <a:off x="8648700" y="5105400"/>
          <a:ext cx="3457575" cy="1447800"/>
        </a:xfrm>
        <a:prstGeom prst="rect">
          <a:avLst/>
        </a:prstGeom>
        <a:solidFill>
          <a:schemeClr val="bg1"/>
        </a:solidFill>
        <a:ln>
          <a:noFill/>
        </a:ln>
        <a:effectLst>
          <a:outerShdw blurRad="6350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10</xdr:col>
      <xdr:colOff>485775</xdr:colOff>
      <xdr:row>6</xdr:row>
      <xdr:rowOff>142874</xdr:rowOff>
    </xdr:from>
    <xdr:to>
      <xdr:col>13</xdr:col>
      <xdr:colOff>390525</xdr:colOff>
      <xdr:row>9</xdr:row>
      <xdr:rowOff>9525</xdr:rowOff>
    </xdr:to>
    <xdr:sp macro="" textlink="">
      <xdr:nvSpPr>
        <xdr:cNvPr id="12" name="Rectangle 11">
          <a:extLst>
            <a:ext uri="{FF2B5EF4-FFF2-40B4-BE49-F238E27FC236}">
              <a16:creationId xmlns:a16="http://schemas.microsoft.com/office/drawing/2014/main" id="{E1EA0E4C-04FE-4C43-B8BB-0B441BF204FE}"/>
            </a:ext>
          </a:extLst>
        </xdr:cNvPr>
        <xdr:cNvSpPr/>
      </xdr:nvSpPr>
      <xdr:spPr>
        <a:xfrm>
          <a:off x="6581775" y="1285874"/>
          <a:ext cx="1733550" cy="438151"/>
        </a:xfrm>
        <a:prstGeom prst="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581025</xdr:colOff>
      <xdr:row>6</xdr:row>
      <xdr:rowOff>142874</xdr:rowOff>
    </xdr:from>
    <xdr:to>
      <xdr:col>10</xdr:col>
      <xdr:colOff>485775</xdr:colOff>
      <xdr:row>9</xdr:row>
      <xdr:rowOff>9525</xdr:rowOff>
    </xdr:to>
    <xdr:sp macro="" textlink="">
      <xdr:nvSpPr>
        <xdr:cNvPr id="13" name="Rectangle 12">
          <a:extLst>
            <a:ext uri="{FF2B5EF4-FFF2-40B4-BE49-F238E27FC236}">
              <a16:creationId xmlns:a16="http://schemas.microsoft.com/office/drawing/2014/main" id="{AAF0AF76-2B47-475A-9BF8-3C14D09614C4}"/>
            </a:ext>
          </a:extLst>
        </xdr:cNvPr>
        <xdr:cNvSpPr/>
      </xdr:nvSpPr>
      <xdr:spPr>
        <a:xfrm>
          <a:off x="4848225" y="1285874"/>
          <a:ext cx="1733550" cy="438151"/>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390527</xdr:colOff>
      <xdr:row>12</xdr:row>
      <xdr:rowOff>95248</xdr:rowOff>
    </xdr:from>
    <xdr:to>
      <xdr:col>12</xdr:col>
      <xdr:colOff>133352</xdr:colOff>
      <xdr:row>20</xdr:row>
      <xdr:rowOff>171449</xdr:rowOff>
    </xdr:to>
    <xdr:sp macro="" textlink="Analysis!N15">
      <xdr:nvSpPr>
        <xdr:cNvPr id="29" name="TextBox 28">
          <a:extLst>
            <a:ext uri="{FF2B5EF4-FFF2-40B4-BE49-F238E27FC236}">
              <a16:creationId xmlns:a16="http://schemas.microsoft.com/office/drawing/2014/main" id="{42F79789-5B85-4AA5-905B-1D34CA787814}"/>
            </a:ext>
          </a:extLst>
        </xdr:cNvPr>
        <xdr:cNvSpPr txBox="1"/>
      </xdr:nvSpPr>
      <xdr:spPr>
        <a:xfrm rot="16200000">
          <a:off x="6472239" y="3005136"/>
          <a:ext cx="1600201"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35208B2-AC90-43BD-BE41-F4961D06D241}" type="TxLink">
            <a:rPr lang="en-US" sz="1100" b="1">
              <a:solidFill>
                <a:schemeClr val="bg1">
                  <a:lumMod val="95000"/>
                </a:schemeClr>
              </a:solidFill>
              <a:latin typeface="Arial" panose="020B0604020202020204" pitchFamily="34" charset="0"/>
              <a:ea typeface="+mn-ea"/>
              <a:cs typeface="Arial" panose="020B0604020202020204" pitchFamily="34" charset="0"/>
            </a:rPr>
            <a:pPr marL="0" indent="0" algn="ctr"/>
            <a:t>American Express</a:t>
          </a:fld>
          <a:endParaRPr lang="en-US" sz="1100" b="1">
            <a:solidFill>
              <a:schemeClr val="bg1">
                <a:lumMod val="95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8</xdr:col>
      <xdr:colOff>571500</xdr:colOff>
      <xdr:row>12</xdr:row>
      <xdr:rowOff>114300</xdr:rowOff>
    </xdr:from>
    <xdr:to>
      <xdr:col>11</xdr:col>
      <xdr:colOff>257175</xdr:colOff>
      <xdr:row>14</xdr:row>
      <xdr:rowOff>0</xdr:rowOff>
    </xdr:to>
    <xdr:sp macro="" textlink="">
      <xdr:nvSpPr>
        <xdr:cNvPr id="30" name="TextBox 29">
          <a:extLst>
            <a:ext uri="{FF2B5EF4-FFF2-40B4-BE49-F238E27FC236}">
              <a16:creationId xmlns:a16="http://schemas.microsoft.com/office/drawing/2014/main" id="{05AB31BC-DD7F-4727-B69E-337E155BAB3F}"/>
            </a:ext>
          </a:extLst>
        </xdr:cNvPr>
        <xdr:cNvSpPr txBox="1"/>
      </xdr:nvSpPr>
      <xdr:spPr>
        <a:xfrm>
          <a:off x="5448300" y="2400300"/>
          <a:ext cx="1514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lumMod val="95000"/>
                </a:schemeClr>
              </a:solidFill>
            </a:rPr>
            <a:t>*************0096</a:t>
          </a:r>
        </a:p>
      </xdr:txBody>
    </xdr:sp>
    <xdr:clientData/>
  </xdr:twoCellAnchor>
  <xdr:twoCellAnchor editAs="absolute">
    <xdr:from>
      <xdr:col>5</xdr:col>
      <xdr:colOff>371473</xdr:colOff>
      <xdr:row>22</xdr:row>
      <xdr:rowOff>171450</xdr:rowOff>
    </xdr:from>
    <xdr:to>
      <xdr:col>12</xdr:col>
      <xdr:colOff>401953</xdr:colOff>
      <xdr:row>23</xdr:row>
      <xdr:rowOff>72390</xdr:rowOff>
    </xdr:to>
    <xdr:sp macro="" textlink="">
      <xdr:nvSpPr>
        <xdr:cNvPr id="55" name="Rectangle 54">
          <a:extLst>
            <a:ext uri="{FF2B5EF4-FFF2-40B4-BE49-F238E27FC236}">
              <a16:creationId xmlns:a16="http://schemas.microsoft.com/office/drawing/2014/main" id="{546C1373-BE7D-481D-8C07-6A3ED891D08A}"/>
            </a:ext>
          </a:extLst>
        </xdr:cNvPr>
        <xdr:cNvSpPr/>
      </xdr:nvSpPr>
      <xdr:spPr>
        <a:xfrm flipV="1">
          <a:off x="3419473" y="4362450"/>
          <a:ext cx="4297680" cy="9144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85000"/>
              </a:schemeClr>
            </a:solidFill>
          </a:endParaRPr>
        </a:p>
      </xdr:txBody>
    </xdr:sp>
    <xdr:clientData/>
  </xdr:twoCellAnchor>
  <xdr:twoCellAnchor editAs="absolute">
    <xdr:from>
      <xdr:col>1</xdr:col>
      <xdr:colOff>171450</xdr:colOff>
      <xdr:row>26</xdr:row>
      <xdr:rowOff>28574</xdr:rowOff>
    </xdr:from>
    <xdr:to>
      <xdr:col>4</xdr:col>
      <xdr:colOff>19050</xdr:colOff>
      <xdr:row>30</xdr:row>
      <xdr:rowOff>152399</xdr:rowOff>
    </xdr:to>
    <xdr:sp macro="" textlink="">
      <xdr:nvSpPr>
        <xdr:cNvPr id="58" name="Rectangle 57">
          <a:extLst>
            <a:ext uri="{FF2B5EF4-FFF2-40B4-BE49-F238E27FC236}">
              <a16:creationId xmlns:a16="http://schemas.microsoft.com/office/drawing/2014/main" id="{C69B210F-BF5A-462C-AF88-FE0F1FCDA08D}"/>
            </a:ext>
          </a:extLst>
        </xdr:cNvPr>
        <xdr:cNvSpPr/>
      </xdr:nvSpPr>
      <xdr:spPr>
        <a:xfrm>
          <a:off x="781050" y="4981574"/>
          <a:ext cx="1676400" cy="885825"/>
        </a:xfrm>
        <a:prstGeom prst="rect">
          <a:avLst/>
        </a:prstGeom>
        <a:solidFill>
          <a:srgbClr val="341FB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247650</xdr:colOff>
      <xdr:row>28</xdr:row>
      <xdr:rowOff>161925</xdr:rowOff>
    </xdr:from>
    <xdr:to>
      <xdr:col>3</xdr:col>
      <xdr:colOff>590550</xdr:colOff>
      <xdr:row>30</xdr:row>
      <xdr:rowOff>123825</xdr:rowOff>
    </xdr:to>
    <xdr:pic>
      <xdr:nvPicPr>
        <xdr:cNvPr id="59" name="Graphic 58" descr="Monthly calendar">
          <a:extLst>
            <a:ext uri="{FF2B5EF4-FFF2-40B4-BE49-F238E27FC236}">
              <a16:creationId xmlns:a16="http://schemas.microsoft.com/office/drawing/2014/main" id="{773C685F-6738-40A2-8B58-AD8799934A2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76450" y="5495925"/>
          <a:ext cx="342900" cy="342900"/>
        </a:xfrm>
        <a:prstGeom prst="rect">
          <a:avLst/>
        </a:prstGeom>
      </xdr:spPr>
    </xdr:pic>
    <xdr:clientData/>
  </xdr:twoCellAnchor>
  <xdr:twoCellAnchor editAs="absolute">
    <xdr:from>
      <xdr:col>1</xdr:col>
      <xdr:colOff>266700</xdr:colOff>
      <xdr:row>3</xdr:row>
      <xdr:rowOff>95250</xdr:rowOff>
    </xdr:from>
    <xdr:to>
      <xdr:col>3</xdr:col>
      <xdr:colOff>533400</xdr:colOff>
      <xdr:row>5</xdr:row>
      <xdr:rowOff>76200</xdr:rowOff>
    </xdr:to>
    <xdr:sp macro="" textlink="">
      <xdr:nvSpPr>
        <xdr:cNvPr id="61" name="TextBox 60">
          <a:extLst>
            <a:ext uri="{FF2B5EF4-FFF2-40B4-BE49-F238E27FC236}">
              <a16:creationId xmlns:a16="http://schemas.microsoft.com/office/drawing/2014/main" id="{F05DD595-7D50-4932-950E-8E71DBCB2817}"/>
            </a:ext>
          </a:extLst>
        </xdr:cNvPr>
        <xdr:cNvSpPr txBox="1"/>
      </xdr:nvSpPr>
      <xdr:spPr>
        <a:xfrm>
          <a:off x="876300" y="666750"/>
          <a:ext cx="14859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lumMod val="50000"/>
                </a:schemeClr>
              </a:solidFill>
              <a:latin typeface="Arial Black" panose="020B0A04020102020204" pitchFamily="34" charset="0"/>
            </a:rPr>
            <a:t>Dashboard</a:t>
          </a:r>
        </a:p>
      </xdr:txBody>
    </xdr:sp>
    <xdr:clientData/>
  </xdr:twoCellAnchor>
  <xdr:twoCellAnchor editAs="absolute">
    <xdr:from>
      <xdr:col>2</xdr:col>
      <xdr:colOff>180975</xdr:colOff>
      <xdr:row>2</xdr:row>
      <xdr:rowOff>66675</xdr:rowOff>
    </xdr:from>
    <xdr:to>
      <xdr:col>2</xdr:col>
      <xdr:colOff>571500</xdr:colOff>
      <xdr:row>4</xdr:row>
      <xdr:rowOff>76200</xdr:rowOff>
    </xdr:to>
    <xdr:pic>
      <xdr:nvPicPr>
        <xdr:cNvPr id="62" name="Graphic 61" descr="Gauge">
          <a:extLst>
            <a:ext uri="{FF2B5EF4-FFF2-40B4-BE49-F238E27FC236}">
              <a16:creationId xmlns:a16="http://schemas.microsoft.com/office/drawing/2014/main" id="{62CCAE9D-CEF2-47C2-B6E3-279C275E6ED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00175" y="447675"/>
          <a:ext cx="390525" cy="390525"/>
        </a:xfrm>
        <a:prstGeom prst="rect">
          <a:avLst/>
        </a:prstGeom>
      </xdr:spPr>
    </xdr:pic>
    <xdr:clientData/>
  </xdr:twoCellAnchor>
  <xdr:twoCellAnchor editAs="absolute">
    <xdr:from>
      <xdr:col>5</xdr:col>
      <xdr:colOff>95249</xdr:colOff>
      <xdr:row>2</xdr:row>
      <xdr:rowOff>104775</xdr:rowOff>
    </xdr:from>
    <xdr:to>
      <xdr:col>9</xdr:col>
      <xdr:colOff>66674</xdr:colOff>
      <xdr:row>4</xdr:row>
      <xdr:rowOff>85725</xdr:rowOff>
    </xdr:to>
    <xdr:sp macro="" textlink="">
      <xdr:nvSpPr>
        <xdr:cNvPr id="63" name="TextBox 62">
          <a:extLst>
            <a:ext uri="{FF2B5EF4-FFF2-40B4-BE49-F238E27FC236}">
              <a16:creationId xmlns:a16="http://schemas.microsoft.com/office/drawing/2014/main" id="{8B3E6590-A6AF-4C4C-99D8-9E43A5435922}"/>
            </a:ext>
          </a:extLst>
        </xdr:cNvPr>
        <xdr:cNvSpPr txBox="1"/>
      </xdr:nvSpPr>
      <xdr:spPr>
        <a:xfrm>
          <a:off x="3143249" y="485775"/>
          <a:ext cx="24098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a:solidFill>
                <a:schemeClr val="bg1">
                  <a:lumMod val="50000"/>
                </a:schemeClr>
              </a:solidFill>
              <a:latin typeface="Arial" panose="020B0604020202020204" pitchFamily="34" charset="0"/>
              <a:cs typeface="Arial" panose="020B0604020202020204" pitchFamily="34" charset="0"/>
            </a:rPr>
            <a:t>Online sales analysis</a:t>
          </a:r>
        </a:p>
      </xdr:txBody>
    </xdr:sp>
    <xdr:clientData/>
  </xdr:twoCellAnchor>
  <xdr:twoCellAnchor editAs="absolute">
    <xdr:from>
      <xdr:col>7</xdr:col>
      <xdr:colOff>523875</xdr:colOff>
      <xdr:row>7</xdr:row>
      <xdr:rowOff>0</xdr:rowOff>
    </xdr:from>
    <xdr:to>
      <xdr:col>10</xdr:col>
      <xdr:colOff>514349</xdr:colOff>
      <xdr:row>8</xdr:row>
      <xdr:rowOff>171450</xdr:rowOff>
    </xdr:to>
    <xdr:sp macro="" textlink="Analysis!AE8">
      <xdr:nvSpPr>
        <xdr:cNvPr id="66" name="TextBox 65">
          <a:extLst>
            <a:ext uri="{FF2B5EF4-FFF2-40B4-BE49-F238E27FC236}">
              <a16:creationId xmlns:a16="http://schemas.microsoft.com/office/drawing/2014/main" id="{4C54C97D-FD70-41E7-900B-ABE4BAB256D5}"/>
            </a:ext>
          </a:extLst>
        </xdr:cNvPr>
        <xdr:cNvSpPr txBox="1"/>
      </xdr:nvSpPr>
      <xdr:spPr>
        <a:xfrm>
          <a:off x="4791075" y="1333500"/>
          <a:ext cx="1819274"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F060B2-A5C8-4BCF-9BFB-D3E1CC724B9A}" type="TxLink">
            <a:rPr lang="en-US" sz="900" b="1">
              <a:solidFill>
                <a:srgbClr val="7030A0"/>
              </a:solidFill>
              <a:latin typeface="Arial" panose="020B0604020202020204" pitchFamily="34" charset="0"/>
              <a:ea typeface="+mn-ea"/>
              <a:cs typeface="Arial" panose="020B0604020202020204" pitchFamily="34" charset="0"/>
            </a:rPr>
            <a:pPr marL="0" indent="0" algn="ctr"/>
            <a:t>Displayed sales made at PM</a:t>
          </a:fld>
          <a:endParaRPr lang="en-US" sz="900" b="1">
            <a:solidFill>
              <a:srgbClr val="7030A0"/>
            </a:solidFill>
            <a:latin typeface="Arial" panose="020B0604020202020204" pitchFamily="34" charset="0"/>
            <a:ea typeface="+mn-ea"/>
            <a:cs typeface="Arial" panose="020B0604020202020204" pitchFamily="34" charset="0"/>
          </a:endParaRPr>
        </a:p>
      </xdr:txBody>
    </xdr:sp>
    <xdr:clientData/>
  </xdr:twoCellAnchor>
  <xdr:twoCellAnchor editAs="absolute">
    <xdr:from>
      <xdr:col>4</xdr:col>
      <xdr:colOff>419100</xdr:colOff>
      <xdr:row>7</xdr:row>
      <xdr:rowOff>104775</xdr:rowOff>
    </xdr:from>
    <xdr:to>
      <xdr:col>7</xdr:col>
      <xdr:colOff>409574</xdr:colOff>
      <xdr:row>9</xdr:row>
      <xdr:rowOff>85725</xdr:rowOff>
    </xdr:to>
    <xdr:sp macro="" textlink="">
      <xdr:nvSpPr>
        <xdr:cNvPr id="67" name="TextBox 66">
          <a:extLst>
            <a:ext uri="{FF2B5EF4-FFF2-40B4-BE49-F238E27FC236}">
              <a16:creationId xmlns:a16="http://schemas.microsoft.com/office/drawing/2014/main" id="{A578E75F-211E-444F-B8E5-0A7DBAEE8A5F}"/>
            </a:ext>
          </a:extLst>
        </xdr:cNvPr>
        <xdr:cNvSpPr txBox="1"/>
      </xdr:nvSpPr>
      <xdr:spPr>
        <a:xfrm>
          <a:off x="2857500" y="1438275"/>
          <a:ext cx="1819274"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rgbClr val="7030A0"/>
              </a:solidFill>
              <a:latin typeface="Arial" panose="020B0604020202020204" pitchFamily="34" charset="0"/>
              <a:cs typeface="Arial" panose="020B0604020202020204" pitchFamily="34" charset="0"/>
            </a:rPr>
            <a:t>Top</a:t>
          </a:r>
          <a:r>
            <a:rPr lang="en-US" sz="900" b="1" baseline="0">
              <a:solidFill>
                <a:srgbClr val="7030A0"/>
              </a:solidFill>
              <a:latin typeface="Arial" panose="020B0604020202020204" pitchFamily="34" charset="0"/>
              <a:cs typeface="Arial" panose="020B0604020202020204" pitchFamily="34" charset="0"/>
            </a:rPr>
            <a:t> location for the selected filter(s)</a:t>
          </a:r>
          <a:endParaRPr lang="en-US" sz="900" b="1">
            <a:solidFill>
              <a:srgbClr val="7030A0"/>
            </a:solidFill>
            <a:latin typeface="Arial" panose="020B0604020202020204" pitchFamily="34" charset="0"/>
            <a:cs typeface="Arial" panose="020B0604020202020204" pitchFamily="34" charset="0"/>
          </a:endParaRPr>
        </a:p>
      </xdr:txBody>
    </xdr:sp>
    <xdr:clientData/>
  </xdr:twoCellAnchor>
  <xdr:twoCellAnchor editAs="absolute">
    <xdr:from>
      <xdr:col>4</xdr:col>
      <xdr:colOff>476249</xdr:colOff>
      <xdr:row>6</xdr:row>
      <xdr:rowOff>28575</xdr:rowOff>
    </xdr:from>
    <xdr:to>
      <xdr:col>7</xdr:col>
      <xdr:colOff>542924</xdr:colOff>
      <xdr:row>8</xdr:row>
      <xdr:rowOff>9525</xdr:rowOff>
    </xdr:to>
    <xdr:sp macro="" textlink="Analysis!AA4">
      <xdr:nvSpPr>
        <xdr:cNvPr id="68" name="TextBox 67">
          <a:extLst>
            <a:ext uri="{FF2B5EF4-FFF2-40B4-BE49-F238E27FC236}">
              <a16:creationId xmlns:a16="http://schemas.microsoft.com/office/drawing/2014/main" id="{85ECA94A-2F96-485B-B88E-4BFC28985821}"/>
            </a:ext>
          </a:extLst>
        </xdr:cNvPr>
        <xdr:cNvSpPr txBox="1"/>
      </xdr:nvSpPr>
      <xdr:spPr>
        <a:xfrm>
          <a:off x="2914649" y="1171575"/>
          <a:ext cx="18954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0B742E1-6B70-44C8-A099-72BB2371E418}" type="TxLink">
            <a:rPr lang="en-US" sz="1200" b="1">
              <a:solidFill>
                <a:schemeClr val="bg1">
                  <a:lumMod val="50000"/>
                </a:schemeClr>
              </a:solidFill>
              <a:latin typeface="Arial" panose="020B0604020202020204" pitchFamily="34" charset="0"/>
              <a:ea typeface="+mn-ea"/>
              <a:cs typeface="Arial" panose="020B0604020202020204" pitchFamily="34" charset="0"/>
            </a:rPr>
            <a:pPr marL="0" indent="0" algn="ctr"/>
            <a:t>United States</a:t>
          </a:fld>
          <a:endParaRPr lang="en-US" sz="1200" b="1">
            <a:solidFill>
              <a:schemeClr val="bg1">
                <a:lumMod val="50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11</xdr:col>
      <xdr:colOff>342899</xdr:colOff>
      <xdr:row>9</xdr:row>
      <xdr:rowOff>9525</xdr:rowOff>
    </xdr:from>
    <xdr:to>
      <xdr:col>12</xdr:col>
      <xdr:colOff>533400</xdr:colOff>
      <xdr:row>9</xdr:row>
      <xdr:rowOff>161925</xdr:rowOff>
    </xdr:to>
    <xdr:sp macro="" textlink="">
      <xdr:nvSpPr>
        <xdr:cNvPr id="49" name="Rectangle 48">
          <a:extLst>
            <a:ext uri="{FF2B5EF4-FFF2-40B4-BE49-F238E27FC236}">
              <a16:creationId xmlns:a16="http://schemas.microsoft.com/office/drawing/2014/main" id="{6A1DDF8D-CBF9-4CCF-977F-4DAE26A08A14}"/>
            </a:ext>
          </a:extLst>
        </xdr:cNvPr>
        <xdr:cNvSpPr/>
      </xdr:nvSpPr>
      <xdr:spPr>
        <a:xfrm>
          <a:off x="7048499" y="1724025"/>
          <a:ext cx="800101" cy="1524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002060"/>
              </a:solidFill>
            </a:rPr>
            <a:t>Time range</a:t>
          </a:r>
        </a:p>
      </xdr:txBody>
    </xdr:sp>
    <xdr:clientData/>
  </xdr:twoCellAnchor>
  <xdr:twoCellAnchor editAs="absolute">
    <xdr:from>
      <xdr:col>14</xdr:col>
      <xdr:colOff>152400</xdr:colOff>
      <xdr:row>15</xdr:row>
      <xdr:rowOff>142875</xdr:rowOff>
    </xdr:from>
    <xdr:to>
      <xdr:col>19</xdr:col>
      <xdr:colOff>600075</xdr:colOff>
      <xdr:row>25</xdr:row>
      <xdr:rowOff>66675</xdr:rowOff>
    </xdr:to>
    <xdr:graphicFrame macro="">
      <xdr:nvGraphicFramePr>
        <xdr:cNvPr id="70" name="Chart 69">
          <a:extLst>
            <a:ext uri="{FF2B5EF4-FFF2-40B4-BE49-F238E27FC236}">
              <a16:creationId xmlns:a16="http://schemas.microsoft.com/office/drawing/2014/main" id="{4B092ABA-4E13-4D49-97D0-9569508412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15</xdr:col>
      <xdr:colOff>276225</xdr:colOff>
      <xdr:row>11</xdr:row>
      <xdr:rowOff>47625</xdr:rowOff>
    </xdr:from>
    <xdr:to>
      <xdr:col>18</xdr:col>
      <xdr:colOff>76199</xdr:colOff>
      <xdr:row>13</xdr:row>
      <xdr:rowOff>28575</xdr:rowOff>
    </xdr:to>
    <xdr:sp macro="" textlink="Analysis!E4">
      <xdr:nvSpPr>
        <xdr:cNvPr id="71" name="TextBox 70">
          <a:extLst>
            <a:ext uri="{FF2B5EF4-FFF2-40B4-BE49-F238E27FC236}">
              <a16:creationId xmlns:a16="http://schemas.microsoft.com/office/drawing/2014/main" id="{3397649A-BA45-4152-9189-326005306FEE}"/>
            </a:ext>
          </a:extLst>
        </xdr:cNvPr>
        <xdr:cNvSpPr txBox="1"/>
      </xdr:nvSpPr>
      <xdr:spPr>
        <a:xfrm>
          <a:off x="9420225" y="2143125"/>
          <a:ext cx="1628774"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F82A1E3-D108-4E9E-9747-41A8D36DCA7B}" type="TxLink">
            <a:rPr lang="en-US" sz="1800" b="0" i="0" u="none" strike="noStrike">
              <a:solidFill>
                <a:srgbClr val="00205D"/>
              </a:solidFill>
              <a:latin typeface="Arial Black" panose="020B0A04020102020204" pitchFamily="34" charset="0"/>
              <a:ea typeface="+mn-ea"/>
              <a:cs typeface="Calibri"/>
            </a:rPr>
            <a:pPr marL="0" indent="0" algn="l"/>
            <a:t>$1,96,37,500 </a:t>
          </a:fld>
          <a:endParaRPr lang="en-US" sz="1800" b="0" i="0" u="none" strike="noStrike">
            <a:solidFill>
              <a:srgbClr val="00205D"/>
            </a:solidFill>
            <a:latin typeface="Arial Black" panose="020B0A04020102020204" pitchFamily="34" charset="0"/>
            <a:ea typeface="+mn-ea"/>
            <a:cs typeface="Calibri"/>
          </a:endParaRPr>
        </a:p>
      </xdr:txBody>
    </xdr:sp>
    <xdr:clientData/>
  </xdr:twoCellAnchor>
  <xdr:twoCellAnchor editAs="absolute">
    <xdr:from>
      <xdr:col>14</xdr:col>
      <xdr:colOff>190500</xdr:colOff>
      <xdr:row>27</xdr:row>
      <xdr:rowOff>47624</xdr:rowOff>
    </xdr:from>
    <xdr:to>
      <xdr:col>19</xdr:col>
      <xdr:colOff>457200</xdr:colOff>
      <xdr:row>35</xdr:row>
      <xdr:rowOff>19049</xdr:rowOff>
    </xdr:to>
    <xdr:graphicFrame macro="">
      <xdr:nvGraphicFramePr>
        <xdr:cNvPr id="73" name="Chart 72">
          <a:extLst>
            <a:ext uri="{FF2B5EF4-FFF2-40B4-BE49-F238E27FC236}">
              <a16:creationId xmlns:a16="http://schemas.microsoft.com/office/drawing/2014/main" id="{B66E29F1-6810-410E-9F22-AE195125E3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14</xdr:col>
      <xdr:colOff>123825</xdr:colOff>
      <xdr:row>14</xdr:row>
      <xdr:rowOff>85725</xdr:rowOff>
    </xdr:from>
    <xdr:to>
      <xdr:col>17</xdr:col>
      <xdr:colOff>581025</xdr:colOff>
      <xdr:row>16</xdr:row>
      <xdr:rowOff>66675</xdr:rowOff>
    </xdr:to>
    <xdr:sp macro="" textlink="">
      <xdr:nvSpPr>
        <xdr:cNvPr id="74" name="TextBox 73">
          <a:extLst>
            <a:ext uri="{FF2B5EF4-FFF2-40B4-BE49-F238E27FC236}">
              <a16:creationId xmlns:a16="http://schemas.microsoft.com/office/drawing/2014/main" id="{ABCA164A-AAFA-483D-9781-E8D3E0D364CB}"/>
            </a:ext>
          </a:extLst>
        </xdr:cNvPr>
        <xdr:cNvSpPr txBox="1"/>
      </xdr:nvSpPr>
      <xdr:spPr>
        <a:xfrm>
          <a:off x="8658225" y="2752725"/>
          <a:ext cx="22860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tx1">
                  <a:lumMod val="75000"/>
                  <a:lumOff val="25000"/>
                </a:schemeClr>
              </a:solidFill>
              <a:latin typeface="Arial" panose="020B0604020202020204" pitchFamily="34" charset="0"/>
              <a:cs typeface="Arial" panose="020B0604020202020204" pitchFamily="34" charset="0"/>
            </a:rPr>
            <a:t>Weekdays sales analysis</a:t>
          </a:r>
        </a:p>
      </xdr:txBody>
    </xdr:sp>
    <xdr:clientData/>
  </xdr:twoCellAnchor>
  <xdr:twoCellAnchor editAs="absolute">
    <xdr:from>
      <xdr:col>14</xdr:col>
      <xdr:colOff>114302</xdr:colOff>
      <xdr:row>26</xdr:row>
      <xdr:rowOff>114301</xdr:rowOff>
    </xdr:from>
    <xdr:to>
      <xdr:col>16</xdr:col>
      <xdr:colOff>466727</xdr:colOff>
      <xdr:row>28</xdr:row>
      <xdr:rowOff>95251</xdr:rowOff>
    </xdr:to>
    <xdr:sp macro="" textlink="">
      <xdr:nvSpPr>
        <xdr:cNvPr id="75" name="TextBox 74">
          <a:extLst>
            <a:ext uri="{FF2B5EF4-FFF2-40B4-BE49-F238E27FC236}">
              <a16:creationId xmlns:a16="http://schemas.microsoft.com/office/drawing/2014/main" id="{42939124-DB91-49F1-A203-576DE3E15BEB}"/>
            </a:ext>
          </a:extLst>
        </xdr:cNvPr>
        <xdr:cNvSpPr txBox="1"/>
      </xdr:nvSpPr>
      <xdr:spPr>
        <a:xfrm>
          <a:off x="8648702" y="5067301"/>
          <a:ext cx="15716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tx1">
                  <a:lumMod val="75000"/>
                  <a:lumOff val="25000"/>
                </a:schemeClr>
              </a:solidFill>
              <a:latin typeface="Arial" panose="020B0604020202020204" pitchFamily="34" charset="0"/>
              <a:cs typeface="Arial" panose="020B0604020202020204" pitchFamily="34" charset="0"/>
            </a:rPr>
            <a:t>Products analysis</a:t>
          </a:r>
        </a:p>
      </xdr:txBody>
    </xdr:sp>
    <xdr:clientData/>
  </xdr:twoCellAnchor>
  <xdr:twoCellAnchor editAs="absolute">
    <xdr:from>
      <xdr:col>14</xdr:col>
      <xdr:colOff>257175</xdr:colOff>
      <xdr:row>8</xdr:row>
      <xdr:rowOff>38100</xdr:rowOff>
    </xdr:from>
    <xdr:to>
      <xdr:col>16</xdr:col>
      <xdr:colOff>409575</xdr:colOff>
      <xdr:row>8</xdr:row>
      <xdr:rowOff>180975</xdr:rowOff>
    </xdr:to>
    <xdr:sp macro="" textlink="">
      <xdr:nvSpPr>
        <xdr:cNvPr id="3" name="Rectangle: Rounded Corners 2">
          <a:extLst>
            <a:ext uri="{FF2B5EF4-FFF2-40B4-BE49-F238E27FC236}">
              <a16:creationId xmlns:a16="http://schemas.microsoft.com/office/drawing/2014/main" id="{B750B391-D06D-471F-87D1-701B18883B63}"/>
            </a:ext>
          </a:extLst>
        </xdr:cNvPr>
        <xdr:cNvSpPr/>
      </xdr:nvSpPr>
      <xdr:spPr>
        <a:xfrm>
          <a:off x="8791575" y="1562100"/>
          <a:ext cx="1371600" cy="14287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104773</xdr:colOff>
      <xdr:row>6</xdr:row>
      <xdr:rowOff>114300</xdr:rowOff>
    </xdr:from>
    <xdr:to>
      <xdr:col>16</xdr:col>
      <xdr:colOff>561975</xdr:colOff>
      <xdr:row>10</xdr:row>
      <xdr:rowOff>104775</xdr:rowOff>
    </xdr:to>
    <xdr:graphicFrame macro="">
      <xdr:nvGraphicFramePr>
        <xdr:cNvPr id="77" name="Chart 76">
          <a:extLst>
            <a:ext uri="{FF2B5EF4-FFF2-40B4-BE49-F238E27FC236}">
              <a16:creationId xmlns:a16="http://schemas.microsoft.com/office/drawing/2014/main" id="{EBC772A5-D2B2-42D6-B62B-394D88A2A3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17</xdr:col>
      <xdr:colOff>190500</xdr:colOff>
      <xdr:row>8</xdr:row>
      <xdr:rowOff>28575</xdr:rowOff>
    </xdr:from>
    <xdr:to>
      <xdr:col>19</xdr:col>
      <xdr:colOff>342900</xdr:colOff>
      <xdr:row>8</xdr:row>
      <xdr:rowOff>171450</xdr:rowOff>
    </xdr:to>
    <xdr:sp macro="" textlink="">
      <xdr:nvSpPr>
        <xdr:cNvPr id="79" name="Rectangle: Rounded Corners 78">
          <a:extLst>
            <a:ext uri="{FF2B5EF4-FFF2-40B4-BE49-F238E27FC236}">
              <a16:creationId xmlns:a16="http://schemas.microsoft.com/office/drawing/2014/main" id="{3D2C8A0C-00A6-40B2-BEDB-2CBBB646FAE3}"/>
            </a:ext>
          </a:extLst>
        </xdr:cNvPr>
        <xdr:cNvSpPr/>
      </xdr:nvSpPr>
      <xdr:spPr>
        <a:xfrm>
          <a:off x="10553700" y="1552575"/>
          <a:ext cx="1371600" cy="14287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47623</xdr:colOff>
      <xdr:row>6</xdr:row>
      <xdr:rowOff>104775</xdr:rowOff>
    </xdr:from>
    <xdr:to>
      <xdr:col>19</xdr:col>
      <xdr:colOff>504825</xdr:colOff>
      <xdr:row>10</xdr:row>
      <xdr:rowOff>95250</xdr:rowOff>
    </xdr:to>
    <xdr:graphicFrame macro="">
      <xdr:nvGraphicFramePr>
        <xdr:cNvPr id="78" name="Chart 77">
          <a:extLst>
            <a:ext uri="{FF2B5EF4-FFF2-40B4-BE49-F238E27FC236}">
              <a16:creationId xmlns:a16="http://schemas.microsoft.com/office/drawing/2014/main" id="{27790938-3EB6-4F8A-BBCF-05481A4F4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10</xdr:col>
      <xdr:colOff>523875</xdr:colOff>
      <xdr:row>6</xdr:row>
      <xdr:rowOff>142875</xdr:rowOff>
    </xdr:from>
    <xdr:to>
      <xdr:col>13</xdr:col>
      <xdr:colOff>371475</xdr:colOff>
      <xdr:row>8</xdr:row>
      <xdr:rowOff>180975</xdr:rowOff>
    </xdr:to>
    <mc:AlternateContent xmlns:mc="http://schemas.openxmlformats.org/markup-compatibility/2006" xmlns:a14="http://schemas.microsoft.com/office/drawing/2010/main">
      <mc:Choice Requires="a14">
        <xdr:graphicFrame macro="">
          <xdr:nvGraphicFramePr>
            <xdr:cNvPr id="80" name="Time range">
              <a:extLst>
                <a:ext uri="{FF2B5EF4-FFF2-40B4-BE49-F238E27FC236}">
                  <a16:creationId xmlns:a16="http://schemas.microsoft.com/office/drawing/2014/main" id="{4AA341D7-83DF-4AF7-9C4B-E1286BEC9DA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ime range"/>
            </a:graphicData>
          </a:graphic>
        </xdr:graphicFrame>
      </mc:Choice>
      <mc:Fallback xmlns="">
        <xdr:sp macro="" textlink="">
          <xdr:nvSpPr>
            <xdr:cNvPr id="0" name=""/>
            <xdr:cNvSpPr>
              <a:spLocks noTextEdit="1"/>
            </xdr:cNvSpPr>
          </xdr:nvSpPr>
          <xdr:spPr>
            <a:xfrm>
              <a:off x="6619875" y="1285875"/>
              <a:ext cx="1676400" cy="419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14</xdr:col>
      <xdr:colOff>152401</xdr:colOff>
      <xdr:row>6</xdr:row>
      <xdr:rowOff>180975</xdr:rowOff>
    </xdr:from>
    <xdr:to>
      <xdr:col>15</xdr:col>
      <xdr:colOff>419099</xdr:colOff>
      <xdr:row>8</xdr:row>
      <xdr:rowOff>66675</xdr:rowOff>
    </xdr:to>
    <xdr:grpSp>
      <xdr:nvGrpSpPr>
        <xdr:cNvPr id="15" name="Group 14">
          <a:extLst>
            <a:ext uri="{FF2B5EF4-FFF2-40B4-BE49-F238E27FC236}">
              <a16:creationId xmlns:a16="http://schemas.microsoft.com/office/drawing/2014/main" id="{CB1A43B2-0B4D-4824-ACC8-F0FBB44C6E5A}"/>
            </a:ext>
          </a:extLst>
        </xdr:cNvPr>
        <xdr:cNvGrpSpPr/>
      </xdr:nvGrpSpPr>
      <xdr:grpSpPr>
        <a:xfrm>
          <a:off x="9282671" y="1262191"/>
          <a:ext cx="918860" cy="246106"/>
          <a:chOff x="8877301" y="1323975"/>
          <a:chExt cx="876298" cy="266700"/>
        </a:xfrm>
      </xdr:grpSpPr>
      <xdr:sp macro="" textlink="">
        <xdr:nvSpPr>
          <xdr:cNvPr id="81" name="TextBox 80">
            <a:extLst>
              <a:ext uri="{FF2B5EF4-FFF2-40B4-BE49-F238E27FC236}">
                <a16:creationId xmlns:a16="http://schemas.microsoft.com/office/drawing/2014/main" id="{0D8BE45C-D7B8-479C-86A9-EFFA7F7C3E46}"/>
              </a:ext>
            </a:extLst>
          </xdr:cNvPr>
          <xdr:cNvSpPr txBox="1"/>
        </xdr:nvSpPr>
        <xdr:spPr>
          <a:xfrm>
            <a:off x="8877301" y="1323975"/>
            <a:ext cx="476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bg1"/>
                </a:solidFill>
                <a:latin typeface="Arial" panose="020B0604020202020204" pitchFamily="34" charset="0"/>
                <a:cs typeface="Arial" panose="020B0604020202020204" pitchFamily="34" charset="0"/>
              </a:rPr>
              <a:t>AM</a:t>
            </a:r>
          </a:p>
        </xdr:txBody>
      </xdr:sp>
      <xdr:sp macro="" textlink="Analysis!K10">
        <xdr:nvSpPr>
          <xdr:cNvPr id="82" name="TextBox 81">
            <a:extLst>
              <a:ext uri="{FF2B5EF4-FFF2-40B4-BE49-F238E27FC236}">
                <a16:creationId xmlns:a16="http://schemas.microsoft.com/office/drawing/2014/main" id="{CE28C4B4-B614-4D16-9D88-6E74EFCD0FCB}"/>
              </a:ext>
            </a:extLst>
          </xdr:cNvPr>
          <xdr:cNvSpPr txBox="1"/>
        </xdr:nvSpPr>
        <xdr:spPr>
          <a:xfrm>
            <a:off x="9124950" y="1323975"/>
            <a:ext cx="6286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02ED112-A634-4207-801F-E77D4BC5305F}" type="TxLink">
              <a:rPr lang="en-US" sz="1100" b="0" i="1" u="none" strike="noStrike">
                <a:solidFill>
                  <a:schemeClr val="bg1">
                    <a:lumMod val="85000"/>
                  </a:schemeClr>
                </a:solidFill>
                <a:latin typeface="Calibri"/>
                <a:cs typeface="Calibri"/>
              </a:rPr>
              <a:pPr algn="l"/>
              <a:t>98.89%</a:t>
            </a:fld>
            <a:endParaRPr lang="en-US" sz="1050" b="1" i="1">
              <a:solidFill>
                <a:schemeClr val="bg1">
                  <a:lumMod val="85000"/>
                </a:schemeClr>
              </a:solidFill>
              <a:latin typeface="Arial" panose="020B0604020202020204" pitchFamily="34" charset="0"/>
              <a:cs typeface="Arial" panose="020B0604020202020204" pitchFamily="34" charset="0"/>
            </a:endParaRPr>
          </a:p>
        </xdr:txBody>
      </xdr:sp>
    </xdr:grpSp>
    <xdr:clientData/>
  </xdr:twoCellAnchor>
  <xdr:twoCellAnchor editAs="absolute">
    <xdr:from>
      <xdr:col>17</xdr:col>
      <xdr:colOff>104776</xdr:colOff>
      <xdr:row>6</xdr:row>
      <xdr:rowOff>171450</xdr:rowOff>
    </xdr:from>
    <xdr:to>
      <xdr:col>18</xdr:col>
      <xdr:colOff>371474</xdr:colOff>
      <xdr:row>8</xdr:row>
      <xdr:rowOff>57150</xdr:rowOff>
    </xdr:to>
    <xdr:grpSp>
      <xdr:nvGrpSpPr>
        <xdr:cNvPr id="85" name="Group 84">
          <a:extLst>
            <a:ext uri="{FF2B5EF4-FFF2-40B4-BE49-F238E27FC236}">
              <a16:creationId xmlns:a16="http://schemas.microsoft.com/office/drawing/2014/main" id="{C89BDC0C-F308-4AFC-8494-26B697511996}"/>
            </a:ext>
          </a:extLst>
        </xdr:cNvPr>
        <xdr:cNvGrpSpPr/>
      </xdr:nvGrpSpPr>
      <xdr:grpSpPr>
        <a:xfrm>
          <a:off x="11191533" y="1252666"/>
          <a:ext cx="918860" cy="246106"/>
          <a:chOff x="8877301" y="1323975"/>
          <a:chExt cx="876298" cy="266700"/>
        </a:xfrm>
      </xdr:grpSpPr>
      <xdr:sp macro="" textlink="">
        <xdr:nvSpPr>
          <xdr:cNvPr id="86" name="TextBox 85">
            <a:extLst>
              <a:ext uri="{FF2B5EF4-FFF2-40B4-BE49-F238E27FC236}">
                <a16:creationId xmlns:a16="http://schemas.microsoft.com/office/drawing/2014/main" id="{9DAC6CF1-A155-4684-95D5-DD46379323F8}"/>
              </a:ext>
            </a:extLst>
          </xdr:cNvPr>
          <xdr:cNvSpPr txBox="1"/>
        </xdr:nvSpPr>
        <xdr:spPr>
          <a:xfrm>
            <a:off x="8877301" y="1323975"/>
            <a:ext cx="476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bg1"/>
                </a:solidFill>
                <a:latin typeface="Arial" panose="020B0604020202020204" pitchFamily="34" charset="0"/>
                <a:cs typeface="Arial" panose="020B0604020202020204" pitchFamily="34" charset="0"/>
              </a:rPr>
              <a:t>PM</a:t>
            </a:r>
          </a:p>
        </xdr:txBody>
      </xdr:sp>
      <xdr:sp macro="" textlink="Analysis!K11">
        <xdr:nvSpPr>
          <xdr:cNvPr id="87" name="TextBox 86">
            <a:extLst>
              <a:ext uri="{FF2B5EF4-FFF2-40B4-BE49-F238E27FC236}">
                <a16:creationId xmlns:a16="http://schemas.microsoft.com/office/drawing/2014/main" id="{37EBEA6B-7A86-4232-BB96-90F950C2B375}"/>
              </a:ext>
            </a:extLst>
          </xdr:cNvPr>
          <xdr:cNvSpPr txBox="1"/>
        </xdr:nvSpPr>
        <xdr:spPr>
          <a:xfrm>
            <a:off x="9124950" y="1323975"/>
            <a:ext cx="6286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C88E8D8-6CE0-4F98-A05B-E5062182F86F}" type="TxLink">
              <a:rPr lang="en-US" sz="1100" b="0" i="1" u="none" strike="noStrike">
                <a:solidFill>
                  <a:schemeClr val="bg1">
                    <a:lumMod val="85000"/>
                  </a:schemeClr>
                </a:solidFill>
                <a:latin typeface="Calibri"/>
                <a:cs typeface="Calibri"/>
              </a:rPr>
              <a:pPr algn="l"/>
              <a:t>1.11%</a:t>
            </a:fld>
            <a:endParaRPr lang="en-US" sz="1050" b="1" i="1">
              <a:solidFill>
                <a:schemeClr val="bg1">
                  <a:lumMod val="85000"/>
                </a:schemeClr>
              </a:solidFill>
              <a:latin typeface="Arial" panose="020B0604020202020204" pitchFamily="34" charset="0"/>
              <a:cs typeface="Arial" panose="020B0604020202020204" pitchFamily="34" charset="0"/>
            </a:endParaRPr>
          </a:p>
        </xdr:txBody>
      </xdr:sp>
    </xdr:grpSp>
    <xdr:clientData/>
  </xdr:twoCellAnchor>
  <xdr:twoCellAnchor editAs="absolute">
    <xdr:from>
      <xdr:col>14</xdr:col>
      <xdr:colOff>104774</xdr:colOff>
      <xdr:row>8</xdr:row>
      <xdr:rowOff>152400</xdr:rowOff>
    </xdr:from>
    <xdr:to>
      <xdr:col>17</xdr:col>
      <xdr:colOff>323850</xdr:colOff>
      <xdr:row>10</xdr:row>
      <xdr:rowOff>142875</xdr:rowOff>
    </xdr:to>
    <xdr:grpSp>
      <xdr:nvGrpSpPr>
        <xdr:cNvPr id="16" name="Group 15">
          <a:extLst>
            <a:ext uri="{FF2B5EF4-FFF2-40B4-BE49-F238E27FC236}">
              <a16:creationId xmlns:a16="http://schemas.microsoft.com/office/drawing/2014/main" id="{9DA2BEF7-505F-4DF5-BF28-F872CBF9E1AE}"/>
            </a:ext>
          </a:extLst>
        </xdr:cNvPr>
        <xdr:cNvGrpSpPr/>
      </xdr:nvGrpSpPr>
      <xdr:grpSpPr>
        <a:xfrm>
          <a:off x="9235044" y="1594022"/>
          <a:ext cx="2175563" cy="350880"/>
          <a:chOff x="8886824" y="1676400"/>
          <a:chExt cx="1800226" cy="371475"/>
        </a:xfrm>
      </xdr:grpSpPr>
      <xdr:sp macro="" textlink="">
        <xdr:nvSpPr>
          <xdr:cNvPr id="72" name="TextBox 71">
            <a:extLst>
              <a:ext uri="{FF2B5EF4-FFF2-40B4-BE49-F238E27FC236}">
                <a16:creationId xmlns:a16="http://schemas.microsoft.com/office/drawing/2014/main" id="{9F7A3A0C-441E-4031-80B5-7BB98D9B8F1E}"/>
              </a:ext>
            </a:extLst>
          </xdr:cNvPr>
          <xdr:cNvSpPr txBox="1"/>
        </xdr:nvSpPr>
        <xdr:spPr>
          <a:xfrm>
            <a:off x="9353550" y="1685925"/>
            <a:ext cx="13335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1">
                <a:solidFill>
                  <a:schemeClr val="bg1">
                    <a:lumMod val="85000"/>
                  </a:schemeClr>
                </a:solidFill>
                <a:latin typeface="Arial" panose="020B0604020202020204" pitchFamily="34" charset="0"/>
                <a:cs typeface="Arial" panose="020B0604020202020204" pitchFamily="34" charset="0"/>
              </a:rPr>
              <a:t>Over all sales </a:t>
            </a:r>
          </a:p>
        </xdr:txBody>
      </xdr:sp>
      <xdr:sp macro="" textlink="Analysis!K4">
        <xdr:nvSpPr>
          <xdr:cNvPr id="88" name="TextBox 87">
            <a:extLst>
              <a:ext uri="{FF2B5EF4-FFF2-40B4-BE49-F238E27FC236}">
                <a16:creationId xmlns:a16="http://schemas.microsoft.com/office/drawing/2014/main" id="{9A0EFC99-B3E3-4C6F-A90E-93971A3AC652}"/>
              </a:ext>
            </a:extLst>
          </xdr:cNvPr>
          <xdr:cNvSpPr txBox="1"/>
        </xdr:nvSpPr>
        <xdr:spPr>
          <a:xfrm>
            <a:off x="8886824" y="1676400"/>
            <a:ext cx="80962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5EA1191-2B0A-4CB9-A082-31381781DB40}" type="TxLink">
              <a:rPr lang="en-US" sz="1100" b="1" i="0" u="none" strike="noStrike">
                <a:solidFill>
                  <a:schemeClr val="bg1"/>
                </a:solidFill>
                <a:latin typeface="Calibri"/>
                <a:cs typeface="Calibri"/>
              </a:rPr>
              <a:pPr algn="l"/>
              <a:t>$2,14,400 </a:t>
            </a:fld>
            <a:endParaRPr lang="en-US" sz="1050" b="1">
              <a:solidFill>
                <a:schemeClr val="bg1"/>
              </a:solidFill>
              <a:latin typeface="Arial" panose="020B0604020202020204" pitchFamily="34" charset="0"/>
              <a:cs typeface="Arial" panose="020B0604020202020204" pitchFamily="34" charset="0"/>
            </a:endParaRPr>
          </a:p>
        </xdr:txBody>
      </xdr:sp>
    </xdr:grpSp>
    <xdr:clientData/>
  </xdr:twoCellAnchor>
  <xdr:twoCellAnchor editAs="absolute">
    <xdr:from>
      <xdr:col>17</xdr:col>
      <xdr:colOff>9524</xdr:colOff>
      <xdr:row>8</xdr:row>
      <xdr:rowOff>161925</xdr:rowOff>
    </xdr:from>
    <xdr:to>
      <xdr:col>20</xdr:col>
      <xdr:colOff>209550</xdr:colOff>
      <xdr:row>10</xdr:row>
      <xdr:rowOff>152400</xdr:rowOff>
    </xdr:to>
    <xdr:grpSp>
      <xdr:nvGrpSpPr>
        <xdr:cNvPr id="89" name="Group 88">
          <a:extLst>
            <a:ext uri="{FF2B5EF4-FFF2-40B4-BE49-F238E27FC236}">
              <a16:creationId xmlns:a16="http://schemas.microsoft.com/office/drawing/2014/main" id="{F599D9B8-8E95-42C3-BF0D-8706F3E8C22C}"/>
            </a:ext>
          </a:extLst>
        </xdr:cNvPr>
        <xdr:cNvGrpSpPr/>
      </xdr:nvGrpSpPr>
      <xdr:grpSpPr>
        <a:xfrm>
          <a:off x="11096281" y="1603547"/>
          <a:ext cx="2156512" cy="350880"/>
          <a:chOff x="8886824" y="1676400"/>
          <a:chExt cx="1800226" cy="371475"/>
        </a:xfrm>
      </xdr:grpSpPr>
      <xdr:sp macro="" textlink="">
        <xdr:nvSpPr>
          <xdr:cNvPr id="90" name="TextBox 89">
            <a:extLst>
              <a:ext uri="{FF2B5EF4-FFF2-40B4-BE49-F238E27FC236}">
                <a16:creationId xmlns:a16="http://schemas.microsoft.com/office/drawing/2014/main" id="{AA595350-A290-462A-B0DF-15A1B016388C}"/>
              </a:ext>
            </a:extLst>
          </xdr:cNvPr>
          <xdr:cNvSpPr txBox="1"/>
        </xdr:nvSpPr>
        <xdr:spPr>
          <a:xfrm>
            <a:off x="9353550" y="1685925"/>
            <a:ext cx="13335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1">
                <a:solidFill>
                  <a:schemeClr val="bg1">
                    <a:lumMod val="85000"/>
                  </a:schemeClr>
                </a:solidFill>
                <a:latin typeface="Arial" panose="020B0604020202020204" pitchFamily="34" charset="0"/>
                <a:cs typeface="Arial" panose="020B0604020202020204" pitchFamily="34" charset="0"/>
              </a:rPr>
              <a:t>Over all sales </a:t>
            </a:r>
          </a:p>
        </xdr:txBody>
      </xdr:sp>
      <xdr:sp macro="" textlink="Analysis!K5">
        <xdr:nvSpPr>
          <xdr:cNvPr id="91" name="TextBox 90">
            <a:extLst>
              <a:ext uri="{FF2B5EF4-FFF2-40B4-BE49-F238E27FC236}">
                <a16:creationId xmlns:a16="http://schemas.microsoft.com/office/drawing/2014/main" id="{7FEA510B-7D5C-4BA1-9662-4DFDD62753EC}"/>
              </a:ext>
            </a:extLst>
          </xdr:cNvPr>
          <xdr:cNvSpPr txBox="1"/>
        </xdr:nvSpPr>
        <xdr:spPr>
          <a:xfrm>
            <a:off x="8886824" y="1676400"/>
            <a:ext cx="80962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964A10A-B06E-429E-A992-B481FF2FE62A}" type="TxLink">
              <a:rPr lang="en-US" sz="1100" b="1" i="0" u="none" strike="noStrike">
                <a:solidFill>
                  <a:schemeClr val="bg1"/>
                </a:solidFill>
                <a:latin typeface="Calibri"/>
                <a:cs typeface="Calibri"/>
              </a:rPr>
              <a:pPr algn="l"/>
              <a:t>$2,400 </a:t>
            </a:fld>
            <a:endParaRPr lang="en-US" sz="1050" b="1">
              <a:solidFill>
                <a:schemeClr val="bg1"/>
              </a:solidFill>
              <a:latin typeface="Arial" panose="020B0604020202020204" pitchFamily="34" charset="0"/>
              <a:cs typeface="Arial" panose="020B0604020202020204" pitchFamily="34" charset="0"/>
            </a:endParaRPr>
          </a:p>
        </xdr:txBody>
      </xdr:sp>
    </xdr:grpSp>
    <xdr:clientData/>
  </xdr:twoCellAnchor>
  <xdr:twoCellAnchor editAs="absolute">
    <xdr:from>
      <xdr:col>14</xdr:col>
      <xdr:colOff>104774</xdr:colOff>
      <xdr:row>6</xdr:row>
      <xdr:rowOff>0</xdr:rowOff>
    </xdr:from>
    <xdr:to>
      <xdr:col>15</xdr:col>
      <xdr:colOff>295275</xdr:colOff>
      <xdr:row>6</xdr:row>
      <xdr:rowOff>152400</xdr:rowOff>
    </xdr:to>
    <xdr:sp macro="" textlink="">
      <xdr:nvSpPr>
        <xdr:cNvPr id="92" name="Rectangle 91">
          <a:extLst>
            <a:ext uri="{FF2B5EF4-FFF2-40B4-BE49-F238E27FC236}">
              <a16:creationId xmlns:a16="http://schemas.microsoft.com/office/drawing/2014/main" id="{A9C555F5-F960-43DF-9E19-B053B25E07A7}"/>
            </a:ext>
          </a:extLst>
        </xdr:cNvPr>
        <xdr:cNvSpPr/>
      </xdr:nvSpPr>
      <xdr:spPr>
        <a:xfrm>
          <a:off x="8639174" y="1143000"/>
          <a:ext cx="800101" cy="152400"/>
        </a:xfrm>
        <a:prstGeom prst="rect">
          <a:avLst/>
        </a:prstGeom>
        <a:solidFill>
          <a:schemeClr val="bg1">
            <a:lumMod val="85000"/>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00">
              <a:solidFill>
                <a:schemeClr val="accent1">
                  <a:lumMod val="20000"/>
                  <a:lumOff val="80000"/>
                </a:schemeClr>
              </a:solidFill>
              <a:latin typeface="+mn-lt"/>
              <a:ea typeface="+mn-ea"/>
              <a:cs typeface="+mn-cs"/>
            </a:rPr>
            <a:t>Time range</a:t>
          </a:r>
        </a:p>
      </xdr:txBody>
    </xdr:sp>
    <xdr:clientData/>
  </xdr:twoCellAnchor>
  <xdr:twoCellAnchor editAs="absolute">
    <xdr:from>
      <xdr:col>18</xdr:col>
      <xdr:colOff>323849</xdr:colOff>
      <xdr:row>6</xdr:row>
      <xdr:rowOff>9525</xdr:rowOff>
    </xdr:from>
    <xdr:to>
      <xdr:col>19</xdr:col>
      <xdr:colOff>514350</xdr:colOff>
      <xdr:row>6</xdr:row>
      <xdr:rowOff>161925</xdr:rowOff>
    </xdr:to>
    <xdr:sp macro="" textlink="">
      <xdr:nvSpPr>
        <xdr:cNvPr id="93" name="Rectangle 92">
          <a:extLst>
            <a:ext uri="{FF2B5EF4-FFF2-40B4-BE49-F238E27FC236}">
              <a16:creationId xmlns:a16="http://schemas.microsoft.com/office/drawing/2014/main" id="{1CE94586-E6B4-49A7-A688-E3AE1DA5ECC0}"/>
            </a:ext>
          </a:extLst>
        </xdr:cNvPr>
        <xdr:cNvSpPr/>
      </xdr:nvSpPr>
      <xdr:spPr>
        <a:xfrm>
          <a:off x="11296649" y="1152525"/>
          <a:ext cx="800101" cy="152400"/>
        </a:xfrm>
        <a:prstGeom prst="rect">
          <a:avLst/>
        </a:prstGeom>
        <a:solidFill>
          <a:schemeClr val="bg1">
            <a:lumMod val="85000"/>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00">
              <a:solidFill>
                <a:schemeClr val="accent1">
                  <a:lumMod val="20000"/>
                  <a:lumOff val="80000"/>
                </a:schemeClr>
              </a:solidFill>
              <a:latin typeface="+mn-lt"/>
              <a:ea typeface="+mn-ea"/>
              <a:cs typeface="+mn-cs"/>
            </a:rPr>
            <a:t>Time range</a:t>
          </a:r>
        </a:p>
      </xdr:txBody>
    </xdr:sp>
    <xdr:clientData/>
  </xdr:twoCellAnchor>
  <xdr:twoCellAnchor editAs="absolute">
    <xdr:from>
      <xdr:col>5</xdr:col>
      <xdr:colOff>238125</xdr:colOff>
      <xdr:row>21</xdr:row>
      <xdr:rowOff>180975</xdr:rowOff>
    </xdr:from>
    <xdr:to>
      <xdr:col>12</xdr:col>
      <xdr:colOff>542925</xdr:colOff>
      <xdr:row>24</xdr:row>
      <xdr:rowOff>57149</xdr:rowOff>
    </xdr:to>
    <xdr:graphicFrame macro="">
      <xdr:nvGraphicFramePr>
        <xdr:cNvPr id="94" name="Chart 93">
          <a:extLst>
            <a:ext uri="{FF2B5EF4-FFF2-40B4-BE49-F238E27FC236}">
              <a16:creationId xmlns:a16="http://schemas.microsoft.com/office/drawing/2014/main" id="{FD53E272-7E65-4254-8035-B8A0FA6408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5</xdr:col>
      <xdr:colOff>295275</xdr:colOff>
      <xdr:row>21</xdr:row>
      <xdr:rowOff>152400</xdr:rowOff>
    </xdr:from>
    <xdr:to>
      <xdr:col>7</xdr:col>
      <xdr:colOff>581025</xdr:colOff>
      <xdr:row>23</xdr:row>
      <xdr:rowOff>28575</xdr:rowOff>
    </xdr:to>
    <xdr:sp macro="" textlink="Analysis!N15">
      <xdr:nvSpPr>
        <xdr:cNvPr id="95" name="TextBox 94">
          <a:extLst>
            <a:ext uri="{FF2B5EF4-FFF2-40B4-BE49-F238E27FC236}">
              <a16:creationId xmlns:a16="http://schemas.microsoft.com/office/drawing/2014/main" id="{4FC078F3-03FD-4235-A189-D10F78E95ABD}"/>
            </a:ext>
          </a:extLst>
        </xdr:cNvPr>
        <xdr:cNvSpPr txBox="1"/>
      </xdr:nvSpPr>
      <xdr:spPr>
        <a:xfrm>
          <a:off x="3343275" y="4152900"/>
          <a:ext cx="15049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017582E-46AA-4559-912E-C418EE2CDA67}" type="TxLink">
            <a:rPr lang="en-US" sz="1050" b="1">
              <a:solidFill>
                <a:schemeClr val="tx1">
                  <a:lumMod val="75000"/>
                  <a:lumOff val="25000"/>
                </a:schemeClr>
              </a:solidFill>
              <a:latin typeface="Arial" panose="020B0604020202020204" pitchFamily="34" charset="0"/>
              <a:ea typeface="+mn-ea"/>
              <a:cs typeface="Arial" panose="020B0604020202020204" pitchFamily="34" charset="0"/>
            </a:rPr>
            <a:pPr marL="0" indent="0" algn="l"/>
            <a:t>American Express</a:t>
          </a:fld>
          <a:endParaRPr lang="en-US" sz="1050" b="1">
            <a:solidFill>
              <a:schemeClr val="tx1">
                <a:lumMod val="75000"/>
                <a:lumOff val="25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17</xdr:col>
      <xdr:colOff>466725</xdr:colOff>
      <xdr:row>11</xdr:row>
      <xdr:rowOff>57150</xdr:rowOff>
    </xdr:from>
    <xdr:to>
      <xdr:col>19</xdr:col>
      <xdr:colOff>581025</xdr:colOff>
      <xdr:row>13</xdr:row>
      <xdr:rowOff>38100</xdr:rowOff>
    </xdr:to>
    <xdr:sp macro="" textlink="">
      <xdr:nvSpPr>
        <xdr:cNvPr id="96" name="TextBox 95">
          <a:extLst>
            <a:ext uri="{FF2B5EF4-FFF2-40B4-BE49-F238E27FC236}">
              <a16:creationId xmlns:a16="http://schemas.microsoft.com/office/drawing/2014/main" id="{B6D6C723-02FC-4E1A-AE2E-BF5B33F9D081}"/>
            </a:ext>
          </a:extLst>
        </xdr:cNvPr>
        <xdr:cNvSpPr txBox="1"/>
      </xdr:nvSpPr>
      <xdr:spPr>
        <a:xfrm>
          <a:off x="10829925" y="2152650"/>
          <a:ext cx="13335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1" i="1">
              <a:solidFill>
                <a:schemeClr val="tx1">
                  <a:lumMod val="75000"/>
                  <a:lumOff val="25000"/>
                </a:schemeClr>
              </a:solidFill>
              <a:latin typeface="Arial" panose="020B0604020202020204" pitchFamily="34" charset="0"/>
              <a:cs typeface="Arial" panose="020B0604020202020204" pitchFamily="34" charset="0"/>
            </a:rPr>
            <a:t>Total Over all sales </a:t>
          </a:r>
        </a:p>
      </xdr:txBody>
    </xdr:sp>
    <xdr:clientData/>
  </xdr:twoCellAnchor>
  <xdr:twoCellAnchor editAs="absolute">
    <xdr:from>
      <xdr:col>8</xdr:col>
      <xdr:colOff>142875</xdr:colOff>
      <xdr:row>17</xdr:row>
      <xdr:rowOff>57150</xdr:rowOff>
    </xdr:from>
    <xdr:to>
      <xdr:col>9</xdr:col>
      <xdr:colOff>400050</xdr:colOff>
      <xdr:row>19</xdr:row>
      <xdr:rowOff>38100</xdr:rowOff>
    </xdr:to>
    <xdr:sp macro="" textlink="">
      <xdr:nvSpPr>
        <xdr:cNvPr id="97" name="TextBox 96">
          <a:extLst>
            <a:ext uri="{FF2B5EF4-FFF2-40B4-BE49-F238E27FC236}">
              <a16:creationId xmlns:a16="http://schemas.microsoft.com/office/drawing/2014/main" id="{E5E47DA2-756D-4CCB-8C67-360DA6F9F871}"/>
            </a:ext>
          </a:extLst>
        </xdr:cNvPr>
        <xdr:cNvSpPr txBox="1"/>
      </xdr:nvSpPr>
      <xdr:spPr>
        <a:xfrm>
          <a:off x="5019675" y="3295650"/>
          <a:ext cx="8667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a:solidFill>
                <a:schemeClr val="bg1">
                  <a:lumMod val="95000"/>
                </a:schemeClr>
              </a:solidFill>
              <a:latin typeface="Arial" panose="020B0604020202020204" pitchFamily="34" charset="0"/>
              <a:ea typeface="+mn-ea"/>
              <a:cs typeface="Arial" panose="020B0604020202020204" pitchFamily="34" charset="0"/>
            </a:rPr>
            <a:t>Transaction</a:t>
          </a:r>
        </a:p>
      </xdr:txBody>
    </xdr:sp>
    <xdr:clientData/>
  </xdr:twoCellAnchor>
  <xdr:twoCellAnchor editAs="absolute">
    <xdr:from>
      <xdr:col>10</xdr:col>
      <xdr:colOff>361950</xdr:colOff>
      <xdr:row>21</xdr:row>
      <xdr:rowOff>104775</xdr:rowOff>
    </xdr:from>
    <xdr:to>
      <xdr:col>12</xdr:col>
      <xdr:colOff>476250</xdr:colOff>
      <xdr:row>23</xdr:row>
      <xdr:rowOff>85725</xdr:rowOff>
    </xdr:to>
    <xdr:sp macro="" textlink="Analysis!O12">
      <xdr:nvSpPr>
        <xdr:cNvPr id="98" name="TextBox 97">
          <a:extLst>
            <a:ext uri="{FF2B5EF4-FFF2-40B4-BE49-F238E27FC236}">
              <a16:creationId xmlns:a16="http://schemas.microsoft.com/office/drawing/2014/main" id="{DE1C82B1-9872-485A-9A5C-85B6F979E83B}"/>
            </a:ext>
          </a:extLst>
        </xdr:cNvPr>
        <xdr:cNvSpPr txBox="1"/>
      </xdr:nvSpPr>
      <xdr:spPr>
        <a:xfrm>
          <a:off x="6457950" y="4105275"/>
          <a:ext cx="13335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4EB1C3-59B8-4D18-B5E1-106D26572606}" type="TxLink">
            <a:rPr lang="en-US" sz="1100" b="1" i="0" u="none" strike="noStrike">
              <a:solidFill>
                <a:schemeClr val="tx1">
                  <a:lumMod val="85000"/>
                  <a:lumOff val="15000"/>
                </a:schemeClr>
              </a:solidFill>
              <a:latin typeface="Calibri"/>
              <a:cs typeface="Calibri"/>
            </a:rPr>
            <a:pPr algn="r"/>
            <a:t>25.0% of 100%</a:t>
          </a:fld>
          <a:endParaRPr lang="en-US" sz="1000" b="1" i="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editAs="absolute">
    <xdr:from>
      <xdr:col>8</xdr:col>
      <xdr:colOff>238126</xdr:colOff>
      <xdr:row>18</xdr:row>
      <xdr:rowOff>123825</xdr:rowOff>
    </xdr:from>
    <xdr:to>
      <xdr:col>9</xdr:col>
      <xdr:colOff>219076</xdr:colOff>
      <xdr:row>20</xdr:row>
      <xdr:rowOff>104775</xdr:rowOff>
    </xdr:to>
    <xdr:sp macro="" textlink="Analysis!P10">
      <xdr:nvSpPr>
        <xdr:cNvPr id="99" name="TextBox 98">
          <a:extLst>
            <a:ext uri="{FF2B5EF4-FFF2-40B4-BE49-F238E27FC236}">
              <a16:creationId xmlns:a16="http://schemas.microsoft.com/office/drawing/2014/main" id="{F7EE9D01-4E6F-4D12-B166-DA68F78DFEA5}"/>
            </a:ext>
          </a:extLst>
        </xdr:cNvPr>
        <xdr:cNvSpPr txBox="1"/>
      </xdr:nvSpPr>
      <xdr:spPr>
        <a:xfrm>
          <a:off x="5114926" y="3552825"/>
          <a:ext cx="5905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6DB9EF5-D917-4AA3-BD6D-140E02C2F7FD}" type="TxLink">
            <a:rPr lang="en-US" sz="1400" b="1" i="1" u="none" strike="noStrike">
              <a:solidFill>
                <a:schemeClr val="bg1"/>
              </a:solidFill>
              <a:latin typeface="Calibri"/>
              <a:ea typeface="+mn-ea"/>
              <a:cs typeface="Calibri"/>
            </a:rPr>
            <a:pPr marL="0" indent="0" algn="l"/>
            <a:t> 2 </a:t>
          </a:fld>
          <a:endParaRPr lang="en-US" sz="1400" b="1" i="1" u="none" strike="noStrike">
            <a:solidFill>
              <a:schemeClr val="bg1"/>
            </a:solidFill>
            <a:latin typeface="Calibri"/>
            <a:ea typeface="+mn-ea"/>
            <a:cs typeface="Calibri"/>
          </a:endParaRPr>
        </a:p>
      </xdr:txBody>
    </xdr:sp>
    <xdr:clientData/>
  </xdr:twoCellAnchor>
  <xdr:twoCellAnchor editAs="absolute">
    <xdr:from>
      <xdr:col>10</xdr:col>
      <xdr:colOff>171451</xdr:colOff>
      <xdr:row>18</xdr:row>
      <xdr:rowOff>13035</xdr:rowOff>
    </xdr:from>
    <xdr:to>
      <xdr:col>11</xdr:col>
      <xdr:colOff>161925</xdr:colOff>
      <xdr:row>20</xdr:row>
      <xdr:rowOff>95250</xdr:rowOff>
    </xdr:to>
    <xdr:grpSp>
      <xdr:nvGrpSpPr>
        <xdr:cNvPr id="106" name="Group 105">
          <a:extLst>
            <a:ext uri="{FF2B5EF4-FFF2-40B4-BE49-F238E27FC236}">
              <a16:creationId xmlns:a16="http://schemas.microsoft.com/office/drawing/2014/main" id="{DCFBF7CE-66B5-4610-AE2C-883EFDBB114C}"/>
            </a:ext>
          </a:extLst>
        </xdr:cNvPr>
        <xdr:cNvGrpSpPr/>
      </xdr:nvGrpSpPr>
      <xdr:grpSpPr>
        <a:xfrm>
          <a:off x="6693073" y="3256684"/>
          <a:ext cx="642636" cy="442620"/>
          <a:chOff x="6591300" y="3467100"/>
          <a:chExt cx="542925" cy="419100"/>
        </a:xfrm>
      </xdr:grpSpPr>
      <xdr:sp macro="" textlink="">
        <xdr:nvSpPr>
          <xdr:cNvPr id="107" name="Oval 106">
            <a:extLst>
              <a:ext uri="{FF2B5EF4-FFF2-40B4-BE49-F238E27FC236}">
                <a16:creationId xmlns:a16="http://schemas.microsoft.com/office/drawing/2014/main" id="{67022637-F0FE-454B-92DF-192CC433F1AF}"/>
              </a:ext>
            </a:extLst>
          </xdr:cNvPr>
          <xdr:cNvSpPr/>
        </xdr:nvSpPr>
        <xdr:spPr>
          <a:xfrm>
            <a:off x="6743700" y="3467100"/>
            <a:ext cx="390525" cy="390525"/>
          </a:xfrm>
          <a:prstGeom prst="ellipse">
            <a:avLst/>
          </a:prstGeom>
          <a:solidFill>
            <a:schemeClr val="bg1">
              <a:alpha val="5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8" name="Oval 107">
            <a:extLst>
              <a:ext uri="{FF2B5EF4-FFF2-40B4-BE49-F238E27FC236}">
                <a16:creationId xmlns:a16="http://schemas.microsoft.com/office/drawing/2014/main" id="{6A49FDBA-CA82-42F8-807D-999BE84B99E3}"/>
              </a:ext>
            </a:extLst>
          </xdr:cNvPr>
          <xdr:cNvSpPr/>
        </xdr:nvSpPr>
        <xdr:spPr>
          <a:xfrm>
            <a:off x="6591300" y="3495675"/>
            <a:ext cx="390525" cy="390525"/>
          </a:xfrm>
          <a:prstGeom prst="ellipse">
            <a:avLst/>
          </a:prstGeom>
          <a:solidFill>
            <a:schemeClr val="bg1">
              <a:alpha val="5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5</xdr:col>
      <xdr:colOff>418827</xdr:colOff>
      <xdr:row>16</xdr:row>
      <xdr:rowOff>19050</xdr:rowOff>
    </xdr:from>
    <xdr:to>
      <xdr:col>6</xdr:col>
      <xdr:colOff>86628</xdr:colOff>
      <xdr:row>17</xdr:row>
      <xdr:rowOff>128066</xdr:rowOff>
    </xdr:to>
    <xdr:grpSp>
      <xdr:nvGrpSpPr>
        <xdr:cNvPr id="109" name="Group 108">
          <a:extLst>
            <a:ext uri="{FF2B5EF4-FFF2-40B4-BE49-F238E27FC236}">
              <a16:creationId xmlns:a16="http://schemas.microsoft.com/office/drawing/2014/main" id="{1454294B-7FE0-4870-82C8-AA7B8F293387}"/>
            </a:ext>
          </a:extLst>
        </xdr:cNvPr>
        <xdr:cNvGrpSpPr/>
      </xdr:nvGrpSpPr>
      <xdr:grpSpPr>
        <a:xfrm rot="60000">
          <a:off x="3679638" y="2902293"/>
          <a:ext cx="319963" cy="289219"/>
          <a:chOff x="5885494" y="4480725"/>
          <a:chExt cx="664940" cy="717951"/>
        </a:xfrm>
      </xdr:grpSpPr>
      <xdr:sp macro="" textlink="">
        <xdr:nvSpPr>
          <xdr:cNvPr id="110" name="Rectangle 109">
            <a:extLst>
              <a:ext uri="{FF2B5EF4-FFF2-40B4-BE49-F238E27FC236}">
                <a16:creationId xmlns:a16="http://schemas.microsoft.com/office/drawing/2014/main" id="{CF9A34A5-0259-46A7-A354-9EEB213A9292}"/>
              </a:ext>
            </a:extLst>
          </xdr:cNvPr>
          <xdr:cNvSpPr/>
        </xdr:nvSpPr>
        <xdr:spPr>
          <a:xfrm rot="2760000">
            <a:off x="5858988" y="4507231"/>
            <a:ext cx="717951" cy="664940"/>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11" name="Group 110">
            <a:extLst>
              <a:ext uri="{FF2B5EF4-FFF2-40B4-BE49-F238E27FC236}">
                <a16:creationId xmlns:a16="http://schemas.microsoft.com/office/drawing/2014/main" id="{EAB9F10C-5528-4AA2-AA1C-7C001017C97A}"/>
              </a:ext>
            </a:extLst>
          </xdr:cNvPr>
          <xdr:cNvGrpSpPr/>
        </xdr:nvGrpSpPr>
        <xdr:grpSpPr>
          <a:xfrm>
            <a:off x="5965064" y="4566640"/>
            <a:ext cx="505798" cy="546122"/>
            <a:chOff x="5965064" y="4587626"/>
            <a:chExt cx="505798" cy="546122"/>
          </a:xfrm>
        </xdr:grpSpPr>
        <xdr:sp macro="" textlink="">
          <xdr:nvSpPr>
            <xdr:cNvPr id="112" name="Rectangle 111">
              <a:extLst>
                <a:ext uri="{FF2B5EF4-FFF2-40B4-BE49-F238E27FC236}">
                  <a16:creationId xmlns:a16="http://schemas.microsoft.com/office/drawing/2014/main" id="{439D2D49-E0DF-42F3-B32A-B6998CAD52D1}"/>
                </a:ext>
              </a:extLst>
            </xdr:cNvPr>
            <xdr:cNvSpPr/>
          </xdr:nvSpPr>
          <xdr:spPr>
            <a:xfrm rot="2760000">
              <a:off x="5944902" y="4607788"/>
              <a:ext cx="546122" cy="505798"/>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3" name="Rectangle 112">
              <a:extLst>
                <a:ext uri="{FF2B5EF4-FFF2-40B4-BE49-F238E27FC236}">
                  <a16:creationId xmlns:a16="http://schemas.microsoft.com/office/drawing/2014/main" id="{5E2DF03F-8B32-46B0-A9B9-C9B4FB9F3C4A}"/>
                </a:ext>
              </a:extLst>
            </xdr:cNvPr>
            <xdr:cNvSpPr/>
          </xdr:nvSpPr>
          <xdr:spPr>
            <a:xfrm rot="2760000">
              <a:off x="6021658" y="4678877"/>
              <a:ext cx="392610" cy="363621"/>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editAs="absolute">
    <xdr:from>
      <xdr:col>6</xdr:col>
      <xdr:colOff>504825</xdr:colOff>
      <xdr:row>14</xdr:row>
      <xdr:rowOff>66675</xdr:rowOff>
    </xdr:from>
    <xdr:to>
      <xdr:col>8</xdr:col>
      <xdr:colOff>409575</xdr:colOff>
      <xdr:row>16</xdr:row>
      <xdr:rowOff>47625</xdr:rowOff>
    </xdr:to>
    <xdr:sp macro="" textlink="">
      <xdr:nvSpPr>
        <xdr:cNvPr id="76" name="TextBox 75">
          <a:extLst>
            <a:ext uri="{FF2B5EF4-FFF2-40B4-BE49-F238E27FC236}">
              <a16:creationId xmlns:a16="http://schemas.microsoft.com/office/drawing/2014/main" id="{94D59267-E5D6-41BF-9B7A-CCFA9AED0B5A}"/>
            </a:ext>
          </a:extLst>
        </xdr:cNvPr>
        <xdr:cNvSpPr txBox="1"/>
      </xdr:nvSpPr>
      <xdr:spPr>
        <a:xfrm>
          <a:off x="4162425" y="2733675"/>
          <a:ext cx="11239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1" i="0">
              <a:solidFill>
                <a:schemeClr val="bg1">
                  <a:lumMod val="95000"/>
                </a:schemeClr>
              </a:solidFill>
              <a:latin typeface="Arial" panose="020B0604020202020204" pitchFamily="34" charset="0"/>
              <a:cs typeface="Arial" panose="020B0604020202020204" pitchFamily="34" charset="0"/>
            </a:rPr>
            <a:t>Total</a:t>
          </a:r>
          <a:r>
            <a:rPr lang="en-US" sz="900" b="1" i="0" baseline="0">
              <a:solidFill>
                <a:schemeClr val="bg1">
                  <a:lumMod val="95000"/>
                </a:schemeClr>
              </a:solidFill>
              <a:latin typeface="Arial" panose="020B0604020202020204" pitchFamily="34" charset="0"/>
              <a:cs typeface="Arial" panose="020B0604020202020204" pitchFamily="34" charset="0"/>
            </a:rPr>
            <a:t> Revenue</a:t>
          </a:r>
          <a:endParaRPr lang="en-US" sz="900" b="1" i="0">
            <a:solidFill>
              <a:schemeClr val="bg1">
                <a:lumMod val="95000"/>
              </a:schemeClr>
            </a:solidFill>
            <a:latin typeface="Arial" panose="020B0604020202020204" pitchFamily="34" charset="0"/>
            <a:cs typeface="Arial" panose="020B0604020202020204" pitchFamily="34" charset="0"/>
          </a:endParaRPr>
        </a:p>
      </xdr:txBody>
    </xdr:sp>
    <xdr:clientData/>
  </xdr:twoCellAnchor>
  <xdr:twoCellAnchor editAs="absolute">
    <xdr:from>
      <xdr:col>6</xdr:col>
      <xdr:colOff>485774</xdr:colOff>
      <xdr:row>15</xdr:row>
      <xdr:rowOff>95250</xdr:rowOff>
    </xdr:from>
    <xdr:to>
      <xdr:col>9</xdr:col>
      <xdr:colOff>400049</xdr:colOff>
      <xdr:row>17</xdr:row>
      <xdr:rowOff>76200</xdr:rowOff>
    </xdr:to>
    <xdr:sp macro="" textlink="Analysis!Q10">
      <xdr:nvSpPr>
        <xdr:cNvPr id="83" name="TextBox 82">
          <a:extLst>
            <a:ext uri="{FF2B5EF4-FFF2-40B4-BE49-F238E27FC236}">
              <a16:creationId xmlns:a16="http://schemas.microsoft.com/office/drawing/2014/main" id="{E8A92B90-D2D9-49E0-B174-3F59888E77A9}"/>
            </a:ext>
          </a:extLst>
        </xdr:cNvPr>
        <xdr:cNvSpPr txBox="1"/>
      </xdr:nvSpPr>
      <xdr:spPr>
        <a:xfrm>
          <a:off x="4143374" y="2952750"/>
          <a:ext cx="17430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1C60B9D-10A4-4950-9D64-9194BE8CFEA6}" type="TxLink">
            <a:rPr lang="en-US" sz="1800" b="0" i="0" u="none" strike="noStrike">
              <a:solidFill>
                <a:schemeClr val="bg1"/>
              </a:solidFill>
              <a:latin typeface="Arial Black" panose="020B0A04020102020204" pitchFamily="34" charset="0"/>
              <a:ea typeface="+mn-ea"/>
              <a:cs typeface="Calibri"/>
            </a:rPr>
            <a:pPr marL="0" indent="0" algn="l"/>
            <a:t>$2,400 </a:t>
          </a:fld>
          <a:endParaRPr lang="en-US" sz="1800" b="0" i="0" u="none" strike="noStrike">
            <a:solidFill>
              <a:schemeClr val="bg1"/>
            </a:solidFill>
            <a:latin typeface="Arial Black" panose="020B0A04020102020204" pitchFamily="34" charset="0"/>
            <a:ea typeface="+mn-ea"/>
            <a:cs typeface="Calibri"/>
          </a:endParaRPr>
        </a:p>
      </xdr:txBody>
    </xdr:sp>
    <xdr:clientData/>
  </xdr:twoCellAnchor>
  <xdr:twoCellAnchor editAs="absolute">
    <xdr:from>
      <xdr:col>6</xdr:col>
      <xdr:colOff>504824</xdr:colOff>
      <xdr:row>17</xdr:row>
      <xdr:rowOff>57150</xdr:rowOff>
    </xdr:from>
    <xdr:to>
      <xdr:col>8</xdr:col>
      <xdr:colOff>190499</xdr:colOff>
      <xdr:row>19</xdr:row>
      <xdr:rowOff>38100</xdr:rowOff>
    </xdr:to>
    <xdr:sp macro="" textlink="">
      <xdr:nvSpPr>
        <xdr:cNvPr id="84" name="TextBox 83">
          <a:extLst>
            <a:ext uri="{FF2B5EF4-FFF2-40B4-BE49-F238E27FC236}">
              <a16:creationId xmlns:a16="http://schemas.microsoft.com/office/drawing/2014/main" id="{F86E6AFA-7210-49D1-A365-A2335E13B2A4}"/>
            </a:ext>
          </a:extLst>
        </xdr:cNvPr>
        <xdr:cNvSpPr txBox="1"/>
      </xdr:nvSpPr>
      <xdr:spPr>
        <a:xfrm>
          <a:off x="4162424" y="3295650"/>
          <a:ext cx="9048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0" i="0">
              <a:solidFill>
                <a:schemeClr val="bg1">
                  <a:lumMod val="95000"/>
                </a:schemeClr>
              </a:solidFill>
              <a:latin typeface="Arial" panose="020B0604020202020204" pitchFamily="34" charset="0"/>
              <a:cs typeface="Arial" panose="020B0604020202020204" pitchFamily="34" charset="0"/>
            </a:rPr>
            <a:t>Average Rev</a:t>
          </a:r>
        </a:p>
      </xdr:txBody>
    </xdr:sp>
    <xdr:clientData/>
  </xdr:twoCellAnchor>
  <xdr:twoCellAnchor editAs="absolute">
    <xdr:from>
      <xdr:col>6</xdr:col>
      <xdr:colOff>552450</xdr:colOff>
      <xdr:row>18</xdr:row>
      <xdr:rowOff>95250</xdr:rowOff>
    </xdr:from>
    <xdr:to>
      <xdr:col>8</xdr:col>
      <xdr:colOff>190500</xdr:colOff>
      <xdr:row>20</xdr:row>
      <xdr:rowOff>76200</xdr:rowOff>
    </xdr:to>
    <xdr:sp macro="" textlink="Analysis!R10">
      <xdr:nvSpPr>
        <xdr:cNvPr id="116" name="TextBox 115">
          <a:extLst>
            <a:ext uri="{FF2B5EF4-FFF2-40B4-BE49-F238E27FC236}">
              <a16:creationId xmlns:a16="http://schemas.microsoft.com/office/drawing/2014/main" id="{6F9D80A8-CC6E-414D-9B6E-43406B2C7EF2}"/>
            </a:ext>
          </a:extLst>
        </xdr:cNvPr>
        <xdr:cNvSpPr txBox="1"/>
      </xdr:nvSpPr>
      <xdr:spPr>
        <a:xfrm>
          <a:off x="4210050" y="3524250"/>
          <a:ext cx="8572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4879BFC-D6BA-47F2-A931-BF8D87357BBC}" type="TxLink">
            <a:rPr lang="en-US" sz="1400" b="1" i="1" u="none" strike="noStrike">
              <a:solidFill>
                <a:schemeClr val="bg1"/>
              </a:solidFill>
              <a:latin typeface="Calibri"/>
              <a:cs typeface="Calibri"/>
            </a:rPr>
            <a:pPr algn="l"/>
            <a:t>$1,200 </a:t>
          </a:fld>
          <a:endParaRPr lang="en-US" sz="1050" b="1" i="1">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1</xdr:col>
      <xdr:colOff>466725</xdr:colOff>
      <xdr:row>5</xdr:row>
      <xdr:rowOff>123825</xdr:rowOff>
    </xdr:from>
    <xdr:to>
      <xdr:col>3</xdr:col>
      <xdr:colOff>323850</xdr:colOff>
      <xdr:row>25</xdr:row>
      <xdr:rowOff>171450</xdr:rowOff>
    </xdr:to>
    <mc:AlternateContent xmlns:mc="http://schemas.openxmlformats.org/markup-compatibility/2006" xmlns:a14="http://schemas.microsoft.com/office/drawing/2010/main">
      <mc:Choice Requires="a14">
        <xdr:graphicFrame macro="">
          <xdr:nvGraphicFramePr>
            <xdr:cNvPr id="119" name="Weekdays">
              <a:extLst>
                <a:ext uri="{FF2B5EF4-FFF2-40B4-BE49-F238E27FC236}">
                  <a16:creationId xmlns:a16="http://schemas.microsoft.com/office/drawing/2014/main" id="{B782BDC3-FFE8-431D-90FD-414F1F436D9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eekdays"/>
            </a:graphicData>
          </a:graphic>
        </xdr:graphicFrame>
      </mc:Choice>
      <mc:Fallback xmlns="">
        <xdr:sp macro="" textlink="">
          <xdr:nvSpPr>
            <xdr:cNvPr id="0" name=""/>
            <xdr:cNvSpPr>
              <a:spLocks noTextEdit="1"/>
            </xdr:cNvSpPr>
          </xdr:nvSpPr>
          <xdr:spPr>
            <a:xfrm>
              <a:off x="1076325" y="1076325"/>
              <a:ext cx="1076325" cy="3857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18</xdr:col>
      <xdr:colOff>447675</xdr:colOff>
      <xdr:row>2</xdr:row>
      <xdr:rowOff>104775</xdr:rowOff>
    </xdr:from>
    <xdr:to>
      <xdr:col>19</xdr:col>
      <xdr:colOff>164325</xdr:colOff>
      <xdr:row>4</xdr:row>
      <xdr:rowOff>50025</xdr:rowOff>
    </xdr:to>
    <xdr:pic macro="[0]!Clear_filters">
      <xdr:nvPicPr>
        <xdr:cNvPr id="120" name="Graphic 119" descr="Back">
          <a:extLst>
            <a:ext uri="{FF2B5EF4-FFF2-40B4-BE49-F238E27FC236}">
              <a16:creationId xmlns:a16="http://schemas.microsoft.com/office/drawing/2014/main" id="{90AA0CD8-2398-4C53-BA68-7A089BB6DF63}"/>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1420475" y="485775"/>
          <a:ext cx="326250" cy="326250"/>
        </a:xfrm>
        <a:prstGeom prst="rect">
          <a:avLst/>
        </a:prstGeom>
      </xdr:spPr>
    </xdr:pic>
    <xdr:clientData/>
  </xdr:twoCellAnchor>
  <xdr:twoCellAnchor editAs="absolute">
    <xdr:from>
      <xdr:col>4</xdr:col>
      <xdr:colOff>428624</xdr:colOff>
      <xdr:row>28</xdr:row>
      <xdr:rowOff>114300</xdr:rowOff>
    </xdr:from>
    <xdr:to>
      <xdr:col>13</xdr:col>
      <xdr:colOff>400049</xdr:colOff>
      <xdr:row>34</xdr:row>
      <xdr:rowOff>19049</xdr:rowOff>
    </xdr:to>
    <xdr:graphicFrame macro="">
      <xdr:nvGraphicFramePr>
        <xdr:cNvPr id="121" name="Chart 120">
          <a:extLst>
            <a:ext uri="{FF2B5EF4-FFF2-40B4-BE49-F238E27FC236}">
              <a16:creationId xmlns:a16="http://schemas.microsoft.com/office/drawing/2014/main" id="{35A83454-19A2-4772-AF8A-F64CBFC87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5</xdr:col>
      <xdr:colOff>95249</xdr:colOff>
      <xdr:row>24</xdr:row>
      <xdr:rowOff>85725</xdr:rowOff>
    </xdr:from>
    <xdr:to>
      <xdr:col>6</xdr:col>
      <xdr:colOff>552450</xdr:colOff>
      <xdr:row>26</xdr:row>
      <xdr:rowOff>66675</xdr:rowOff>
    </xdr:to>
    <xdr:sp macro="" textlink="">
      <xdr:nvSpPr>
        <xdr:cNvPr id="102" name="TextBox 101">
          <a:extLst>
            <a:ext uri="{FF2B5EF4-FFF2-40B4-BE49-F238E27FC236}">
              <a16:creationId xmlns:a16="http://schemas.microsoft.com/office/drawing/2014/main" id="{87784EAC-4BD0-45C7-A7C5-B01344DD30B5}"/>
            </a:ext>
          </a:extLst>
        </xdr:cNvPr>
        <xdr:cNvSpPr txBox="1"/>
      </xdr:nvSpPr>
      <xdr:spPr>
        <a:xfrm>
          <a:off x="3143249" y="4657725"/>
          <a:ext cx="1066801"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0" i="0">
              <a:solidFill>
                <a:schemeClr val="tx1">
                  <a:lumMod val="65000"/>
                  <a:lumOff val="35000"/>
                </a:schemeClr>
              </a:solidFill>
              <a:latin typeface="Arial" panose="020B0604020202020204" pitchFamily="34" charset="0"/>
              <a:cs typeface="Arial" panose="020B0604020202020204" pitchFamily="34" charset="0"/>
            </a:rPr>
            <a:t>Top</a:t>
          </a:r>
          <a:r>
            <a:rPr lang="en-US" sz="900" b="0" i="0" baseline="0">
              <a:solidFill>
                <a:schemeClr val="tx1">
                  <a:lumMod val="65000"/>
                  <a:lumOff val="35000"/>
                </a:schemeClr>
              </a:solidFill>
              <a:latin typeface="Arial" panose="020B0604020202020204" pitchFamily="34" charset="0"/>
              <a:cs typeface="Arial" panose="020B0604020202020204" pitchFamily="34" charset="0"/>
            </a:rPr>
            <a:t> selling day</a:t>
          </a:r>
          <a:endParaRPr lang="en-US" sz="900" b="0" i="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editAs="absolute">
    <xdr:from>
      <xdr:col>5</xdr:col>
      <xdr:colOff>123825</xdr:colOff>
      <xdr:row>25</xdr:row>
      <xdr:rowOff>133350</xdr:rowOff>
    </xdr:from>
    <xdr:to>
      <xdr:col>7</xdr:col>
      <xdr:colOff>476250</xdr:colOff>
      <xdr:row>27</xdr:row>
      <xdr:rowOff>114300</xdr:rowOff>
    </xdr:to>
    <xdr:sp macro="" textlink="Analysis!AJ4">
      <xdr:nvSpPr>
        <xdr:cNvPr id="103" name="TextBox 102">
          <a:extLst>
            <a:ext uri="{FF2B5EF4-FFF2-40B4-BE49-F238E27FC236}">
              <a16:creationId xmlns:a16="http://schemas.microsoft.com/office/drawing/2014/main" id="{693DA5A7-A352-4A6A-9E01-A80858F77026}"/>
            </a:ext>
          </a:extLst>
        </xdr:cNvPr>
        <xdr:cNvSpPr txBox="1"/>
      </xdr:nvSpPr>
      <xdr:spPr>
        <a:xfrm>
          <a:off x="3171825" y="4895850"/>
          <a:ext cx="15716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6C8A484-CDEB-440B-8458-B2A74AF55C76}" type="TxLink">
            <a:rPr lang="en-US" sz="1400" b="0" i="0" u="none" strike="noStrike">
              <a:solidFill>
                <a:schemeClr val="tx1">
                  <a:lumMod val="65000"/>
                  <a:lumOff val="35000"/>
                </a:schemeClr>
              </a:solidFill>
              <a:latin typeface="Arial Black" panose="020B0A04020102020204" pitchFamily="34" charset="0"/>
              <a:ea typeface="+mn-ea"/>
              <a:cs typeface="Calibri"/>
            </a:rPr>
            <a:pPr marL="0" indent="0" algn="ctr"/>
            <a:t>$1,200 </a:t>
          </a:fld>
          <a:endParaRPr lang="en-US" sz="1400" b="0" i="0" u="none" strike="noStrike">
            <a:solidFill>
              <a:schemeClr val="tx1">
                <a:lumMod val="65000"/>
                <a:lumOff val="35000"/>
              </a:schemeClr>
            </a:solidFill>
            <a:latin typeface="Arial Black" panose="020B0A04020102020204" pitchFamily="34" charset="0"/>
            <a:ea typeface="+mn-ea"/>
            <a:cs typeface="Calibri"/>
          </a:endParaRPr>
        </a:p>
      </xdr:txBody>
    </xdr:sp>
    <xdr:clientData/>
  </xdr:twoCellAnchor>
  <xdr:twoCellAnchor editAs="absolute">
    <xdr:from>
      <xdr:col>6</xdr:col>
      <xdr:colOff>342899</xdr:colOff>
      <xdr:row>24</xdr:row>
      <xdr:rowOff>95250</xdr:rowOff>
    </xdr:from>
    <xdr:to>
      <xdr:col>8</xdr:col>
      <xdr:colOff>190500</xdr:colOff>
      <xdr:row>26</xdr:row>
      <xdr:rowOff>76200</xdr:rowOff>
    </xdr:to>
    <xdr:sp macro="" textlink="Analysis!AI4">
      <xdr:nvSpPr>
        <xdr:cNvPr id="104" name="TextBox 103">
          <a:extLst>
            <a:ext uri="{FF2B5EF4-FFF2-40B4-BE49-F238E27FC236}">
              <a16:creationId xmlns:a16="http://schemas.microsoft.com/office/drawing/2014/main" id="{6F96A0D9-E8BC-4FC6-A267-0429DBECF0FA}"/>
            </a:ext>
          </a:extLst>
        </xdr:cNvPr>
        <xdr:cNvSpPr txBox="1"/>
      </xdr:nvSpPr>
      <xdr:spPr>
        <a:xfrm>
          <a:off x="4000499" y="4667250"/>
          <a:ext cx="1066801"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D9E085D-1DD5-47AC-921C-4E04A4165A16}" type="TxLink">
            <a:rPr lang="en-US" sz="1100" b="0" i="0" u="none" strike="noStrike">
              <a:solidFill>
                <a:srgbClr val="000000"/>
              </a:solidFill>
              <a:latin typeface="Calibri"/>
              <a:cs typeface="Calibri"/>
            </a:rPr>
            <a:pPr algn="l"/>
            <a:t>17-01-2009</a:t>
          </a:fld>
          <a:endParaRPr lang="en-US" sz="900" b="0" i="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editAs="absolute">
    <xdr:from>
      <xdr:col>10</xdr:col>
      <xdr:colOff>295274</xdr:colOff>
      <xdr:row>24</xdr:row>
      <xdr:rowOff>85725</xdr:rowOff>
    </xdr:from>
    <xdr:to>
      <xdr:col>12</xdr:col>
      <xdr:colOff>142875</xdr:colOff>
      <xdr:row>26</xdr:row>
      <xdr:rowOff>66675</xdr:rowOff>
    </xdr:to>
    <xdr:sp macro="" textlink="">
      <xdr:nvSpPr>
        <xdr:cNvPr id="118" name="TextBox 117">
          <a:extLst>
            <a:ext uri="{FF2B5EF4-FFF2-40B4-BE49-F238E27FC236}">
              <a16:creationId xmlns:a16="http://schemas.microsoft.com/office/drawing/2014/main" id="{71F905A1-0507-4650-9F18-A18E6435D10B}"/>
            </a:ext>
          </a:extLst>
        </xdr:cNvPr>
        <xdr:cNvSpPr txBox="1"/>
      </xdr:nvSpPr>
      <xdr:spPr>
        <a:xfrm>
          <a:off x="6391274" y="4657725"/>
          <a:ext cx="1066801"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0" i="0" baseline="0">
              <a:solidFill>
                <a:schemeClr val="tx1">
                  <a:lumMod val="65000"/>
                  <a:lumOff val="35000"/>
                </a:schemeClr>
              </a:solidFill>
              <a:latin typeface="Arial" panose="020B0604020202020204" pitchFamily="34" charset="0"/>
              <a:cs typeface="Arial" panose="020B0604020202020204" pitchFamily="34" charset="0"/>
            </a:rPr>
            <a:t>Least selling day</a:t>
          </a:r>
          <a:endParaRPr lang="en-US" sz="900" b="0" i="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editAs="absolute">
    <xdr:from>
      <xdr:col>10</xdr:col>
      <xdr:colOff>295275</xdr:colOff>
      <xdr:row>25</xdr:row>
      <xdr:rowOff>133350</xdr:rowOff>
    </xdr:from>
    <xdr:to>
      <xdr:col>13</xdr:col>
      <xdr:colOff>38100</xdr:colOff>
      <xdr:row>27</xdr:row>
      <xdr:rowOff>114300</xdr:rowOff>
    </xdr:to>
    <xdr:sp macro="" textlink="Analysis!AM4">
      <xdr:nvSpPr>
        <xdr:cNvPr id="122" name="TextBox 121">
          <a:extLst>
            <a:ext uri="{FF2B5EF4-FFF2-40B4-BE49-F238E27FC236}">
              <a16:creationId xmlns:a16="http://schemas.microsoft.com/office/drawing/2014/main" id="{F1D1FDA3-71A5-47B4-B2FE-219ABF6B7389}"/>
            </a:ext>
          </a:extLst>
        </xdr:cNvPr>
        <xdr:cNvSpPr txBox="1"/>
      </xdr:nvSpPr>
      <xdr:spPr>
        <a:xfrm>
          <a:off x="6391275" y="4895850"/>
          <a:ext cx="15716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2952D7E-DCD1-4A5A-8274-37EB24E68022}" type="TxLink">
            <a:rPr lang="en-US" sz="1400" b="0" i="0" u="none" strike="noStrike">
              <a:solidFill>
                <a:schemeClr val="tx1">
                  <a:lumMod val="65000"/>
                  <a:lumOff val="35000"/>
                </a:schemeClr>
              </a:solidFill>
              <a:latin typeface="Arial Black" panose="020B0A04020102020204" pitchFamily="34" charset="0"/>
              <a:ea typeface="+mn-ea"/>
              <a:cs typeface="Calibri"/>
            </a:rPr>
            <a:pPr marL="0" indent="0" algn="ctr"/>
            <a:t>$1,200 </a:t>
          </a:fld>
          <a:endParaRPr lang="en-US" sz="1400" b="0" i="0" u="none" strike="noStrike">
            <a:solidFill>
              <a:schemeClr val="tx1">
                <a:lumMod val="65000"/>
                <a:lumOff val="35000"/>
              </a:schemeClr>
            </a:solidFill>
            <a:latin typeface="Arial Black" panose="020B0A04020102020204" pitchFamily="34" charset="0"/>
            <a:ea typeface="+mn-ea"/>
            <a:cs typeface="Calibri"/>
          </a:endParaRPr>
        </a:p>
      </xdr:txBody>
    </xdr:sp>
    <xdr:clientData/>
  </xdr:twoCellAnchor>
  <xdr:twoCellAnchor editAs="absolute">
    <xdr:from>
      <xdr:col>11</xdr:col>
      <xdr:colOff>600074</xdr:colOff>
      <xdr:row>24</xdr:row>
      <xdr:rowOff>95250</xdr:rowOff>
    </xdr:from>
    <xdr:to>
      <xdr:col>13</xdr:col>
      <xdr:colOff>447675</xdr:colOff>
      <xdr:row>26</xdr:row>
      <xdr:rowOff>76200</xdr:rowOff>
    </xdr:to>
    <xdr:sp macro="" textlink="Analysis!AL4">
      <xdr:nvSpPr>
        <xdr:cNvPr id="123" name="TextBox 122">
          <a:extLst>
            <a:ext uri="{FF2B5EF4-FFF2-40B4-BE49-F238E27FC236}">
              <a16:creationId xmlns:a16="http://schemas.microsoft.com/office/drawing/2014/main" id="{B1201F4A-8835-4350-AE8A-97D570962476}"/>
            </a:ext>
          </a:extLst>
        </xdr:cNvPr>
        <xdr:cNvSpPr txBox="1"/>
      </xdr:nvSpPr>
      <xdr:spPr>
        <a:xfrm>
          <a:off x="7305674" y="4667250"/>
          <a:ext cx="1066801"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BF113B0-B16A-4B67-AE8F-50C7CE9C044B}" type="TxLink">
            <a:rPr lang="en-US" sz="1100" b="0" i="0" u="none" strike="noStrike">
              <a:solidFill>
                <a:srgbClr val="000000"/>
              </a:solidFill>
              <a:latin typeface="Calibri"/>
              <a:cs typeface="Calibri"/>
            </a:rPr>
            <a:pPr algn="l"/>
            <a:t>10-01-2009</a:t>
          </a:fld>
          <a:endParaRPr lang="en-US" sz="900" b="0" i="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editAs="absolute">
    <xdr:from>
      <xdr:col>4</xdr:col>
      <xdr:colOff>333375</xdr:colOff>
      <xdr:row>27</xdr:row>
      <xdr:rowOff>171450</xdr:rowOff>
    </xdr:from>
    <xdr:to>
      <xdr:col>13</xdr:col>
      <xdr:colOff>514350</xdr:colOff>
      <xdr:row>27</xdr:row>
      <xdr:rowOff>171450</xdr:rowOff>
    </xdr:to>
    <xdr:cxnSp macro="">
      <xdr:nvCxnSpPr>
        <xdr:cNvPr id="19" name="Straight Connector 18">
          <a:extLst>
            <a:ext uri="{FF2B5EF4-FFF2-40B4-BE49-F238E27FC236}">
              <a16:creationId xmlns:a16="http://schemas.microsoft.com/office/drawing/2014/main" id="{9B29CAC4-B68F-476C-98F2-BDE456618005}"/>
            </a:ext>
          </a:extLst>
        </xdr:cNvPr>
        <xdr:cNvCxnSpPr/>
      </xdr:nvCxnSpPr>
      <xdr:spPr>
        <a:xfrm>
          <a:off x="2771775" y="5314950"/>
          <a:ext cx="5667375" cy="0"/>
        </a:xfrm>
        <a:prstGeom prst="line">
          <a:avLst/>
        </a:prstGeom>
        <a:ln w="92075">
          <a:solidFill>
            <a:schemeClr val="bg1">
              <a:lumMod val="75000"/>
              <a:alpha val="3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114300</xdr:colOff>
      <xdr:row>27</xdr:row>
      <xdr:rowOff>171450</xdr:rowOff>
    </xdr:from>
    <xdr:to>
      <xdr:col>13</xdr:col>
      <xdr:colOff>428625</xdr:colOff>
      <xdr:row>29</xdr:row>
      <xdr:rowOff>152400</xdr:rowOff>
    </xdr:to>
    <xdr:sp macro="" textlink="">
      <xdr:nvSpPr>
        <xdr:cNvPr id="124" name="TextBox 123">
          <a:extLst>
            <a:ext uri="{FF2B5EF4-FFF2-40B4-BE49-F238E27FC236}">
              <a16:creationId xmlns:a16="http://schemas.microsoft.com/office/drawing/2014/main" id="{6F4D65B2-8D35-43EC-8E2C-E8B8210A0D67}"/>
            </a:ext>
          </a:extLst>
        </xdr:cNvPr>
        <xdr:cNvSpPr txBox="1"/>
      </xdr:nvSpPr>
      <xdr:spPr>
        <a:xfrm>
          <a:off x="6819900" y="5314950"/>
          <a:ext cx="15335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tx1">
                  <a:lumMod val="75000"/>
                  <a:lumOff val="25000"/>
                </a:schemeClr>
              </a:solidFill>
              <a:latin typeface="Arial" panose="020B0604020202020204" pitchFamily="34" charset="0"/>
              <a:cs typeface="Arial" panose="020B0604020202020204" pitchFamily="34" charset="0"/>
            </a:rPr>
            <a:t>Time range</a:t>
          </a:r>
          <a:r>
            <a:rPr lang="en-US" sz="1050" b="1" baseline="0">
              <a:solidFill>
                <a:schemeClr val="tx1">
                  <a:lumMod val="75000"/>
                  <a:lumOff val="25000"/>
                </a:schemeClr>
              </a:solidFill>
              <a:latin typeface="Arial" panose="020B0604020202020204" pitchFamily="34" charset="0"/>
              <a:cs typeface="Arial" panose="020B0604020202020204" pitchFamily="34" charset="0"/>
            </a:rPr>
            <a:t> analysis</a:t>
          </a:r>
          <a:endParaRPr lang="en-US" sz="105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editAs="absolute">
    <xdr:from>
      <xdr:col>5</xdr:col>
      <xdr:colOff>47625</xdr:colOff>
      <xdr:row>25</xdr:row>
      <xdr:rowOff>28575</xdr:rowOff>
    </xdr:from>
    <xdr:to>
      <xdr:col>5</xdr:col>
      <xdr:colOff>142875</xdr:colOff>
      <xdr:row>25</xdr:row>
      <xdr:rowOff>123825</xdr:rowOff>
    </xdr:to>
    <xdr:sp macro="" textlink="">
      <xdr:nvSpPr>
        <xdr:cNvPr id="20" name="Oval 19">
          <a:extLst>
            <a:ext uri="{FF2B5EF4-FFF2-40B4-BE49-F238E27FC236}">
              <a16:creationId xmlns:a16="http://schemas.microsoft.com/office/drawing/2014/main" id="{DC73B3C4-2927-4CDD-8B08-C0AFE9DBEEBD}"/>
            </a:ext>
          </a:extLst>
        </xdr:cNvPr>
        <xdr:cNvSpPr/>
      </xdr:nvSpPr>
      <xdr:spPr>
        <a:xfrm>
          <a:off x="3095625" y="4791075"/>
          <a:ext cx="95250" cy="95250"/>
        </a:xfrm>
        <a:prstGeom prst="ellips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247650</xdr:colOff>
      <xdr:row>25</xdr:row>
      <xdr:rowOff>28575</xdr:rowOff>
    </xdr:from>
    <xdr:to>
      <xdr:col>10</xdr:col>
      <xdr:colOff>342900</xdr:colOff>
      <xdr:row>25</xdr:row>
      <xdr:rowOff>123825</xdr:rowOff>
    </xdr:to>
    <xdr:sp macro="" textlink="">
      <xdr:nvSpPr>
        <xdr:cNvPr id="125" name="Oval 124">
          <a:extLst>
            <a:ext uri="{FF2B5EF4-FFF2-40B4-BE49-F238E27FC236}">
              <a16:creationId xmlns:a16="http://schemas.microsoft.com/office/drawing/2014/main" id="{18C2CCAC-4965-44E1-AD6E-708FDB400047}"/>
            </a:ext>
          </a:extLst>
        </xdr:cNvPr>
        <xdr:cNvSpPr/>
      </xdr:nvSpPr>
      <xdr:spPr>
        <a:xfrm>
          <a:off x="6343650" y="4791075"/>
          <a:ext cx="95250" cy="95250"/>
        </a:xfrm>
        <a:prstGeom prst="ellipse">
          <a:avLst/>
        </a:prstGeom>
        <a:solidFill>
          <a:srgbClr val="E01A8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247650</xdr:colOff>
      <xdr:row>6</xdr:row>
      <xdr:rowOff>180975</xdr:rowOff>
    </xdr:from>
    <xdr:to>
      <xdr:col>3</xdr:col>
      <xdr:colOff>430530</xdr:colOff>
      <xdr:row>7</xdr:row>
      <xdr:rowOff>173355</xdr:rowOff>
    </xdr:to>
    <xdr:sp macro="" textlink="">
      <xdr:nvSpPr>
        <xdr:cNvPr id="23" name="Arrow: Chevron 22">
          <a:extLst>
            <a:ext uri="{FF2B5EF4-FFF2-40B4-BE49-F238E27FC236}">
              <a16:creationId xmlns:a16="http://schemas.microsoft.com/office/drawing/2014/main" id="{A5C89526-BD8B-4981-83F2-C3343894767A}"/>
            </a:ext>
          </a:extLst>
        </xdr:cNvPr>
        <xdr:cNvSpPr/>
      </xdr:nvSpPr>
      <xdr:spPr>
        <a:xfrm>
          <a:off x="2076450" y="1323975"/>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3</xdr:col>
      <xdr:colOff>247650</xdr:colOff>
      <xdr:row>9</xdr:row>
      <xdr:rowOff>95250</xdr:rowOff>
    </xdr:from>
    <xdr:to>
      <xdr:col>3</xdr:col>
      <xdr:colOff>430530</xdr:colOff>
      <xdr:row>10</xdr:row>
      <xdr:rowOff>87630</xdr:rowOff>
    </xdr:to>
    <xdr:sp macro="" textlink="">
      <xdr:nvSpPr>
        <xdr:cNvPr id="126" name="Arrow: Chevron 125">
          <a:extLst>
            <a:ext uri="{FF2B5EF4-FFF2-40B4-BE49-F238E27FC236}">
              <a16:creationId xmlns:a16="http://schemas.microsoft.com/office/drawing/2014/main" id="{1C9FAAEE-CB3E-467A-AE08-03A39032E629}"/>
            </a:ext>
          </a:extLst>
        </xdr:cNvPr>
        <xdr:cNvSpPr/>
      </xdr:nvSpPr>
      <xdr:spPr>
        <a:xfrm>
          <a:off x="2076450" y="1809750"/>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247650</xdr:colOff>
      <xdr:row>12</xdr:row>
      <xdr:rowOff>19050</xdr:rowOff>
    </xdr:from>
    <xdr:to>
      <xdr:col>3</xdr:col>
      <xdr:colOff>430530</xdr:colOff>
      <xdr:row>13</xdr:row>
      <xdr:rowOff>11430</xdr:rowOff>
    </xdr:to>
    <xdr:sp macro="" textlink="">
      <xdr:nvSpPr>
        <xdr:cNvPr id="127" name="Arrow: Chevron 126">
          <a:extLst>
            <a:ext uri="{FF2B5EF4-FFF2-40B4-BE49-F238E27FC236}">
              <a16:creationId xmlns:a16="http://schemas.microsoft.com/office/drawing/2014/main" id="{FF76AF77-4B46-41BC-B20F-F0415439CA4E}"/>
            </a:ext>
          </a:extLst>
        </xdr:cNvPr>
        <xdr:cNvSpPr/>
      </xdr:nvSpPr>
      <xdr:spPr>
        <a:xfrm>
          <a:off x="2076450" y="2305050"/>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247650</xdr:colOff>
      <xdr:row>14</xdr:row>
      <xdr:rowOff>142875</xdr:rowOff>
    </xdr:from>
    <xdr:to>
      <xdr:col>3</xdr:col>
      <xdr:colOff>430530</xdr:colOff>
      <xdr:row>15</xdr:row>
      <xdr:rowOff>135255</xdr:rowOff>
    </xdr:to>
    <xdr:sp macro="" textlink="">
      <xdr:nvSpPr>
        <xdr:cNvPr id="128" name="Arrow: Chevron 127">
          <a:extLst>
            <a:ext uri="{FF2B5EF4-FFF2-40B4-BE49-F238E27FC236}">
              <a16:creationId xmlns:a16="http://schemas.microsoft.com/office/drawing/2014/main" id="{1763E9AC-D141-4C3A-9B71-29BE571E32DA}"/>
            </a:ext>
          </a:extLst>
        </xdr:cNvPr>
        <xdr:cNvSpPr/>
      </xdr:nvSpPr>
      <xdr:spPr>
        <a:xfrm>
          <a:off x="2076450" y="2809875"/>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247650</xdr:colOff>
      <xdr:row>17</xdr:row>
      <xdr:rowOff>28575</xdr:rowOff>
    </xdr:from>
    <xdr:to>
      <xdr:col>3</xdr:col>
      <xdr:colOff>430530</xdr:colOff>
      <xdr:row>18</xdr:row>
      <xdr:rowOff>20955</xdr:rowOff>
    </xdr:to>
    <xdr:sp macro="" textlink="">
      <xdr:nvSpPr>
        <xdr:cNvPr id="129" name="Arrow: Chevron 128">
          <a:extLst>
            <a:ext uri="{FF2B5EF4-FFF2-40B4-BE49-F238E27FC236}">
              <a16:creationId xmlns:a16="http://schemas.microsoft.com/office/drawing/2014/main" id="{183D3395-4565-41A6-8CBE-97E15B2B5A5F}"/>
            </a:ext>
          </a:extLst>
        </xdr:cNvPr>
        <xdr:cNvSpPr/>
      </xdr:nvSpPr>
      <xdr:spPr>
        <a:xfrm>
          <a:off x="2076450" y="3267075"/>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247650</xdr:colOff>
      <xdr:row>19</xdr:row>
      <xdr:rowOff>142875</xdr:rowOff>
    </xdr:from>
    <xdr:to>
      <xdr:col>3</xdr:col>
      <xdr:colOff>430530</xdr:colOff>
      <xdr:row>20</xdr:row>
      <xdr:rowOff>135255</xdr:rowOff>
    </xdr:to>
    <xdr:sp macro="" textlink="">
      <xdr:nvSpPr>
        <xdr:cNvPr id="130" name="Arrow: Chevron 129">
          <a:extLst>
            <a:ext uri="{FF2B5EF4-FFF2-40B4-BE49-F238E27FC236}">
              <a16:creationId xmlns:a16="http://schemas.microsoft.com/office/drawing/2014/main" id="{8B5D5924-BB71-4927-8C86-9F3A7303CF35}"/>
            </a:ext>
          </a:extLst>
        </xdr:cNvPr>
        <xdr:cNvSpPr/>
      </xdr:nvSpPr>
      <xdr:spPr>
        <a:xfrm>
          <a:off x="2076450" y="3762375"/>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247650</xdr:colOff>
      <xdr:row>22</xdr:row>
      <xdr:rowOff>57150</xdr:rowOff>
    </xdr:from>
    <xdr:to>
      <xdr:col>3</xdr:col>
      <xdr:colOff>430530</xdr:colOff>
      <xdr:row>23</xdr:row>
      <xdr:rowOff>49530</xdr:rowOff>
    </xdr:to>
    <xdr:sp macro="" textlink="">
      <xdr:nvSpPr>
        <xdr:cNvPr id="131" name="Arrow: Chevron 130">
          <a:extLst>
            <a:ext uri="{FF2B5EF4-FFF2-40B4-BE49-F238E27FC236}">
              <a16:creationId xmlns:a16="http://schemas.microsoft.com/office/drawing/2014/main" id="{68865859-AFB4-40E9-AF5B-459C60B0CBA2}"/>
            </a:ext>
          </a:extLst>
        </xdr:cNvPr>
        <xdr:cNvSpPr/>
      </xdr:nvSpPr>
      <xdr:spPr>
        <a:xfrm>
          <a:off x="2076450" y="4248150"/>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1</xdr:col>
      <xdr:colOff>231000</xdr:colOff>
      <xdr:row>6</xdr:row>
      <xdr:rowOff>95250</xdr:rowOff>
    </xdr:from>
    <xdr:to>
      <xdr:col>1</xdr:col>
      <xdr:colOff>552450</xdr:colOff>
      <xdr:row>8</xdr:row>
      <xdr:rowOff>35700</xdr:rowOff>
    </xdr:to>
    <xdr:pic>
      <xdr:nvPicPr>
        <xdr:cNvPr id="134" name="Graphic 133" descr="Monthly calendar">
          <a:extLst>
            <a:ext uri="{FF2B5EF4-FFF2-40B4-BE49-F238E27FC236}">
              <a16:creationId xmlns:a16="http://schemas.microsoft.com/office/drawing/2014/main" id="{EDD49383-C2F4-467C-8473-6F5A10C8945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840600" y="1238250"/>
          <a:ext cx="321450" cy="321450"/>
        </a:xfrm>
        <a:prstGeom prst="rect">
          <a:avLst/>
        </a:prstGeom>
      </xdr:spPr>
    </xdr:pic>
    <xdr:clientData/>
  </xdr:twoCellAnchor>
  <xdr:twoCellAnchor editAs="absolute">
    <xdr:from>
      <xdr:col>1</xdr:col>
      <xdr:colOff>152400</xdr:colOff>
      <xdr:row>26</xdr:row>
      <xdr:rowOff>142874</xdr:rowOff>
    </xdr:from>
    <xdr:to>
      <xdr:col>4</xdr:col>
      <xdr:colOff>19050</xdr:colOff>
      <xdr:row>30</xdr:row>
      <xdr:rowOff>19049</xdr:rowOff>
    </xdr:to>
    <xdr:sp macro="" textlink="Analysis!W32">
      <xdr:nvSpPr>
        <xdr:cNvPr id="141" name="TextBox 140">
          <a:extLst>
            <a:ext uri="{FF2B5EF4-FFF2-40B4-BE49-F238E27FC236}">
              <a16:creationId xmlns:a16="http://schemas.microsoft.com/office/drawing/2014/main" id="{C3F51868-BF0B-485A-A4B1-D530600F1BBD}"/>
            </a:ext>
          </a:extLst>
        </xdr:cNvPr>
        <xdr:cNvSpPr txBox="1"/>
      </xdr:nvSpPr>
      <xdr:spPr>
        <a:xfrm>
          <a:off x="762000" y="5095874"/>
          <a:ext cx="1695450"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41EE482-B2EC-4054-861F-708DAF0B67A6}" type="TxLink">
            <a:rPr lang="en-US" sz="1100" b="1" i="1" u="none" strike="noStrike">
              <a:solidFill>
                <a:schemeClr val="bg1">
                  <a:lumMod val="85000"/>
                </a:schemeClr>
              </a:solidFill>
              <a:latin typeface="Calibri"/>
              <a:ea typeface="+mn-ea"/>
              <a:cs typeface="Calibri"/>
            </a:rPr>
            <a:pPr marL="0" indent="0" algn="ctr"/>
            <a:t>There is no enough data to display insight</a:t>
          </a:fld>
          <a:endParaRPr lang="en-US" sz="1100" b="1" i="1" u="none" strike="noStrike">
            <a:solidFill>
              <a:schemeClr val="bg1">
                <a:lumMod val="85000"/>
              </a:schemeClr>
            </a:solidFill>
            <a:latin typeface="Calibri"/>
            <a:ea typeface="+mn-ea"/>
            <a:cs typeface="Calibri"/>
          </a:endParaRPr>
        </a:p>
      </xdr:txBody>
    </xdr:sp>
    <xdr:clientData/>
  </xdr:twoCellAnchor>
  <xdr:twoCellAnchor editAs="absolute">
    <xdr:from>
      <xdr:col>1</xdr:col>
      <xdr:colOff>57150</xdr:colOff>
      <xdr:row>30</xdr:row>
      <xdr:rowOff>171449</xdr:rowOff>
    </xdr:from>
    <xdr:to>
      <xdr:col>4</xdr:col>
      <xdr:colOff>114300</xdr:colOff>
      <xdr:row>34</xdr:row>
      <xdr:rowOff>47624</xdr:rowOff>
    </xdr:to>
    <xdr:sp macro="" textlink="Analysis!W31">
      <xdr:nvSpPr>
        <xdr:cNvPr id="142" name="TextBox 141">
          <a:extLst>
            <a:ext uri="{FF2B5EF4-FFF2-40B4-BE49-F238E27FC236}">
              <a16:creationId xmlns:a16="http://schemas.microsoft.com/office/drawing/2014/main" id="{B7C6160C-8380-4501-9091-6CBA29A1BBC9}"/>
            </a:ext>
          </a:extLst>
        </xdr:cNvPr>
        <xdr:cNvSpPr txBox="1"/>
      </xdr:nvSpPr>
      <xdr:spPr>
        <a:xfrm>
          <a:off x="666750" y="5886449"/>
          <a:ext cx="1885950"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1" u="none" strike="noStrike">
              <a:solidFill>
                <a:srgbClr val="002060"/>
              </a:solidFill>
              <a:latin typeface="Calibri"/>
              <a:ea typeface="+mn-ea"/>
              <a:cs typeface="Calibri"/>
            </a:rPr>
            <a:t>Above helps you</a:t>
          </a:r>
          <a:r>
            <a:rPr lang="en-US" sz="1100" b="1" i="1" u="none" strike="noStrike" baseline="0">
              <a:solidFill>
                <a:srgbClr val="002060"/>
              </a:solidFill>
              <a:latin typeface="Calibri"/>
              <a:ea typeface="+mn-ea"/>
              <a:cs typeface="Calibri"/>
            </a:rPr>
            <a:t> to understand the best selling time rage.</a:t>
          </a:r>
          <a:endParaRPr lang="en-US" sz="1200" b="1" i="1">
            <a:solidFill>
              <a:srgbClr val="002060"/>
            </a:solidFill>
            <a:latin typeface="Arial" panose="020B0604020202020204" pitchFamily="34" charset="0"/>
            <a:ea typeface="+mn-ea"/>
            <a:cs typeface="Arial" panose="020B0604020202020204" pitchFamily="34" charset="0"/>
          </a:endParaRPr>
        </a:p>
      </xdr:txBody>
    </xdr:sp>
    <xdr:clientData/>
  </xdr:twoCellAnchor>
  <xdr:twoCellAnchor editAs="absolute">
    <xdr:from>
      <xdr:col>19</xdr:col>
      <xdr:colOff>400049</xdr:colOff>
      <xdr:row>2</xdr:row>
      <xdr:rowOff>47625</xdr:rowOff>
    </xdr:from>
    <xdr:to>
      <xdr:col>19</xdr:col>
      <xdr:colOff>523874</xdr:colOff>
      <xdr:row>4</xdr:row>
      <xdr:rowOff>123825</xdr:rowOff>
    </xdr:to>
    <xdr:sp macro="" textlink="">
      <xdr:nvSpPr>
        <xdr:cNvPr id="143" name="Rectangle 142">
          <a:extLst>
            <a:ext uri="{FF2B5EF4-FFF2-40B4-BE49-F238E27FC236}">
              <a16:creationId xmlns:a16="http://schemas.microsoft.com/office/drawing/2014/main" id="{CB4DE40F-ED08-4AB8-884F-8303A3C455FF}"/>
            </a:ext>
          </a:extLst>
        </xdr:cNvPr>
        <xdr:cNvSpPr/>
      </xdr:nvSpPr>
      <xdr:spPr>
        <a:xfrm>
          <a:off x="11982449" y="428625"/>
          <a:ext cx="123825" cy="457200"/>
        </a:xfrm>
        <a:prstGeom prst="rect">
          <a:avLst/>
        </a:prstGeom>
        <a:solidFill>
          <a:srgbClr val="E01A8B"/>
        </a:solidFill>
        <a:ln>
          <a:noFill/>
        </a:ln>
        <a:effectLst>
          <a:outerShdw blurRad="6350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304799</xdr:colOff>
      <xdr:row>2</xdr:row>
      <xdr:rowOff>47625</xdr:rowOff>
    </xdr:from>
    <xdr:to>
      <xdr:col>4</xdr:col>
      <xdr:colOff>428624</xdr:colOff>
      <xdr:row>4</xdr:row>
      <xdr:rowOff>123825</xdr:rowOff>
    </xdr:to>
    <xdr:sp macro="" textlink="">
      <xdr:nvSpPr>
        <xdr:cNvPr id="105" name="Rectangle 104">
          <a:extLst>
            <a:ext uri="{FF2B5EF4-FFF2-40B4-BE49-F238E27FC236}">
              <a16:creationId xmlns:a16="http://schemas.microsoft.com/office/drawing/2014/main" id="{3DD2F6EC-6AA6-4568-9007-14836BEE0579}"/>
            </a:ext>
          </a:extLst>
        </xdr:cNvPr>
        <xdr:cNvSpPr/>
      </xdr:nvSpPr>
      <xdr:spPr>
        <a:xfrm>
          <a:off x="2743199" y="428625"/>
          <a:ext cx="123825" cy="457200"/>
        </a:xfrm>
        <a:prstGeom prst="rect">
          <a:avLst/>
        </a:prstGeom>
        <a:solidFill>
          <a:srgbClr val="00B0F0"/>
        </a:solidFill>
        <a:ln>
          <a:noFill/>
        </a:ln>
        <a:effectLst>
          <a:outerShdw blurRad="6350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231000</xdr:colOff>
      <xdr:row>13</xdr:row>
      <xdr:rowOff>166725</xdr:rowOff>
    </xdr:from>
    <xdr:to>
      <xdr:col>1</xdr:col>
      <xdr:colOff>523608</xdr:colOff>
      <xdr:row>15</xdr:row>
      <xdr:rowOff>78333</xdr:rowOff>
    </xdr:to>
    <xdr:pic>
      <xdr:nvPicPr>
        <xdr:cNvPr id="115" name="Graphic 114" descr="Gold bars">
          <a:extLst>
            <a:ext uri="{FF2B5EF4-FFF2-40B4-BE49-F238E27FC236}">
              <a16:creationId xmlns:a16="http://schemas.microsoft.com/office/drawing/2014/main" id="{9E1277FA-5111-4469-92AD-772424D2785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840600" y="2643225"/>
          <a:ext cx="292608" cy="292608"/>
        </a:xfrm>
        <a:prstGeom prst="rect">
          <a:avLst/>
        </a:prstGeom>
      </xdr:spPr>
    </xdr:pic>
    <xdr:clientData/>
  </xdr:twoCellAnchor>
  <xdr:twoCellAnchor editAs="oneCell">
    <xdr:from>
      <xdr:col>1</xdr:col>
      <xdr:colOff>231000</xdr:colOff>
      <xdr:row>9</xdr:row>
      <xdr:rowOff>0</xdr:rowOff>
    </xdr:from>
    <xdr:to>
      <xdr:col>1</xdr:col>
      <xdr:colOff>523608</xdr:colOff>
      <xdr:row>10</xdr:row>
      <xdr:rowOff>102108</xdr:rowOff>
    </xdr:to>
    <xdr:pic>
      <xdr:nvPicPr>
        <xdr:cNvPr id="117" name="Graphic 116" descr="Flip calendar">
          <a:extLst>
            <a:ext uri="{FF2B5EF4-FFF2-40B4-BE49-F238E27FC236}">
              <a16:creationId xmlns:a16="http://schemas.microsoft.com/office/drawing/2014/main" id="{3B32BD02-F64C-4AA9-9BDD-EB8C1863A09B}"/>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840600" y="1714500"/>
          <a:ext cx="292608" cy="292608"/>
        </a:xfrm>
        <a:prstGeom prst="rect">
          <a:avLst/>
        </a:prstGeom>
      </xdr:spPr>
    </xdr:pic>
    <xdr:clientData/>
  </xdr:twoCellAnchor>
  <xdr:twoCellAnchor editAs="oneCell">
    <xdr:from>
      <xdr:col>1</xdr:col>
      <xdr:colOff>231000</xdr:colOff>
      <xdr:row>11</xdr:row>
      <xdr:rowOff>111750</xdr:rowOff>
    </xdr:from>
    <xdr:to>
      <xdr:col>1</xdr:col>
      <xdr:colOff>523608</xdr:colOff>
      <xdr:row>13</xdr:row>
      <xdr:rowOff>23358</xdr:rowOff>
    </xdr:to>
    <xdr:pic>
      <xdr:nvPicPr>
        <xdr:cNvPr id="133" name="Graphic 132" descr="Voice">
          <a:extLst>
            <a:ext uri="{FF2B5EF4-FFF2-40B4-BE49-F238E27FC236}">
              <a16:creationId xmlns:a16="http://schemas.microsoft.com/office/drawing/2014/main" id="{F90D9724-8996-49A5-B1AE-F0D3DD7F4AF8}"/>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840600" y="2207250"/>
          <a:ext cx="292608" cy="292608"/>
        </a:xfrm>
        <a:prstGeom prst="rect">
          <a:avLst/>
        </a:prstGeom>
      </xdr:spPr>
    </xdr:pic>
    <xdr:clientData/>
  </xdr:twoCellAnchor>
  <xdr:twoCellAnchor editAs="oneCell">
    <xdr:from>
      <xdr:col>1</xdr:col>
      <xdr:colOff>231000</xdr:colOff>
      <xdr:row>19</xdr:row>
      <xdr:rowOff>21225</xdr:rowOff>
    </xdr:from>
    <xdr:to>
      <xdr:col>1</xdr:col>
      <xdr:colOff>523608</xdr:colOff>
      <xdr:row>20</xdr:row>
      <xdr:rowOff>123333</xdr:rowOff>
    </xdr:to>
    <xdr:pic>
      <xdr:nvPicPr>
        <xdr:cNvPr id="135" name="Graphic 134" descr="Decision chart">
          <a:extLst>
            <a:ext uri="{FF2B5EF4-FFF2-40B4-BE49-F238E27FC236}">
              <a16:creationId xmlns:a16="http://schemas.microsoft.com/office/drawing/2014/main" id="{F40AB388-A313-4F0B-A94D-8C6FB09F535B}"/>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40600" y="3640725"/>
          <a:ext cx="292608" cy="292608"/>
        </a:xfrm>
        <a:prstGeom prst="rect">
          <a:avLst/>
        </a:prstGeom>
      </xdr:spPr>
    </xdr:pic>
    <xdr:clientData/>
  </xdr:twoCellAnchor>
  <xdr:twoCellAnchor editAs="oneCell">
    <xdr:from>
      <xdr:col>1</xdr:col>
      <xdr:colOff>231000</xdr:colOff>
      <xdr:row>16</xdr:row>
      <xdr:rowOff>175950</xdr:rowOff>
    </xdr:from>
    <xdr:to>
      <xdr:col>1</xdr:col>
      <xdr:colOff>523608</xdr:colOff>
      <xdr:row>18</xdr:row>
      <xdr:rowOff>87558</xdr:rowOff>
    </xdr:to>
    <xdr:pic>
      <xdr:nvPicPr>
        <xdr:cNvPr id="144" name="Graphic 143" descr="Branching diagram">
          <a:extLst>
            <a:ext uri="{FF2B5EF4-FFF2-40B4-BE49-F238E27FC236}">
              <a16:creationId xmlns:a16="http://schemas.microsoft.com/office/drawing/2014/main" id="{3E2410A5-4F87-41D0-9D73-F201FF8394E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0600" y="3223950"/>
          <a:ext cx="292608" cy="292608"/>
        </a:xfrm>
        <a:prstGeom prst="rect">
          <a:avLst/>
        </a:prstGeom>
      </xdr:spPr>
    </xdr:pic>
    <xdr:clientData/>
  </xdr:twoCellAnchor>
  <xdr:twoCellAnchor editAs="oneCell">
    <xdr:from>
      <xdr:col>6</xdr:col>
      <xdr:colOff>557250</xdr:colOff>
      <xdr:row>12</xdr:row>
      <xdr:rowOff>78333</xdr:rowOff>
    </xdr:from>
    <xdr:to>
      <xdr:col>7</xdr:col>
      <xdr:colOff>342900</xdr:colOff>
      <xdr:row>14</xdr:row>
      <xdr:rowOff>92583</xdr:rowOff>
    </xdr:to>
    <xdr:pic>
      <xdr:nvPicPr>
        <xdr:cNvPr id="145" name="Graphic 144" descr="Register">
          <a:extLst>
            <a:ext uri="{FF2B5EF4-FFF2-40B4-BE49-F238E27FC236}">
              <a16:creationId xmlns:a16="http://schemas.microsoft.com/office/drawing/2014/main" id="{F428309C-0F19-4CE9-8BFA-96772D3B12B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214850" y="2364333"/>
          <a:ext cx="395250" cy="395250"/>
        </a:xfrm>
        <a:prstGeom prst="rect">
          <a:avLst/>
        </a:prstGeom>
      </xdr:spPr>
    </xdr:pic>
    <xdr:clientData/>
  </xdr:twoCellAnchor>
  <xdr:twoCellAnchor editAs="oneCell">
    <xdr:from>
      <xdr:col>1</xdr:col>
      <xdr:colOff>231000</xdr:colOff>
      <xdr:row>21</xdr:row>
      <xdr:rowOff>166650</xdr:rowOff>
    </xdr:from>
    <xdr:to>
      <xdr:col>1</xdr:col>
      <xdr:colOff>523608</xdr:colOff>
      <xdr:row>23</xdr:row>
      <xdr:rowOff>78258</xdr:rowOff>
    </xdr:to>
    <xdr:pic>
      <xdr:nvPicPr>
        <xdr:cNvPr id="146" name="Graphic 145" descr="Braille">
          <a:extLst>
            <a:ext uri="{FF2B5EF4-FFF2-40B4-BE49-F238E27FC236}">
              <a16:creationId xmlns:a16="http://schemas.microsoft.com/office/drawing/2014/main" id="{4929CF28-830A-4DDC-A7F2-7D115ECE20D3}"/>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40600" y="4167150"/>
          <a:ext cx="292608" cy="292608"/>
        </a:xfrm>
        <a:prstGeom prst="rect">
          <a:avLst/>
        </a:prstGeom>
      </xdr:spPr>
    </xdr:pic>
    <xdr:clientData/>
  </xdr:twoCellAnchor>
  <xdr:twoCellAnchor editAs="oneCell">
    <xdr:from>
      <xdr:col>4</xdr:col>
      <xdr:colOff>504825</xdr:colOff>
      <xdr:row>2</xdr:row>
      <xdr:rowOff>57149</xdr:rowOff>
    </xdr:from>
    <xdr:to>
      <xdr:col>5</xdr:col>
      <xdr:colOff>304800</xdr:colOff>
      <xdr:row>4</xdr:row>
      <xdr:rowOff>85724</xdr:rowOff>
    </xdr:to>
    <xdr:pic>
      <xdr:nvPicPr>
        <xdr:cNvPr id="147" name="Graphic 146" descr="Shopping basket">
          <a:extLst>
            <a:ext uri="{FF2B5EF4-FFF2-40B4-BE49-F238E27FC236}">
              <a16:creationId xmlns:a16="http://schemas.microsoft.com/office/drawing/2014/main" id="{637357A6-A279-44C7-9E1D-0F4457092B64}"/>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43225" y="438149"/>
          <a:ext cx="409575" cy="409575"/>
        </a:xfrm>
        <a:prstGeom prst="rect">
          <a:avLst/>
        </a:prstGeom>
      </xdr:spPr>
    </xdr:pic>
    <xdr:clientData/>
  </xdr:twoCellAnchor>
  <xdr:twoCellAnchor editAs="absolute">
    <xdr:from>
      <xdr:col>14</xdr:col>
      <xdr:colOff>171450</xdr:colOff>
      <xdr:row>15</xdr:row>
      <xdr:rowOff>180975</xdr:rowOff>
    </xdr:from>
    <xdr:to>
      <xdr:col>17</xdr:col>
      <xdr:colOff>9525</xdr:colOff>
      <xdr:row>15</xdr:row>
      <xdr:rowOff>180975</xdr:rowOff>
    </xdr:to>
    <xdr:cxnSp macro="">
      <xdr:nvCxnSpPr>
        <xdr:cNvPr id="114" name="Straight Connector 113">
          <a:extLst>
            <a:ext uri="{FF2B5EF4-FFF2-40B4-BE49-F238E27FC236}">
              <a16:creationId xmlns:a16="http://schemas.microsoft.com/office/drawing/2014/main" id="{DFC073E4-E164-4BC6-BAB8-F3F306FE065F}"/>
            </a:ext>
          </a:extLst>
        </xdr:cNvPr>
        <xdr:cNvCxnSpPr/>
      </xdr:nvCxnSpPr>
      <xdr:spPr>
        <a:xfrm>
          <a:off x="8705850" y="3038475"/>
          <a:ext cx="1666875" cy="0"/>
        </a:xfrm>
        <a:prstGeom prst="line">
          <a:avLst/>
        </a:prstGeom>
        <a:ln w="50800">
          <a:solidFill>
            <a:schemeClr val="tx1">
              <a:lumMod val="75000"/>
              <a:lumOff val="25000"/>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557.982809606481" createdVersion="6" refreshedVersion="6" minRefreshableVersion="3" recordCount="998" xr:uid="{9B67A878-BB16-46CF-BA54-E8A581526145}">
  <cacheSource type="worksheet">
    <worksheetSource name="Table1_2"/>
  </cacheSource>
  <cacheFields count="11">
    <cacheField name="Transaction date" numFmtId="167">
      <sharedItems containsSemiMixedTypes="0" containsNonDate="0" containsDate="1" containsString="0" minDate="2009-01-01T00:00:00" maxDate="2009-02-01T00:00:00" count="31">
        <d v="2009-01-02T00:00:00"/>
        <d v="2009-01-04T00:00:00"/>
        <d v="2009-01-05T00:00:00"/>
        <d v="2009-01-06T00:00:00"/>
        <d v="2009-01-01T00:00:00"/>
        <d v="2009-01-07T00:00:00"/>
        <d v="2009-01-08T00:00:00"/>
        <d v="2009-01-03T00:00:00"/>
        <d v="2009-01-09T00:00:00"/>
        <d v="2009-01-10T00:00:00"/>
        <d v="2009-01-12T00:00:00"/>
        <d v="2009-01-11T00:00:00"/>
        <d v="2009-01-13T00:00:00"/>
        <d v="2009-01-14T00:00:00"/>
        <d v="2009-01-15T00:00:00"/>
        <d v="2009-01-16T00:00:00"/>
        <d v="2009-01-17T00:00:00"/>
        <d v="2009-01-18T00:00:00"/>
        <d v="2009-01-19T00:00:00"/>
        <d v="2009-01-20T00:00:00"/>
        <d v="2009-01-21T00:00:00"/>
        <d v="2009-01-22T00:00:00"/>
        <d v="2009-01-23T00:00:00"/>
        <d v="2009-01-25T00:00:00"/>
        <d v="2009-01-26T00:00:00"/>
        <d v="2009-01-24T00:00:00"/>
        <d v="2009-01-27T00:00:00"/>
        <d v="2009-01-28T00:00:00"/>
        <d v="2009-01-29T00:00:00"/>
        <d v="2009-01-30T00:00:00"/>
        <d v="2009-01-31T00:00:00"/>
      </sharedItems>
    </cacheField>
    <cacheField name="Transaction time.1" numFmtId="166">
      <sharedItems containsSemiMixedTypes="0" containsNonDate="0" containsDate="1" containsString="0" minDate="1899-12-30T01:01:00" maxDate="1899-12-30T12:59:00" count="535">
        <d v="1899-12-30T04:53:00"/>
        <d v="1899-12-30T01:08:00"/>
        <d v="1899-12-30T12:56:00"/>
        <d v="1899-12-30T08:09:00"/>
        <d v="1899-12-30T02:42:00"/>
        <d v="1899-12-30T09:16:00"/>
        <d v="1899-12-30T10:08:00"/>
        <d v="1899-12-30T02:18:00"/>
        <d v="1899-12-30T07:35:00"/>
        <d v="1899-12-30T07:18:00"/>
        <d v="1899-12-30T02:24:00"/>
        <d v="1899-12-30T08:08:00"/>
        <d v="1899-12-30T08:21:00"/>
        <d v="1899-12-30T12:42:00"/>
        <d v="1899-12-30T03:56:00"/>
        <d v="1899-12-30T03:16:00"/>
        <d v="1899-12-30T09:03:00"/>
        <d v="1899-12-30T07:46:00"/>
        <d v="1899-12-30T04:24:00"/>
        <d v="1899-12-30T06:39:00"/>
        <d v="1899-12-30T10:19:00"/>
        <d v="1899-12-30T11:00:00"/>
        <d v="1899-12-30T07:44:00"/>
        <d v="1899-12-30T03:12:00"/>
        <d v="1899-12-30T08:15:00"/>
        <d v="1899-12-30T10:11:00"/>
        <d v="1899-12-30T12:57:00"/>
        <d v="1899-12-30T12:05:00"/>
        <d v="1899-12-30T02:56:00"/>
        <d v="1899-12-30T10:01:00"/>
        <d v="1899-12-30T01:26:00"/>
        <d v="1899-12-30T06:18:00"/>
        <d v="1899-12-30T03:25:00"/>
        <d v="1899-12-30T10:00:00"/>
        <d v="1899-12-30T06:13:00"/>
        <d v="1899-12-30T11:41:00"/>
        <d v="1899-12-30T07:50:00"/>
        <d v="1899-12-30T03:03:00"/>
        <d v="1899-12-30T11:26:00"/>
        <d v="1899-12-30T04:54:00"/>
        <d v="1899-12-30T01:56:00"/>
        <d v="1899-12-30T11:56:00"/>
        <d v="1899-12-30T07:32:00"/>
        <d v="1899-12-30T07:39:00"/>
        <d v="1899-12-30T02:40:00"/>
        <d v="1899-12-30T03:39:00"/>
        <d v="1899-12-30T05:21:00"/>
        <d v="1899-12-30T04:12:00"/>
        <d v="1899-12-30T10:48:00"/>
        <d v="1899-12-30T09:10:00"/>
        <d v="1899-12-30T10:44:00"/>
        <d v="1899-12-30T12:33:00"/>
        <d v="1899-12-30T11:35:00"/>
        <d v="1899-12-30T03:40:00"/>
        <d v="1899-12-30T11:08:00"/>
        <d v="1899-12-30T07:21:00"/>
        <d v="1899-12-30T09:56:00"/>
        <d v="1899-12-30T05:41:00"/>
        <d v="1899-12-30T05:33:00"/>
        <d v="1899-12-30T08:59:00"/>
        <d v="1899-12-30T12:19:00"/>
        <d v="1899-12-30T02:03:00"/>
        <d v="1899-12-30T12:37:00"/>
        <d v="1899-12-30T07:43:00"/>
        <d v="1899-12-30T04:22:00"/>
        <d v="1899-12-30T05:27:00"/>
        <d v="1899-12-30T05:02:00"/>
        <d v="1899-12-30T02:16:00"/>
        <d v="1899-12-30T11:53:00"/>
        <d v="1899-12-30T12:04:00"/>
        <d v="1899-12-30T07:54:00"/>
        <d v="1899-12-30T09:06:00"/>
        <d v="1899-12-30T06:32:00"/>
        <d v="1899-12-30T04:32:00"/>
        <d v="1899-12-30T05:04:00"/>
        <d v="1899-12-30T05:20:00"/>
        <d v="1899-12-30T05:39:00"/>
        <d v="1899-12-30T11:20:00"/>
        <d v="1899-12-30T04:50:00"/>
        <d v="1899-12-30T06:52:00"/>
        <d v="1899-12-30T11:17:00"/>
        <d v="1899-12-30T07:37:00"/>
        <d v="1899-12-30T06:21:00"/>
        <d v="1899-12-30T07:01:00"/>
        <d v="1899-12-30T08:07:00"/>
        <d v="1899-12-30T08:10:00"/>
        <d v="1899-12-30T05:45:00"/>
        <d v="1899-12-30T04:10:00"/>
        <d v="1899-12-30T04:55:00"/>
        <d v="1899-12-30T01:49:00"/>
        <d v="1899-12-30T05:47:00"/>
        <d v="1899-12-30T11:06:00"/>
        <d v="1899-12-30T10:52:00"/>
        <d v="1899-12-30T05:24:00"/>
        <d v="1899-12-30T06:03:00"/>
        <d v="1899-12-30T11:37:00"/>
        <d v="1899-12-30T10:42:00"/>
        <d v="1899-12-30T12:34:00"/>
        <d v="1899-12-30T07:47:00"/>
        <d v="1899-12-30T07:20:00"/>
        <d v="1899-12-30T08:33:00"/>
        <d v="1899-12-30T02:41:00"/>
        <d v="1899-12-30T12:45:00"/>
        <d v="1899-12-30T08:13:00"/>
        <d v="1899-12-30T02:15:00"/>
        <d v="1899-12-30T03:27:00"/>
        <d v="1899-12-30T02:06:00"/>
        <d v="1899-12-30T07:07:00"/>
        <d v="1899-12-30T06:27:00"/>
        <d v="1899-12-30T11:58:00"/>
        <d v="1899-12-30T07:09:00"/>
        <d v="1899-12-30T02:55:00"/>
        <d v="1899-12-30T10:29:00"/>
        <d v="1899-12-30T12:08:00"/>
        <d v="1899-12-30T06:41:00"/>
        <d v="1899-12-30T09:23:00"/>
        <d v="1899-12-30T08:23:00"/>
        <d v="1899-12-30T08:51:00"/>
        <d v="1899-12-30T08:34:00"/>
        <d v="1899-12-30T03:33:00"/>
        <d v="1899-12-30T08:14:00"/>
        <d v="1899-12-30T07:59:00"/>
        <d v="1899-12-30T02:39:00"/>
        <d v="1899-12-30T07:23:00"/>
        <d v="1899-12-30T03:02:00"/>
        <d v="1899-12-30T07:03:00"/>
        <d v="1899-12-30T02:02:00"/>
        <d v="1899-12-30T12:09:00"/>
        <d v="1899-12-30T09:52:00"/>
        <d v="1899-12-30T02:53:00"/>
        <d v="1899-12-30T04:37:00"/>
        <d v="1899-12-30T03:18:00"/>
        <d v="1899-12-30T01:06:00"/>
        <d v="1899-12-30T06:44:00"/>
        <d v="1899-12-30T08:58:00"/>
        <d v="1899-12-30T09:54:00"/>
        <d v="1899-12-30T10:22:00"/>
        <d v="1899-12-30T03:43:00"/>
        <d v="1899-12-30T01:16:00"/>
        <d v="1899-12-30T11:28:00"/>
        <d v="1899-12-30T04:30:00"/>
        <d v="1899-12-30T05:51:00"/>
        <d v="1899-12-30T08:16:00"/>
        <d v="1899-12-30T06:43:00"/>
        <d v="1899-12-30T06:25:00"/>
        <d v="1899-12-30T04:57:00"/>
        <d v="1899-12-30T07:08:00"/>
        <d v="1899-12-30T02:26:00"/>
        <d v="1899-12-30T08:11:00"/>
        <d v="1899-12-30T03:28:00"/>
        <d v="1899-12-30T06:34:00"/>
        <d v="1899-12-30T12:40:00"/>
        <d v="1899-12-30T07:31:00"/>
        <d v="1899-12-30T07:49:00"/>
        <d v="1899-12-30T10:35:00"/>
        <d v="1899-12-30T12:16:00"/>
        <d v="1899-12-30T12:31:00"/>
        <d v="1899-12-30T12:07:00"/>
        <d v="1899-12-30T12:55:00"/>
        <d v="1899-12-30T08:56:00"/>
        <d v="1899-12-30T05:54:00"/>
        <d v="1899-12-30T01:46:00"/>
        <d v="1899-12-30T10:49:00"/>
        <d v="1899-12-30T06:24:00"/>
        <d v="1899-12-30T04:01:00"/>
        <d v="1899-12-30T01:07:00"/>
        <d v="1899-12-30T05:43:00"/>
        <d v="1899-12-30T05:30:00"/>
        <d v="1899-12-30T06:08:00"/>
        <d v="1899-12-30T03:24:00"/>
        <d v="1899-12-30T12:28:00"/>
        <d v="1899-12-30T10:09:00"/>
        <d v="1899-12-30T03:08:00"/>
        <d v="1899-12-30T10:16:00"/>
        <d v="1899-12-30T12:22:00"/>
        <d v="1899-12-30T09:31:00"/>
        <d v="1899-12-30T10:32:00"/>
        <d v="1899-12-30T06:53:00"/>
        <d v="1899-12-30T11:38:00"/>
        <d v="1899-12-30T01:19:00"/>
        <d v="1899-12-30T08:36:00"/>
        <d v="1899-12-30T07:22:00"/>
        <d v="1899-12-30T02:07:00"/>
        <d v="1899-12-30T11:14:00"/>
        <d v="1899-12-30T09:57:00"/>
        <d v="1899-12-30T01:20:00"/>
        <d v="1899-12-30T06:09:00"/>
        <d v="1899-12-30T07:14:00"/>
        <d v="1899-12-30T11:05:00"/>
        <d v="1899-12-30T09:58:00"/>
        <d v="1899-12-30T02:50:00"/>
        <d v="1899-12-30T07:41:00"/>
        <d v="1899-12-30T09:41:00"/>
        <d v="1899-12-30T04:07:00"/>
        <d v="1899-12-30T08:44:00"/>
        <d v="1899-12-30T08:52:00"/>
        <d v="1899-12-30T07:12:00"/>
        <d v="1899-12-30T12:41:00"/>
        <d v="1899-12-30T09:36:00"/>
        <d v="1899-12-30T09:07:00"/>
        <d v="1899-12-30T11:54:00"/>
        <d v="1899-12-30T11:49:00"/>
        <d v="1899-12-30T09:35:00"/>
        <d v="1899-12-30T05:58:00"/>
        <d v="1899-12-30T04:08:00"/>
        <d v="1899-12-30T10:25:00"/>
        <d v="1899-12-30T08:43:00"/>
        <d v="1899-12-30T03:22:00"/>
        <d v="1899-12-30T06:01:00"/>
        <d v="1899-12-30T08:12:00"/>
        <d v="1899-12-30T08:05:00"/>
        <d v="1899-12-30T08:54:00"/>
        <d v="1899-12-30T07:29:00"/>
        <d v="1899-12-30T07:06:00"/>
        <d v="1899-12-30T11:33:00"/>
        <d v="1899-12-30T09:11:00"/>
        <d v="1899-12-30T05:28:00"/>
        <d v="1899-12-30T10:38:00"/>
        <d v="1899-12-30T02:04:00"/>
        <d v="1899-12-30T09:50:00"/>
        <d v="1899-12-30T01:13:00"/>
        <d v="1899-12-30T07:42:00"/>
        <d v="1899-12-30T03:48:00"/>
        <d v="1899-12-30T08:27:00"/>
        <d v="1899-12-30T06:35:00"/>
        <d v="1899-12-30T11:19:00"/>
        <d v="1899-12-30T04:29:00"/>
        <d v="1899-12-30T04:39:00"/>
        <d v="1899-12-30T03:00:00"/>
        <d v="1899-12-30T05:01:00"/>
        <d v="1899-12-30T02:37:00"/>
        <d v="1899-12-30T01:27:00"/>
        <d v="1899-12-30T10:33:00"/>
        <d v="1899-12-30T04:11:00"/>
        <d v="1899-12-30T03:57:00"/>
        <d v="1899-12-30T11:21:00"/>
        <d v="1899-12-30T09:00:00"/>
        <d v="1899-12-30T12:59:00"/>
        <d v="1899-12-30T07:28:00"/>
        <d v="1899-12-30T02:14:00"/>
        <d v="1899-12-30T09:45:00"/>
        <d v="1899-12-30T04:48:00"/>
        <d v="1899-12-30T06:26:00"/>
        <d v="1899-12-30T06:54:00"/>
        <d v="1899-12-30T06:02:00"/>
        <d v="1899-12-30T08:26:00"/>
        <d v="1899-12-30T04:17:00"/>
        <d v="1899-12-30T10:37:00"/>
        <d v="1899-12-30T06:00:00"/>
        <d v="1899-12-30T05:06:00"/>
        <d v="1899-12-30T06:55:00"/>
        <d v="1899-12-30T08:47:00"/>
        <d v="1899-12-30T09:26:00"/>
        <d v="1899-12-30T12:26:00"/>
        <d v="1899-12-30T09:42:00"/>
        <d v="1899-12-30T12:18:00"/>
        <d v="1899-12-30T05:42:00"/>
        <d v="1899-12-30T09:34:00"/>
        <d v="1899-12-30T01:23:00"/>
        <d v="1899-12-30T08:01:00"/>
        <d v="1899-12-30T12:32:00"/>
        <d v="1899-12-30T02:35:00"/>
        <d v="1899-12-30T10:02:00"/>
        <d v="1899-12-30T09:09:00"/>
        <d v="1899-12-30T11:18:00"/>
        <d v="1899-12-30T06:48:00"/>
        <d v="1899-12-30T06:07:00"/>
        <d v="1899-12-30T01:41:00"/>
        <d v="1899-12-30T08:28:00"/>
        <d v="1899-12-30T07:11:00"/>
        <d v="1899-12-30T08:45:00"/>
        <d v="1899-12-30T10:45:00"/>
        <d v="1899-12-30T08:50:00"/>
        <d v="1899-12-30T07:10:00"/>
        <d v="1899-12-30T06:51:00"/>
        <d v="1899-12-30T02:59:00"/>
        <d v="1899-12-30T03:42:00"/>
        <d v="1899-12-30T10:34:00"/>
        <d v="1899-12-30T04:02:00"/>
        <d v="1899-12-30T06:05:00"/>
        <d v="1899-12-30T10:07:00"/>
        <d v="1899-12-30T12:35:00"/>
        <d v="1899-12-30T04:56:00"/>
        <d v="1899-12-30T06:33:00"/>
        <d v="1899-12-30T11:43:00"/>
        <d v="1899-12-30T04:52:00"/>
        <d v="1899-12-30T05:48:00"/>
        <d v="1899-12-30T07:19:00"/>
        <d v="1899-12-30T05:52:00"/>
        <d v="1899-12-30T05:56:00"/>
        <d v="1899-12-30T08:00:00"/>
        <d v="1899-12-30T01:35:00"/>
        <d v="1899-12-30T01:30:00"/>
        <d v="1899-12-30T05:13:00"/>
        <d v="1899-12-30T10:59:00"/>
        <d v="1899-12-30T05:18:00"/>
        <d v="1899-12-30T03:38:00"/>
        <d v="1899-12-30T06:12:00"/>
        <d v="1899-12-30T01:55:00"/>
        <d v="1899-12-30T11:48:00"/>
        <d v="1899-12-30T03:20:00"/>
        <d v="1899-12-30T07:04:00"/>
        <d v="1899-12-30T04:16:00"/>
        <d v="1899-12-30T12:43:00"/>
        <d v="1899-12-30T06:20:00"/>
        <d v="1899-12-30T04:23:00"/>
        <d v="1899-12-30T06:38:00"/>
        <d v="1899-12-30T01:25:00"/>
        <d v="1899-12-30T06:57:00"/>
        <d v="1899-12-30T07:13:00"/>
        <d v="1899-12-30T08:57:00"/>
        <d v="1899-12-30T09:12:00"/>
        <d v="1899-12-30T03:09:00"/>
        <d v="1899-12-30T09:49:00"/>
        <d v="1899-12-30T12:00:00"/>
        <d v="1899-12-30T10:18:00"/>
        <d v="1899-12-30T02:57:00"/>
        <d v="1899-12-30T06:10:00"/>
        <d v="1899-12-30T06:14:00"/>
        <d v="1899-12-30T12:10:00"/>
        <d v="1899-12-30T07:26:00"/>
        <d v="1899-12-30T05:40:00"/>
        <d v="1899-12-30T10:31:00"/>
        <d v="1899-12-30T04:44:00"/>
        <d v="1899-12-30T10:27:00"/>
        <d v="1899-12-30T05:19:00"/>
        <d v="1899-12-30T05:38:00"/>
        <d v="1899-12-30T07:30:00"/>
        <d v="1899-12-30T08:41:00"/>
        <d v="1899-12-30T03:35:00"/>
        <d v="1899-12-30T11:24:00"/>
        <d v="1899-12-30T11:23:00"/>
        <d v="1899-12-30T08:55:00"/>
        <d v="1899-12-30T09:40:00"/>
        <d v="1899-12-30T11:03:00"/>
        <d v="1899-12-30T07:55:00"/>
        <d v="1899-12-30T05:55:00"/>
        <d v="1899-12-30T12:54:00"/>
        <d v="1899-12-30T09:32:00"/>
        <d v="1899-12-30T06:11:00"/>
        <d v="1899-12-30T10:50:00"/>
        <d v="1899-12-30T08:38:00"/>
        <d v="1899-12-30T06:15:00"/>
        <d v="1899-12-30T09:19:00"/>
        <d v="1899-12-30T10:04:00"/>
        <d v="1899-12-30T09:30:00"/>
        <d v="1899-12-30T06:17:00"/>
        <d v="1899-12-30T07:45:00"/>
        <d v="1899-12-30T03:58:00"/>
        <d v="1899-12-30T10:24:00"/>
        <d v="1899-12-30T03:32:00"/>
        <d v="1899-12-30T11:34:00"/>
        <d v="1899-12-30T04:38:00"/>
        <d v="1899-12-30T11:12:00"/>
        <d v="1899-12-30T03:11:00"/>
        <d v="1899-12-30T05:50:00"/>
        <d v="1899-12-30T08:29:00"/>
        <d v="1899-12-30T04:18:00"/>
        <d v="1899-12-30T09:01:00"/>
        <d v="1899-12-30T03:59:00"/>
        <d v="1899-12-30T09:21:00"/>
        <d v="1899-12-30T11:36:00"/>
        <d v="1899-12-30T04:45:00"/>
        <d v="1899-12-30T05:10:00"/>
        <d v="1899-12-30T05:14:00"/>
        <d v="1899-12-30T08:20:00"/>
        <d v="1899-12-30T11:31:00"/>
        <d v="1899-12-30T03:26:00"/>
        <d v="1899-12-30T10:23:00"/>
        <d v="1899-12-30T04:00:00"/>
        <d v="1899-12-30T12:47:00"/>
        <d v="1899-12-30T02:32:00"/>
        <d v="1899-12-30T01:36:00"/>
        <d v="1899-12-30T11:42:00"/>
        <d v="1899-12-30T01:28:00"/>
        <d v="1899-12-30T03:23:00"/>
        <d v="1899-12-30T05:11:00"/>
        <d v="1899-12-30T10:13:00"/>
        <d v="1899-12-30T03:29:00"/>
        <d v="1899-12-30T12:53:00"/>
        <d v="1899-12-30T02:46:00"/>
        <d v="1899-12-30T04:05:00"/>
        <d v="1899-12-30T06:50:00"/>
        <d v="1899-12-30T05:53:00"/>
        <d v="1899-12-30T03:19:00"/>
        <d v="1899-12-30T09:48:00"/>
        <d v="1899-12-30T04:34:00"/>
        <d v="1899-12-30T08:48:00"/>
        <d v="1899-12-30T01:38:00"/>
        <d v="1899-12-30T02:27:00"/>
        <d v="1899-12-30T03:15:00"/>
        <d v="1899-12-30T09:27:00"/>
        <d v="1899-12-30T11:45:00"/>
        <d v="1899-12-30T09:28:00"/>
        <d v="1899-12-30T02:25:00"/>
        <d v="1899-12-30T11:55:00"/>
        <d v="1899-12-30T08:46:00"/>
        <d v="1899-12-30T12:50:00"/>
        <d v="1899-12-30T12:38:00"/>
        <d v="1899-12-30T06:06:00"/>
        <d v="1899-12-30T01:59:00"/>
        <d v="1899-12-30T12:12:00"/>
        <d v="1899-12-30T01:52:00"/>
        <d v="1899-12-30T06:30:00"/>
        <d v="1899-12-30T12:25:00"/>
        <d v="1899-12-30T10:05:00"/>
        <d v="1899-12-30T01:01:00"/>
        <d v="1899-12-30T01:54:00"/>
        <d v="1899-12-30T02:44:00"/>
        <d v="1899-12-30T11:52:00"/>
        <d v="1899-12-30T03:45:00"/>
        <d v="1899-12-30T02:20:00"/>
        <d v="1899-12-30T01:50:00"/>
        <d v="1899-12-30T01:09:00"/>
        <d v="1899-12-30T02:36:00"/>
        <d v="1899-12-30T06:37:00"/>
        <d v="1899-12-30T02:49:00"/>
        <d v="1899-12-30T05:12:00"/>
        <d v="1899-12-30T03:55:00"/>
        <d v="1899-12-30T01:15:00"/>
        <d v="1899-12-30T02:48:00"/>
        <d v="1899-12-30T02:05:00"/>
        <d v="1899-12-30T11:16:00"/>
        <d v="1899-12-30T11:02:00"/>
        <d v="1899-12-30T01:14:00"/>
        <d v="1899-12-30T05:15:00"/>
        <d v="1899-12-30T01:51:00"/>
        <d v="1899-12-30T01:53:00"/>
        <d v="1899-12-30T11:10:00"/>
        <d v="1899-12-30T04:15:00"/>
        <d v="1899-12-30T02:09:00"/>
        <d v="1899-12-30T04:03:00"/>
        <d v="1899-12-30T02:22:00"/>
        <d v="1899-12-30T10:51:00"/>
        <d v="1899-12-30T04:35:00"/>
        <d v="1899-12-30T09:14:00"/>
        <d v="1899-12-30T10:47:00"/>
        <d v="1899-12-30T04:21:00"/>
        <d v="1899-12-30T02:43:00"/>
        <d v="1899-12-30T01:57:00"/>
        <d v="1899-12-30T01:17:00"/>
        <d v="1899-12-30T03:51:00"/>
        <d v="1899-12-30T12:27:00"/>
        <d v="1899-12-30T03:30:00"/>
        <d v="1899-12-30T02:38:00"/>
        <d v="1899-12-30T07:58:00"/>
        <d v="1899-12-30T12:14:00"/>
        <d v="1899-12-30T12:23:00"/>
        <d v="1899-12-30T03:41:00"/>
        <d v="1899-12-30T12:15:00"/>
        <d v="1899-12-30T01:33:00"/>
        <d v="1899-12-30T05:36:00"/>
        <d v="1899-12-30T12:20:00"/>
        <d v="1899-12-30T12:06:00"/>
        <d v="1899-12-30T01:42:00"/>
        <d v="1899-12-30T09:18:00"/>
        <d v="1899-12-30T05:57:00"/>
        <d v="1899-12-30T06:29:00"/>
        <d v="1899-12-30T12:39:00"/>
        <d v="1899-12-30T06:23:00"/>
        <d v="1899-12-30T01:22:00"/>
        <d v="1899-12-30T07:56:00"/>
        <d v="1899-12-30T01:05:00"/>
        <d v="1899-12-30T04:47:00"/>
        <d v="1899-12-30T03:47:00"/>
        <d v="1899-12-30T06:46:00"/>
        <d v="1899-12-30T02:47:00"/>
        <d v="1899-12-30T03:13:00"/>
        <d v="1899-12-30T12:46:00"/>
        <d v="1899-12-30T01:43:00"/>
        <d v="1899-12-30T12:02:00"/>
        <d v="1899-12-30T08:31:00"/>
        <d v="1899-12-30T05:09:00"/>
        <d v="1899-12-30T09:43:00"/>
        <d v="1899-12-30T04:04:00"/>
        <d v="1899-12-30T10:06:00"/>
        <d v="1899-12-30T06:49:00"/>
        <d v="1899-12-30T06:04:00"/>
        <d v="1899-12-30T07:40:00"/>
        <d v="1899-12-30T02:11:00"/>
        <d v="1899-12-30T05:07:00"/>
        <d v="1899-12-30T03:49:00"/>
        <d v="1899-12-30T01:12:00"/>
        <d v="1899-12-30T01:11:00"/>
        <d v="1899-12-30T02:17:00"/>
        <d v="1899-12-30T01:24:00"/>
        <d v="1899-12-30T10:58:00"/>
        <d v="1899-12-30T03:36:00"/>
        <d v="1899-12-30T04:46:00"/>
        <d v="1899-12-30T12:17:00"/>
        <d v="1899-12-30T12:51:00"/>
        <d v="1899-12-30T11:44:00"/>
        <d v="1899-12-30T09:37:00"/>
        <d v="1899-12-30T08:02:00"/>
        <d v="1899-12-30T09:38:00"/>
        <d v="1899-12-30T08:39:00"/>
        <d v="1899-12-30T08:22:00"/>
        <d v="1899-12-30T08:32:00"/>
        <d v="1899-12-30T01:34:00"/>
        <d v="1899-12-30T09:13:00"/>
        <d v="1899-12-30T12:49:00"/>
        <d v="1899-12-30T09:02:00"/>
        <d v="1899-12-30T02:19:00"/>
        <d v="1899-12-30T09:51:00"/>
        <d v="1899-12-30T07:25:00"/>
        <d v="1899-12-30T03:07:00"/>
        <d v="1899-12-30T09:55:00"/>
        <d v="1899-12-30T08:03:00"/>
        <d v="1899-12-30T09:08:00"/>
        <d v="1899-12-30T01:03:00"/>
        <d v="1899-12-30T08:18:00"/>
        <d v="1899-12-30T11:40:00"/>
        <d v="1899-12-30T08:35:00"/>
        <d v="1899-12-30T08:25:00"/>
        <d v="1899-12-30T09:53:00"/>
        <d v="1899-12-30T09:15:00"/>
        <d v="1899-12-30T10:26:00"/>
        <d v="1899-12-30T10:14:00"/>
        <d v="1899-12-30T05:23:00"/>
        <d v="1899-12-30T12:03:00"/>
        <d v="1899-12-30T11:09:00"/>
        <d v="1899-12-30T01:44:00"/>
        <d v="1899-12-30T02:08:00"/>
        <d v="1899-12-30T06:31:00"/>
        <d v="1899-12-30T06:40:00"/>
        <d v="1899-12-30T02:34:00"/>
        <d v="1899-12-30T01:37:00"/>
        <d v="1899-12-30T02:51:00"/>
        <d v="1899-12-30T06:36:00"/>
        <d v="1899-12-30T02:28:00"/>
        <d v="1899-12-30T10:03:00"/>
        <d v="1899-12-30T03:46:00"/>
        <d v="1899-12-30T04:59:00"/>
        <d v="1899-12-30T05:34:00"/>
        <d v="1899-12-30T07:48:00"/>
      </sharedItems>
      <fieldGroup par="10" base="1">
        <rangePr groupBy="minutes" startDate="1899-12-30T01:01:00" endDate="1899-12-30T12:59:00"/>
        <groupItems count="62">
          <s v="&lt;1/0/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0/1900"/>
        </groupItems>
      </fieldGroup>
    </cacheField>
    <cacheField name="Time range" numFmtId="0">
      <sharedItems count="2">
        <s v="AM"/>
        <s v="PM"/>
      </sharedItems>
    </cacheField>
    <cacheField name="Product" numFmtId="0">
      <sharedItems count="3">
        <s v="Product1"/>
        <s v="Product2"/>
        <s v="Product3"/>
      </sharedItems>
    </cacheField>
    <cacheField name="Sales" numFmtId="0">
      <sharedItems containsSemiMixedTypes="0" containsString="0" containsNumber="1" containsInteger="1" minValue="250" maxValue="300000"/>
    </cacheField>
    <cacheField name="Payment_Type" numFmtId="0">
      <sharedItems count="4">
        <s v="Visa"/>
        <s v="Mastercard"/>
        <s v="Amex"/>
        <s v="Diners" u="1"/>
      </sharedItems>
    </cacheField>
    <cacheField name="Buyers name" numFmtId="0">
      <sharedItems/>
    </cacheField>
    <cacheField name="City" numFmtId="0">
      <sharedItems/>
    </cacheField>
    <cacheField name="Country" numFmtId="0">
      <sharedItems count="56">
        <s v="United States"/>
        <s v="United Kingdom"/>
        <s v="United Arab Emirates"/>
        <s v="Ukraine"/>
        <s v="Turkey"/>
        <s v="The Bahamas"/>
        <s v="Thailand"/>
        <s v="Switzerland"/>
        <s v="Sweden"/>
        <s v="Spain"/>
        <s v="South Korea"/>
        <s v="South Africa"/>
        <s v="Russia"/>
        <s v="Romania"/>
        <s v="Poland"/>
        <s v="Philippines"/>
        <s v="Norway"/>
        <s v="New Zealand"/>
        <s v="Netherlands"/>
        <s v="Monaco"/>
        <s v="Moldova"/>
        <s v="Mauritius"/>
        <s v="Malta"/>
        <s v="Malaysia"/>
        <s v="Luxembourg"/>
        <s v="Latvia"/>
        <s v="Kuwait"/>
        <s v="Jersey"/>
        <s v="Japan"/>
        <s v="Italy"/>
        <s v="Israel"/>
        <s v="Ireland"/>
        <s v="India"/>
        <s v="Iceland"/>
        <s v="Hungary"/>
        <s v="Hong Kong"/>
        <s v="Guatemala"/>
        <s v="Greece"/>
        <s v="Germany"/>
        <s v="France"/>
        <s v="Finland"/>
        <s v="Dominican Republic"/>
        <s v="Denmark"/>
        <s v="Czech Republic"/>
        <s v="Costa Rica"/>
        <s v="China"/>
        <s v="Cayman Isls"/>
        <s v="Canada"/>
        <s v="Bulgaria"/>
        <s v="Brazil"/>
        <s v="Bermuda"/>
        <s v="Belgium"/>
        <s v="Bahrain"/>
        <s v="Austria"/>
        <s v="Australia"/>
        <s v="Argentina"/>
      </sharedItems>
    </cacheField>
    <cacheField name="Weekdays" numFmtId="168">
      <sharedItems containsSemiMixedTypes="0" containsNonDate="0" containsDate="1" containsString="0" minDate="1899-12-31T00:00:00" maxDate="1900-01-07T00:00:00" count="7">
        <d v="1900-01-05T00:00:00"/>
        <d v="1899-12-31T00:00:00"/>
        <d v="1900-01-01T00:00:00"/>
        <d v="1900-01-02T00:00:00"/>
        <d v="1900-01-04T00:00:00"/>
        <d v="1900-01-03T00:00:00"/>
        <d v="1900-01-06T00:00:00"/>
      </sharedItems>
    </cacheField>
    <cacheField name="Hours" numFmtId="0" databaseField="0">
      <fieldGroup base="1">
        <rangePr groupBy="hours" startDate="1899-12-30T01:01:00" endDate="1899-12-30T12:59: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pivotCacheId="3854407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8">
  <r>
    <x v="0"/>
    <x v="0"/>
    <x v="0"/>
    <x v="0"/>
    <n v="1200"/>
    <x v="0"/>
    <s v="Betina"/>
    <s v="Parkville"/>
    <x v="0"/>
    <x v="0"/>
  </r>
  <r>
    <x v="0"/>
    <x v="1"/>
    <x v="0"/>
    <x v="0"/>
    <n v="1200"/>
    <x v="1"/>
    <s v="Federica e Andrea"/>
    <s v="Astoria"/>
    <x v="0"/>
    <x v="0"/>
  </r>
  <r>
    <x v="1"/>
    <x v="2"/>
    <x v="1"/>
    <x v="1"/>
    <n v="3600"/>
    <x v="0"/>
    <s v="Gerd W"/>
    <s v="Cahaba Heights"/>
    <x v="0"/>
    <x v="1"/>
  </r>
  <r>
    <x v="2"/>
    <x v="2"/>
    <x v="1"/>
    <x v="0"/>
    <n v="1200"/>
    <x v="0"/>
    <s v="LAURENCE"/>
    <s v="Mickleton"/>
    <x v="0"/>
    <x v="2"/>
  </r>
  <r>
    <x v="3"/>
    <x v="2"/>
    <x v="1"/>
    <x v="0"/>
    <n v="1200"/>
    <x v="1"/>
    <s v="Fleur"/>
    <s v="Peoria"/>
    <x v="0"/>
    <x v="3"/>
  </r>
  <r>
    <x v="0"/>
    <x v="3"/>
    <x v="0"/>
    <x v="0"/>
    <n v="1200"/>
    <x v="1"/>
    <s v="adam"/>
    <s v="Martin"/>
    <x v="0"/>
    <x v="0"/>
  </r>
  <r>
    <x v="2"/>
    <x v="4"/>
    <x v="0"/>
    <x v="0"/>
    <n v="1200"/>
    <x v="0"/>
    <s v="Stacy"/>
    <s v="New York"/>
    <x v="0"/>
    <x v="2"/>
  </r>
  <r>
    <x v="0"/>
    <x v="5"/>
    <x v="0"/>
    <x v="0"/>
    <n v="1200"/>
    <x v="1"/>
    <s v="Sean"/>
    <s v="Shavano Park"/>
    <x v="0"/>
    <x v="0"/>
  </r>
  <r>
    <x v="2"/>
    <x v="6"/>
    <x v="0"/>
    <x v="0"/>
    <n v="1200"/>
    <x v="0"/>
    <s v="Georgia"/>
    <s v="Eagle"/>
    <x v="0"/>
    <x v="2"/>
  </r>
  <r>
    <x v="0"/>
    <x v="7"/>
    <x v="0"/>
    <x v="0"/>
    <n v="1200"/>
    <x v="0"/>
    <s v="Richard"/>
    <s v="Riverside"/>
    <x v="0"/>
    <x v="0"/>
  </r>
  <r>
    <x v="0"/>
    <x v="8"/>
    <x v="0"/>
    <x v="0"/>
    <n v="1200"/>
    <x v="0"/>
    <s v="Hani"/>
    <s v="Salt Lake City"/>
    <x v="0"/>
    <x v="0"/>
  </r>
  <r>
    <x v="3"/>
    <x v="9"/>
    <x v="0"/>
    <x v="0"/>
    <n v="1200"/>
    <x v="0"/>
    <s v="asuman"/>
    <s v="Chula Vista"/>
    <x v="0"/>
    <x v="3"/>
  </r>
  <r>
    <x v="4"/>
    <x v="10"/>
    <x v="0"/>
    <x v="0"/>
    <n v="1200"/>
    <x v="0"/>
    <s v="Lisa"/>
    <s v="Sugar Land"/>
    <x v="0"/>
    <x v="4"/>
  </r>
  <r>
    <x v="5"/>
    <x v="11"/>
    <x v="0"/>
    <x v="0"/>
    <n v="1200"/>
    <x v="0"/>
    <s v="Bryan Kerrene"/>
    <s v="New York"/>
    <x v="0"/>
    <x v="5"/>
  </r>
  <r>
    <x v="4"/>
    <x v="12"/>
    <x v="0"/>
    <x v="0"/>
    <n v="1200"/>
    <x v="0"/>
    <s v="Maxine"/>
    <s v="Morton"/>
    <x v="0"/>
    <x v="4"/>
  </r>
  <r>
    <x v="6"/>
    <x v="13"/>
    <x v="1"/>
    <x v="0"/>
    <n v="1200"/>
    <x v="0"/>
    <s v="Family"/>
    <s v="Los Gatos"/>
    <x v="0"/>
    <x v="4"/>
  </r>
  <r>
    <x v="6"/>
    <x v="14"/>
    <x v="0"/>
    <x v="0"/>
    <n v="1200"/>
    <x v="1"/>
    <s v="Katherine"/>
    <s v="New York"/>
    <x v="0"/>
    <x v="4"/>
  </r>
  <r>
    <x v="6"/>
    <x v="15"/>
    <x v="0"/>
    <x v="0"/>
    <n v="1200"/>
    <x v="1"/>
    <s v="Linda"/>
    <s v="Miami"/>
    <x v="0"/>
    <x v="4"/>
  </r>
  <r>
    <x v="7"/>
    <x v="16"/>
    <x v="0"/>
    <x v="0"/>
    <n v="1200"/>
    <x v="0"/>
    <s v="Sheila"/>
    <s v="Brooklyn"/>
    <x v="0"/>
    <x v="6"/>
  </r>
  <r>
    <x v="3"/>
    <x v="17"/>
    <x v="0"/>
    <x v="2"/>
    <n v="1200"/>
    <x v="2"/>
    <s v="Kelly"/>
    <s v="Reston"/>
    <x v="0"/>
    <x v="3"/>
  </r>
  <r>
    <x v="6"/>
    <x v="18"/>
    <x v="0"/>
    <x v="0"/>
    <n v="1200"/>
    <x v="0"/>
    <s v="jennifer"/>
    <s v="Phoenix"/>
    <x v="0"/>
    <x v="4"/>
  </r>
  <r>
    <x v="8"/>
    <x v="19"/>
    <x v="0"/>
    <x v="0"/>
    <n v="1200"/>
    <x v="1"/>
    <s v="Anneli"/>
    <s v="Houston"/>
    <x v="0"/>
    <x v="0"/>
  </r>
  <r>
    <x v="3"/>
    <x v="20"/>
    <x v="0"/>
    <x v="2"/>
    <n v="3600"/>
    <x v="2"/>
    <s v="Ritz"/>
    <s v="Pittsfield"/>
    <x v="0"/>
    <x v="3"/>
  </r>
  <r>
    <x v="3"/>
    <x v="21"/>
    <x v="0"/>
    <x v="2"/>
    <n v="3600"/>
    <x v="2"/>
    <s v="Sylvia"/>
    <s v="Pittsfield"/>
    <x v="0"/>
    <x v="3"/>
  </r>
  <r>
    <x v="5"/>
    <x v="22"/>
    <x v="0"/>
    <x v="0"/>
    <n v="1200"/>
    <x v="1"/>
    <s v="Marie"/>
    <s v="Ball Ground"/>
    <x v="0"/>
    <x v="5"/>
  </r>
  <r>
    <x v="5"/>
    <x v="23"/>
    <x v="0"/>
    <x v="1"/>
    <n v="3600"/>
    <x v="0"/>
    <s v="Anabela"/>
    <s v="Flossmoor"/>
    <x v="0"/>
    <x v="5"/>
  </r>
  <r>
    <x v="5"/>
    <x v="24"/>
    <x v="0"/>
    <x v="2"/>
    <n v="1200"/>
    <x v="2"/>
    <s v="Nicole"/>
    <s v="Houston"/>
    <x v="0"/>
    <x v="5"/>
  </r>
  <r>
    <x v="7"/>
    <x v="25"/>
    <x v="0"/>
    <x v="1"/>
    <n v="3600"/>
    <x v="0"/>
    <s v="Christiane"/>
    <s v="Delray Beach"/>
    <x v="0"/>
    <x v="6"/>
  </r>
  <r>
    <x v="9"/>
    <x v="26"/>
    <x v="1"/>
    <x v="2"/>
    <n v="1200"/>
    <x v="2"/>
    <s v="Vanessa"/>
    <s v="Sandy Springs"/>
    <x v="0"/>
    <x v="6"/>
  </r>
  <r>
    <x v="9"/>
    <x v="27"/>
    <x v="1"/>
    <x v="0"/>
    <n v="1200"/>
    <x v="0"/>
    <s v="Karina"/>
    <s v="Fort Lauderdale"/>
    <x v="0"/>
    <x v="6"/>
  </r>
  <r>
    <x v="9"/>
    <x v="28"/>
    <x v="0"/>
    <x v="0"/>
    <n v="1200"/>
    <x v="0"/>
    <s v="Angela"/>
    <s v="Ankeny"/>
    <x v="0"/>
    <x v="6"/>
  </r>
  <r>
    <x v="5"/>
    <x v="29"/>
    <x v="0"/>
    <x v="0"/>
    <n v="1200"/>
    <x v="0"/>
    <s v="Darren"/>
    <s v="Pittsboro"/>
    <x v="0"/>
    <x v="5"/>
  </r>
  <r>
    <x v="4"/>
    <x v="30"/>
    <x v="0"/>
    <x v="0"/>
    <n v="1200"/>
    <x v="1"/>
    <s v="Nikki"/>
    <s v="New Rochelle"/>
    <x v="0"/>
    <x v="4"/>
  </r>
  <r>
    <x v="5"/>
    <x v="31"/>
    <x v="0"/>
    <x v="0"/>
    <n v="1200"/>
    <x v="1"/>
    <s v="June"/>
    <s v="Beachwood"/>
    <x v="0"/>
    <x v="5"/>
  </r>
  <r>
    <x v="10"/>
    <x v="32"/>
    <x v="0"/>
    <x v="0"/>
    <n v="1200"/>
    <x v="1"/>
    <s v="chrissy"/>
    <s v="W Lebanon"/>
    <x v="0"/>
    <x v="2"/>
  </r>
  <r>
    <x v="6"/>
    <x v="15"/>
    <x v="0"/>
    <x v="0"/>
    <n v="1200"/>
    <x v="0"/>
    <s v="Dottie"/>
    <s v="Woodsboro"/>
    <x v="0"/>
    <x v="4"/>
  </r>
  <r>
    <x v="0"/>
    <x v="33"/>
    <x v="0"/>
    <x v="0"/>
    <n v="1200"/>
    <x v="0"/>
    <s v="Lynne"/>
    <s v="Memphis"/>
    <x v="0"/>
    <x v="0"/>
  </r>
  <r>
    <x v="11"/>
    <x v="1"/>
    <x v="0"/>
    <x v="0"/>
    <n v="1200"/>
    <x v="0"/>
    <s v="Rosa Maria"/>
    <s v="Cincinnati"/>
    <x v="0"/>
    <x v="1"/>
  </r>
  <r>
    <x v="12"/>
    <x v="34"/>
    <x v="0"/>
    <x v="0"/>
    <n v="1200"/>
    <x v="0"/>
    <s v="Gitte"/>
    <s v="Staten Island"/>
    <x v="0"/>
    <x v="3"/>
  </r>
  <r>
    <x v="0"/>
    <x v="35"/>
    <x v="0"/>
    <x v="0"/>
    <n v="1200"/>
    <x v="0"/>
    <s v="Crystal"/>
    <s v="Farmington"/>
    <x v="0"/>
    <x v="0"/>
  </r>
  <r>
    <x v="5"/>
    <x v="36"/>
    <x v="0"/>
    <x v="0"/>
    <n v="1200"/>
    <x v="0"/>
    <s v="Delphine"/>
    <s v="Santa Monica"/>
    <x v="0"/>
    <x v="5"/>
  </r>
  <r>
    <x v="10"/>
    <x v="37"/>
    <x v="0"/>
    <x v="1"/>
    <n v="3600"/>
    <x v="1"/>
    <s v="Valda"/>
    <s v="Irvine"/>
    <x v="0"/>
    <x v="2"/>
  </r>
  <r>
    <x v="12"/>
    <x v="38"/>
    <x v="0"/>
    <x v="0"/>
    <n v="1200"/>
    <x v="0"/>
    <s v="Clare"/>
    <s v="Keller"/>
    <x v="0"/>
    <x v="3"/>
  </r>
  <r>
    <x v="13"/>
    <x v="39"/>
    <x v="0"/>
    <x v="0"/>
    <n v="1200"/>
    <x v="1"/>
    <s v="ZENA"/>
    <s v="Honolulu"/>
    <x v="0"/>
    <x v="5"/>
  </r>
  <r>
    <x v="7"/>
    <x v="40"/>
    <x v="0"/>
    <x v="0"/>
    <n v="1200"/>
    <x v="0"/>
    <s v="Rennae"/>
    <s v="Amelia Island"/>
    <x v="0"/>
    <x v="6"/>
  </r>
  <r>
    <x v="12"/>
    <x v="41"/>
    <x v="0"/>
    <x v="0"/>
    <n v="1200"/>
    <x v="1"/>
    <s v="Tod"/>
    <s v="Coral Gables"/>
    <x v="0"/>
    <x v="3"/>
  </r>
  <r>
    <x v="13"/>
    <x v="42"/>
    <x v="0"/>
    <x v="0"/>
    <n v="1200"/>
    <x v="0"/>
    <s v="Janaina"/>
    <s v="Miami"/>
    <x v="0"/>
    <x v="5"/>
  </r>
  <r>
    <x v="12"/>
    <x v="43"/>
    <x v="0"/>
    <x v="0"/>
    <n v="1200"/>
    <x v="0"/>
    <s v="Jolene"/>
    <s v="Englewood"/>
    <x v="0"/>
    <x v="3"/>
  </r>
  <r>
    <x v="14"/>
    <x v="44"/>
    <x v="0"/>
    <x v="0"/>
    <n v="1200"/>
    <x v="1"/>
    <s v="Alexis"/>
    <s v="Genoa"/>
    <x v="0"/>
    <x v="4"/>
  </r>
  <r>
    <x v="2"/>
    <x v="45"/>
    <x v="0"/>
    <x v="0"/>
    <n v="1200"/>
    <x v="0"/>
    <s v="Melissa"/>
    <s v="Parkland"/>
    <x v="0"/>
    <x v="2"/>
  </r>
  <r>
    <x v="9"/>
    <x v="46"/>
    <x v="0"/>
    <x v="0"/>
    <n v="1200"/>
    <x v="2"/>
    <s v="CLARE"/>
    <s v="San Francisco"/>
    <x v="0"/>
    <x v="6"/>
  </r>
  <r>
    <x v="14"/>
    <x v="47"/>
    <x v="0"/>
    <x v="0"/>
    <n v="1200"/>
    <x v="1"/>
    <s v="catherine"/>
    <s v="Keller"/>
    <x v="0"/>
    <x v="4"/>
  </r>
  <r>
    <x v="3"/>
    <x v="48"/>
    <x v="0"/>
    <x v="0"/>
    <n v="1200"/>
    <x v="1"/>
    <s v="Bruce and Camille"/>
    <s v="Clinton"/>
    <x v="0"/>
    <x v="3"/>
  </r>
  <r>
    <x v="13"/>
    <x v="49"/>
    <x v="0"/>
    <x v="0"/>
    <n v="1200"/>
    <x v="1"/>
    <s v="Ellen"/>
    <s v="Owensboro"/>
    <x v="0"/>
    <x v="5"/>
  </r>
  <r>
    <x v="13"/>
    <x v="50"/>
    <x v="0"/>
    <x v="0"/>
    <n v="1200"/>
    <x v="0"/>
    <s v="Amy"/>
    <s v="Lakewood Village"/>
    <x v="0"/>
    <x v="5"/>
  </r>
  <r>
    <x v="14"/>
    <x v="51"/>
    <x v="1"/>
    <x v="0"/>
    <n v="1200"/>
    <x v="0"/>
    <s v="Brian"/>
    <s v="College Park"/>
    <x v="0"/>
    <x v="4"/>
  </r>
  <r>
    <x v="13"/>
    <x v="52"/>
    <x v="0"/>
    <x v="0"/>
    <n v="1200"/>
    <x v="0"/>
    <s v="Kenny"/>
    <s v="Kailua Kona"/>
    <x v="0"/>
    <x v="5"/>
  </r>
  <r>
    <x v="13"/>
    <x v="53"/>
    <x v="0"/>
    <x v="0"/>
    <n v="1200"/>
    <x v="2"/>
    <s v="ayse"/>
    <s v="Redondo Beach"/>
    <x v="0"/>
    <x v="5"/>
  </r>
  <r>
    <x v="7"/>
    <x v="54"/>
    <x v="0"/>
    <x v="0"/>
    <n v="1200"/>
    <x v="2"/>
    <s v="Maria and Timothy"/>
    <s v="Fountain Hls"/>
    <x v="0"/>
    <x v="6"/>
  </r>
  <r>
    <x v="15"/>
    <x v="55"/>
    <x v="0"/>
    <x v="0"/>
    <n v="2100"/>
    <x v="1"/>
    <s v="Gerald"/>
    <s v="Mahopac"/>
    <x v="0"/>
    <x v="0"/>
  </r>
  <r>
    <x v="7"/>
    <x v="56"/>
    <x v="0"/>
    <x v="0"/>
    <n v="1200"/>
    <x v="0"/>
    <s v="Kara"/>
    <s v="Chicago"/>
    <x v="0"/>
    <x v="6"/>
  </r>
  <r>
    <x v="15"/>
    <x v="57"/>
    <x v="0"/>
    <x v="0"/>
    <n v="1200"/>
    <x v="0"/>
    <s v="Orsi"/>
    <s v="Rayford"/>
    <x v="0"/>
    <x v="0"/>
  </r>
  <r>
    <x v="2"/>
    <x v="58"/>
    <x v="0"/>
    <x v="0"/>
    <n v="1200"/>
    <x v="0"/>
    <s v="Ben"/>
    <s v="Escondido"/>
    <x v="0"/>
    <x v="2"/>
  </r>
  <r>
    <x v="11"/>
    <x v="59"/>
    <x v="0"/>
    <x v="0"/>
    <n v="1200"/>
    <x v="0"/>
    <s v="Chelsey"/>
    <s v="Ashburn"/>
    <x v="0"/>
    <x v="1"/>
  </r>
  <r>
    <x v="14"/>
    <x v="14"/>
    <x v="0"/>
    <x v="0"/>
    <n v="1200"/>
    <x v="2"/>
    <s v="Charis"/>
    <s v="Los Angeles"/>
    <x v="0"/>
    <x v="4"/>
  </r>
  <r>
    <x v="4"/>
    <x v="60"/>
    <x v="1"/>
    <x v="0"/>
    <n v="1200"/>
    <x v="0"/>
    <s v="Marlene"/>
    <s v="Edgewood"/>
    <x v="0"/>
    <x v="4"/>
  </r>
  <r>
    <x v="3"/>
    <x v="61"/>
    <x v="0"/>
    <x v="0"/>
    <n v="1200"/>
    <x v="0"/>
    <s v="Fie"/>
    <s v="New York"/>
    <x v="0"/>
    <x v="3"/>
  </r>
  <r>
    <x v="10"/>
    <x v="62"/>
    <x v="1"/>
    <x v="0"/>
    <n v="1200"/>
    <x v="0"/>
    <s v="Janet"/>
    <s v="Marietta"/>
    <x v="0"/>
    <x v="2"/>
  </r>
  <r>
    <x v="1"/>
    <x v="63"/>
    <x v="0"/>
    <x v="0"/>
    <n v="1200"/>
    <x v="1"/>
    <s v="Jamie"/>
    <s v="Houston"/>
    <x v="0"/>
    <x v="1"/>
  </r>
  <r>
    <x v="16"/>
    <x v="64"/>
    <x v="0"/>
    <x v="0"/>
    <n v="1200"/>
    <x v="0"/>
    <s v="Chad"/>
    <s v="West Orange"/>
    <x v="0"/>
    <x v="6"/>
  </r>
  <r>
    <x v="17"/>
    <x v="65"/>
    <x v="0"/>
    <x v="0"/>
    <n v="1200"/>
    <x v="0"/>
    <s v="Anna"/>
    <s v="Downey"/>
    <x v="0"/>
    <x v="1"/>
  </r>
  <r>
    <x v="1"/>
    <x v="66"/>
    <x v="0"/>
    <x v="0"/>
    <n v="1200"/>
    <x v="1"/>
    <s v="Clare"/>
    <s v="Lafayette"/>
    <x v="0"/>
    <x v="1"/>
  </r>
  <r>
    <x v="17"/>
    <x v="67"/>
    <x v="0"/>
    <x v="0"/>
    <n v="1200"/>
    <x v="0"/>
    <s v="Ruth"/>
    <s v="Nashville"/>
    <x v="0"/>
    <x v="1"/>
  </r>
  <r>
    <x v="17"/>
    <x v="68"/>
    <x v="0"/>
    <x v="0"/>
    <n v="1200"/>
    <x v="0"/>
    <s v="Shailesh"/>
    <s v="Joppa"/>
    <x v="0"/>
    <x v="1"/>
  </r>
  <r>
    <x v="17"/>
    <x v="69"/>
    <x v="1"/>
    <x v="0"/>
    <n v="1200"/>
    <x v="0"/>
    <s v="Conrad"/>
    <s v="Joppa"/>
    <x v="0"/>
    <x v="1"/>
  </r>
  <r>
    <x v="12"/>
    <x v="70"/>
    <x v="0"/>
    <x v="0"/>
    <n v="1200"/>
    <x v="0"/>
    <s v="Alison"/>
    <s v="Hampton"/>
    <x v="0"/>
    <x v="3"/>
  </r>
  <r>
    <x v="2"/>
    <x v="71"/>
    <x v="0"/>
    <x v="0"/>
    <n v="1200"/>
    <x v="1"/>
    <s v="Tracy"/>
    <s v="Louisville"/>
    <x v="0"/>
    <x v="2"/>
  </r>
  <r>
    <x v="13"/>
    <x v="72"/>
    <x v="0"/>
    <x v="0"/>
    <n v="1200"/>
    <x v="0"/>
    <s v="Kate"/>
    <s v="Broadlands"/>
    <x v="0"/>
    <x v="5"/>
  </r>
  <r>
    <x v="17"/>
    <x v="73"/>
    <x v="0"/>
    <x v="1"/>
    <n v="3600"/>
    <x v="0"/>
    <s v="Therese"/>
    <s v="Los Angeles"/>
    <x v="0"/>
    <x v="1"/>
  </r>
  <r>
    <x v="17"/>
    <x v="74"/>
    <x v="0"/>
    <x v="1"/>
    <n v="3600"/>
    <x v="0"/>
    <s v="Abdul-L"/>
    <s v="New York"/>
    <x v="0"/>
    <x v="1"/>
  </r>
  <r>
    <x v="17"/>
    <x v="75"/>
    <x v="0"/>
    <x v="1"/>
    <n v="3600"/>
    <x v="0"/>
    <s v="heidi"/>
    <s v="Saint Paul"/>
    <x v="0"/>
    <x v="1"/>
  </r>
  <r>
    <x v="17"/>
    <x v="76"/>
    <x v="0"/>
    <x v="1"/>
    <n v="3600"/>
    <x v="0"/>
    <s v="jiyoung"/>
    <s v="New York"/>
    <x v="0"/>
    <x v="1"/>
  </r>
  <r>
    <x v="11"/>
    <x v="77"/>
    <x v="0"/>
    <x v="0"/>
    <n v="1200"/>
    <x v="0"/>
    <s v="Klara"/>
    <s v="Spring Lake Park"/>
    <x v="0"/>
    <x v="1"/>
  </r>
  <r>
    <x v="10"/>
    <x v="78"/>
    <x v="0"/>
    <x v="0"/>
    <n v="1200"/>
    <x v="0"/>
    <s v="Vicki and Bill"/>
    <s v="Seattle"/>
    <x v="0"/>
    <x v="2"/>
  </r>
  <r>
    <x v="10"/>
    <x v="23"/>
    <x v="0"/>
    <x v="0"/>
    <n v="1200"/>
    <x v="1"/>
    <s v="David"/>
    <s v="Deptford"/>
    <x v="0"/>
    <x v="2"/>
  </r>
  <r>
    <x v="8"/>
    <x v="79"/>
    <x v="0"/>
    <x v="0"/>
    <n v="1200"/>
    <x v="0"/>
    <s v="David"/>
    <s v="Alpharetta"/>
    <x v="0"/>
    <x v="0"/>
  </r>
  <r>
    <x v="17"/>
    <x v="80"/>
    <x v="0"/>
    <x v="0"/>
    <n v="1200"/>
    <x v="0"/>
    <s v="Greg"/>
    <s v="Washington"/>
    <x v="0"/>
    <x v="1"/>
  </r>
  <r>
    <x v="2"/>
    <x v="81"/>
    <x v="0"/>
    <x v="0"/>
    <n v="1200"/>
    <x v="2"/>
    <s v="Bernadette"/>
    <s v="Washington"/>
    <x v="0"/>
    <x v="2"/>
  </r>
  <r>
    <x v="13"/>
    <x v="82"/>
    <x v="0"/>
    <x v="0"/>
    <n v="1200"/>
    <x v="0"/>
    <s v="luciana"/>
    <s v="Athens"/>
    <x v="0"/>
    <x v="5"/>
  </r>
  <r>
    <x v="11"/>
    <x v="83"/>
    <x v="0"/>
    <x v="0"/>
    <n v="1200"/>
    <x v="0"/>
    <s v="Maja"/>
    <s v="Hoschton"/>
    <x v="0"/>
    <x v="1"/>
  </r>
  <r>
    <x v="14"/>
    <x v="84"/>
    <x v="0"/>
    <x v="0"/>
    <n v="1200"/>
    <x v="0"/>
    <s v="Kirstie"/>
    <s v="Royal Oak"/>
    <x v="0"/>
    <x v="4"/>
  </r>
  <r>
    <x v="14"/>
    <x v="85"/>
    <x v="0"/>
    <x v="0"/>
    <n v="1200"/>
    <x v="0"/>
    <s v="Scott"/>
    <s v="Royal Oak"/>
    <x v="0"/>
    <x v="4"/>
  </r>
  <r>
    <x v="0"/>
    <x v="86"/>
    <x v="0"/>
    <x v="0"/>
    <n v="1200"/>
    <x v="1"/>
    <s v="Jammie"/>
    <s v="Belmont"/>
    <x v="0"/>
    <x v="0"/>
  </r>
  <r>
    <x v="18"/>
    <x v="87"/>
    <x v="0"/>
    <x v="0"/>
    <n v="1200"/>
    <x v="1"/>
    <s v="Frank"/>
    <s v="Old Greenwich"/>
    <x v="0"/>
    <x v="2"/>
  </r>
  <r>
    <x v="18"/>
    <x v="88"/>
    <x v="0"/>
    <x v="0"/>
    <n v="1200"/>
    <x v="1"/>
    <s v="scott"/>
    <s v="Coconut Grove"/>
    <x v="0"/>
    <x v="2"/>
  </r>
  <r>
    <x v="9"/>
    <x v="57"/>
    <x v="0"/>
    <x v="0"/>
    <n v="1200"/>
    <x v="0"/>
    <s v="Jiri"/>
    <s v="Vienna"/>
    <x v="0"/>
    <x v="6"/>
  </r>
  <r>
    <x v="17"/>
    <x v="89"/>
    <x v="0"/>
    <x v="1"/>
    <n v="3600"/>
    <x v="0"/>
    <s v="Bev"/>
    <s v="San Ramon"/>
    <x v="0"/>
    <x v="1"/>
  </r>
  <r>
    <x v="14"/>
    <x v="90"/>
    <x v="0"/>
    <x v="0"/>
    <n v="1200"/>
    <x v="0"/>
    <s v="Dave and Amy"/>
    <s v="Norfolk"/>
    <x v="0"/>
    <x v="4"/>
  </r>
  <r>
    <x v="18"/>
    <x v="91"/>
    <x v="0"/>
    <x v="0"/>
    <n v="1200"/>
    <x v="1"/>
    <s v="Rebecca"/>
    <s v="Norfolk"/>
    <x v="0"/>
    <x v="2"/>
  </r>
  <r>
    <x v="7"/>
    <x v="92"/>
    <x v="0"/>
    <x v="0"/>
    <n v="1200"/>
    <x v="0"/>
    <s v="Djeiny"/>
    <s v="Rockville"/>
    <x v="0"/>
    <x v="6"/>
  </r>
  <r>
    <x v="19"/>
    <x v="93"/>
    <x v="0"/>
    <x v="2"/>
    <n v="7500"/>
    <x v="1"/>
    <s v="Amanda"/>
    <s v="Shreveport"/>
    <x v="0"/>
    <x v="3"/>
  </r>
  <r>
    <x v="19"/>
    <x v="94"/>
    <x v="0"/>
    <x v="0"/>
    <n v="1200"/>
    <x v="1"/>
    <s v="Andrea"/>
    <s v="Shreveport"/>
    <x v="0"/>
    <x v="3"/>
  </r>
  <r>
    <x v="9"/>
    <x v="95"/>
    <x v="0"/>
    <x v="0"/>
    <n v="1200"/>
    <x v="2"/>
    <s v="Joanna"/>
    <s v="Little Silver"/>
    <x v="0"/>
    <x v="6"/>
  </r>
  <r>
    <x v="18"/>
    <x v="73"/>
    <x v="0"/>
    <x v="0"/>
    <n v="1200"/>
    <x v="2"/>
    <s v="alison"/>
    <s v="Mid City West"/>
    <x v="0"/>
    <x v="2"/>
  </r>
  <r>
    <x v="17"/>
    <x v="96"/>
    <x v="0"/>
    <x v="0"/>
    <n v="1200"/>
    <x v="0"/>
    <s v="malin"/>
    <s v="Atlanta"/>
    <x v="0"/>
    <x v="1"/>
  </r>
  <r>
    <x v="19"/>
    <x v="97"/>
    <x v="1"/>
    <x v="0"/>
    <n v="1200"/>
    <x v="1"/>
    <s v="Anastasia"/>
    <s v="NYC"/>
    <x v="0"/>
    <x v="3"/>
  </r>
  <r>
    <x v="14"/>
    <x v="38"/>
    <x v="0"/>
    <x v="0"/>
    <n v="1200"/>
    <x v="0"/>
    <s v="Nicole"/>
    <s v="Brookline"/>
    <x v="0"/>
    <x v="4"/>
  </r>
  <r>
    <x v="10"/>
    <x v="98"/>
    <x v="0"/>
    <x v="0"/>
    <n v="1200"/>
    <x v="1"/>
    <s v="Blanca Gabriela"/>
    <s v="Irving"/>
    <x v="0"/>
    <x v="2"/>
  </r>
  <r>
    <x v="1"/>
    <x v="99"/>
    <x v="0"/>
    <x v="0"/>
    <n v="1200"/>
    <x v="2"/>
    <s v="Elisa"/>
    <s v="Ottawa Hills"/>
    <x v="0"/>
    <x v="1"/>
  </r>
  <r>
    <x v="9"/>
    <x v="100"/>
    <x v="0"/>
    <x v="1"/>
    <n v="3600"/>
    <x v="1"/>
    <s v="Patricia"/>
    <s v="Portola Valley"/>
    <x v="0"/>
    <x v="6"/>
  </r>
  <r>
    <x v="15"/>
    <x v="101"/>
    <x v="0"/>
    <x v="2"/>
    <n v="7500"/>
    <x v="0"/>
    <s v="Kristyn"/>
    <s v="Kearns"/>
    <x v="0"/>
    <x v="0"/>
  </r>
  <r>
    <x v="19"/>
    <x v="85"/>
    <x v="0"/>
    <x v="0"/>
    <n v="1200"/>
    <x v="2"/>
    <s v="Cathy"/>
    <s v="Brooklyn"/>
    <x v="0"/>
    <x v="3"/>
  </r>
  <r>
    <x v="3"/>
    <x v="102"/>
    <x v="1"/>
    <x v="2"/>
    <n v="3600"/>
    <x v="2"/>
    <s v="Kaylee"/>
    <s v="Penngrove"/>
    <x v="0"/>
    <x v="3"/>
  </r>
  <r>
    <x v="9"/>
    <x v="103"/>
    <x v="0"/>
    <x v="0"/>
    <n v="1200"/>
    <x v="0"/>
    <s v="suzanne"/>
    <s v="Lemont"/>
    <x v="0"/>
    <x v="6"/>
  </r>
  <r>
    <x v="5"/>
    <x v="104"/>
    <x v="0"/>
    <x v="0"/>
    <n v="1200"/>
    <x v="1"/>
    <s v="Cassandra"/>
    <s v="San Carlos"/>
    <x v="0"/>
    <x v="5"/>
  </r>
  <r>
    <x v="6"/>
    <x v="105"/>
    <x v="0"/>
    <x v="0"/>
    <n v="1200"/>
    <x v="1"/>
    <s v="Jennifer"/>
    <s v="Chicago"/>
    <x v="0"/>
    <x v="4"/>
  </r>
  <r>
    <x v="20"/>
    <x v="106"/>
    <x v="0"/>
    <x v="0"/>
    <n v="1200"/>
    <x v="0"/>
    <s v="Sean"/>
    <s v="Wantagh"/>
    <x v="0"/>
    <x v="5"/>
  </r>
  <r>
    <x v="18"/>
    <x v="107"/>
    <x v="0"/>
    <x v="0"/>
    <n v="1200"/>
    <x v="0"/>
    <s v="Harriet"/>
    <s v="Fort Oglethorpe"/>
    <x v="0"/>
    <x v="2"/>
  </r>
  <r>
    <x v="17"/>
    <x v="108"/>
    <x v="0"/>
    <x v="0"/>
    <n v="1200"/>
    <x v="1"/>
    <s v="Janine"/>
    <s v="Corbin City"/>
    <x v="0"/>
    <x v="1"/>
  </r>
  <r>
    <x v="19"/>
    <x v="109"/>
    <x v="0"/>
    <x v="0"/>
    <n v="1200"/>
    <x v="1"/>
    <s v="Debora"/>
    <s v="Lakeside"/>
    <x v="0"/>
    <x v="3"/>
  </r>
  <r>
    <x v="19"/>
    <x v="73"/>
    <x v="0"/>
    <x v="0"/>
    <n v="1200"/>
    <x v="0"/>
    <s v="Vishpala"/>
    <s v="Margate"/>
    <x v="0"/>
    <x v="3"/>
  </r>
  <r>
    <x v="4"/>
    <x v="110"/>
    <x v="0"/>
    <x v="0"/>
    <n v="1200"/>
    <x v="2"/>
    <s v="Emer"/>
    <s v="South Palm Beach"/>
    <x v="0"/>
    <x v="4"/>
  </r>
  <r>
    <x v="20"/>
    <x v="111"/>
    <x v="0"/>
    <x v="0"/>
    <n v="1200"/>
    <x v="0"/>
    <s v="john"/>
    <s v="New York"/>
    <x v="0"/>
    <x v="5"/>
  </r>
  <r>
    <x v="5"/>
    <x v="112"/>
    <x v="0"/>
    <x v="0"/>
    <n v="1200"/>
    <x v="1"/>
    <s v="lailani"/>
    <s v="Anchorage"/>
    <x v="0"/>
    <x v="5"/>
  </r>
  <r>
    <x v="17"/>
    <x v="78"/>
    <x v="0"/>
    <x v="0"/>
    <n v="1200"/>
    <x v="0"/>
    <s v="Celina"/>
    <s v="North Brunswick"/>
    <x v="0"/>
    <x v="1"/>
  </r>
  <r>
    <x v="20"/>
    <x v="113"/>
    <x v="1"/>
    <x v="1"/>
    <n v="3600"/>
    <x v="0"/>
    <s v="Rosemary"/>
    <s v="Jacksonville"/>
    <x v="0"/>
    <x v="5"/>
  </r>
  <r>
    <x v="21"/>
    <x v="114"/>
    <x v="0"/>
    <x v="0"/>
    <n v="1200"/>
    <x v="0"/>
    <s v="Patrick"/>
    <s v="Baytown"/>
    <x v="0"/>
    <x v="4"/>
  </r>
  <r>
    <x v="10"/>
    <x v="115"/>
    <x v="0"/>
    <x v="0"/>
    <n v="1200"/>
    <x v="1"/>
    <s v="Jacob"/>
    <s v="Winter Haven"/>
    <x v="0"/>
    <x v="2"/>
  </r>
  <r>
    <x v="21"/>
    <x v="116"/>
    <x v="0"/>
    <x v="0"/>
    <n v="1200"/>
    <x v="0"/>
    <s v="elisabeth"/>
    <s v="Gonzaga Univ"/>
    <x v="0"/>
    <x v="4"/>
  </r>
  <r>
    <x v="19"/>
    <x v="117"/>
    <x v="0"/>
    <x v="0"/>
    <n v="1200"/>
    <x v="0"/>
    <s v="Marie"/>
    <s v="Winchester"/>
    <x v="0"/>
    <x v="3"/>
  </r>
  <r>
    <x v="3"/>
    <x v="118"/>
    <x v="0"/>
    <x v="0"/>
    <n v="1200"/>
    <x v="0"/>
    <s v="Orit"/>
    <s v="Dallas"/>
    <x v="0"/>
    <x v="3"/>
  </r>
  <r>
    <x v="22"/>
    <x v="119"/>
    <x v="0"/>
    <x v="1"/>
    <n v="3600"/>
    <x v="1"/>
    <s v="Anja Langer"/>
    <s v="Saint Paul"/>
    <x v="0"/>
    <x v="0"/>
  </r>
  <r>
    <x v="20"/>
    <x v="104"/>
    <x v="0"/>
    <x v="0"/>
    <n v="1200"/>
    <x v="2"/>
    <s v="Eric"/>
    <s v="Ely"/>
    <x v="0"/>
    <x v="5"/>
  </r>
  <r>
    <x v="20"/>
    <x v="19"/>
    <x v="0"/>
    <x v="0"/>
    <n v="1200"/>
    <x v="2"/>
    <s v="Miriane"/>
    <s v="Norfolk"/>
    <x v="0"/>
    <x v="5"/>
  </r>
  <r>
    <x v="18"/>
    <x v="120"/>
    <x v="0"/>
    <x v="0"/>
    <n v="1200"/>
    <x v="0"/>
    <s v="Jeff"/>
    <s v="Houston"/>
    <x v="0"/>
    <x v="2"/>
  </r>
  <r>
    <x v="21"/>
    <x v="52"/>
    <x v="0"/>
    <x v="0"/>
    <n v="1200"/>
    <x v="1"/>
    <s v="Shannon"/>
    <s v="Buffalo Grove"/>
    <x v="0"/>
    <x v="4"/>
  </r>
  <r>
    <x v="20"/>
    <x v="121"/>
    <x v="0"/>
    <x v="0"/>
    <n v="1200"/>
    <x v="0"/>
    <s v="Helen"/>
    <s v="Mechanics Grove"/>
    <x v="0"/>
    <x v="5"/>
  </r>
  <r>
    <x v="22"/>
    <x v="81"/>
    <x v="0"/>
    <x v="2"/>
    <n v="3600"/>
    <x v="2"/>
    <s v="Fatisha"/>
    <s v="Miami"/>
    <x v="0"/>
    <x v="0"/>
  </r>
  <r>
    <x v="17"/>
    <x v="122"/>
    <x v="0"/>
    <x v="0"/>
    <n v="1200"/>
    <x v="0"/>
    <s v="Nina"/>
    <s v="Silver Spring"/>
    <x v="0"/>
    <x v="1"/>
  </r>
  <r>
    <x v="16"/>
    <x v="123"/>
    <x v="0"/>
    <x v="0"/>
    <n v="1200"/>
    <x v="0"/>
    <s v="Georgina"/>
    <s v="Portland"/>
    <x v="0"/>
    <x v="6"/>
  </r>
  <r>
    <x v="22"/>
    <x v="95"/>
    <x v="0"/>
    <x v="0"/>
    <n v="1200"/>
    <x v="0"/>
    <s v="Kellie"/>
    <s v="Staten Island"/>
    <x v="0"/>
    <x v="0"/>
  </r>
  <r>
    <x v="18"/>
    <x v="124"/>
    <x v="0"/>
    <x v="0"/>
    <n v="1200"/>
    <x v="1"/>
    <s v="Terry"/>
    <s v="San Antonio"/>
    <x v="0"/>
    <x v="2"/>
  </r>
  <r>
    <x v="5"/>
    <x v="125"/>
    <x v="0"/>
    <x v="1"/>
    <n v="3600"/>
    <x v="1"/>
    <s v="Cindy"/>
    <s v="Englewood"/>
    <x v="0"/>
    <x v="5"/>
  </r>
  <r>
    <x v="16"/>
    <x v="126"/>
    <x v="0"/>
    <x v="0"/>
    <n v="1200"/>
    <x v="0"/>
    <s v="Simone"/>
    <s v="San Antonio"/>
    <x v="0"/>
    <x v="6"/>
  </r>
  <r>
    <x v="23"/>
    <x v="127"/>
    <x v="1"/>
    <x v="0"/>
    <n v="1200"/>
    <x v="0"/>
    <s v="Hilde"/>
    <s v="Princeville"/>
    <x v="0"/>
    <x v="1"/>
  </r>
  <r>
    <x v="3"/>
    <x v="128"/>
    <x v="0"/>
    <x v="0"/>
    <n v="1200"/>
    <x v="1"/>
    <s v="Anna"/>
    <s v="Lafayette"/>
    <x v="0"/>
    <x v="3"/>
  </r>
  <r>
    <x v="12"/>
    <x v="129"/>
    <x v="0"/>
    <x v="0"/>
    <n v="1200"/>
    <x v="0"/>
    <s v="leiser"/>
    <s v="N Java"/>
    <x v="0"/>
    <x v="3"/>
  </r>
  <r>
    <x v="3"/>
    <x v="130"/>
    <x v="0"/>
    <x v="0"/>
    <n v="1200"/>
    <x v="0"/>
    <s v="Ann"/>
    <s v="Austin"/>
    <x v="0"/>
    <x v="3"/>
  </r>
  <r>
    <x v="17"/>
    <x v="46"/>
    <x v="0"/>
    <x v="0"/>
    <n v="1200"/>
    <x v="1"/>
    <s v="Nichol Jane"/>
    <s v="Midland Park"/>
    <x v="0"/>
    <x v="1"/>
  </r>
  <r>
    <x v="12"/>
    <x v="131"/>
    <x v="0"/>
    <x v="0"/>
    <n v="1200"/>
    <x v="2"/>
    <s v="Beatriz"/>
    <s v="Centerport"/>
    <x v="0"/>
    <x v="3"/>
  </r>
  <r>
    <x v="17"/>
    <x v="132"/>
    <x v="0"/>
    <x v="0"/>
    <n v="1200"/>
    <x v="0"/>
    <s v="Isabelle"/>
    <s v="Shorewood"/>
    <x v="0"/>
    <x v="1"/>
  </r>
  <r>
    <x v="21"/>
    <x v="133"/>
    <x v="0"/>
    <x v="0"/>
    <n v="1200"/>
    <x v="0"/>
    <s v="Lynne"/>
    <s v="Southlake"/>
    <x v="0"/>
    <x v="4"/>
  </r>
  <r>
    <x v="6"/>
    <x v="134"/>
    <x v="0"/>
    <x v="0"/>
    <n v="1200"/>
    <x v="1"/>
    <s v="Doug"/>
    <s v="Huntington"/>
    <x v="0"/>
    <x v="4"/>
  </r>
  <r>
    <x v="1"/>
    <x v="135"/>
    <x v="0"/>
    <x v="0"/>
    <n v="1200"/>
    <x v="1"/>
    <s v="AMY"/>
    <s v="The Woodlands"/>
    <x v="0"/>
    <x v="1"/>
  </r>
  <r>
    <x v="8"/>
    <x v="136"/>
    <x v="0"/>
    <x v="0"/>
    <n v="1200"/>
    <x v="1"/>
    <s v="HELIDA"/>
    <s v="White House"/>
    <x v="0"/>
    <x v="0"/>
  </r>
  <r>
    <x v="24"/>
    <x v="137"/>
    <x v="0"/>
    <x v="0"/>
    <n v="1200"/>
    <x v="1"/>
    <s v="Wendy"/>
    <s v="Lake Mahopac"/>
    <x v="0"/>
    <x v="2"/>
  </r>
  <r>
    <x v="11"/>
    <x v="138"/>
    <x v="0"/>
    <x v="1"/>
    <n v="3600"/>
    <x v="0"/>
    <s v="shelby"/>
    <s v="Plantation"/>
    <x v="0"/>
    <x v="1"/>
  </r>
  <r>
    <x v="20"/>
    <x v="139"/>
    <x v="0"/>
    <x v="2"/>
    <n v="800"/>
    <x v="2"/>
    <s v="Heloise"/>
    <s v="Arlington"/>
    <x v="0"/>
    <x v="5"/>
  </r>
  <r>
    <x v="24"/>
    <x v="140"/>
    <x v="0"/>
    <x v="0"/>
    <n v="1200"/>
    <x v="0"/>
    <s v="Jodie"/>
    <s v="Great Falls"/>
    <x v="0"/>
    <x v="2"/>
  </r>
  <r>
    <x v="5"/>
    <x v="141"/>
    <x v="0"/>
    <x v="0"/>
    <n v="1200"/>
    <x v="0"/>
    <s v="Marie"/>
    <s v="Dickerson"/>
    <x v="0"/>
    <x v="5"/>
  </r>
  <r>
    <x v="17"/>
    <x v="142"/>
    <x v="0"/>
    <x v="0"/>
    <n v="1200"/>
    <x v="1"/>
    <s v="Lisa"/>
    <s v="Princeton"/>
    <x v="0"/>
    <x v="1"/>
  </r>
  <r>
    <x v="25"/>
    <x v="143"/>
    <x v="0"/>
    <x v="0"/>
    <n v="1200"/>
    <x v="0"/>
    <s v="Katrine"/>
    <s v="North Tustin"/>
    <x v="0"/>
    <x v="6"/>
  </r>
  <r>
    <x v="24"/>
    <x v="144"/>
    <x v="0"/>
    <x v="0"/>
    <n v="1200"/>
    <x v="0"/>
    <s v="prof"/>
    <s v="Gladwyne"/>
    <x v="0"/>
    <x v="2"/>
  </r>
  <r>
    <x v="20"/>
    <x v="145"/>
    <x v="0"/>
    <x v="0"/>
    <n v="1200"/>
    <x v="1"/>
    <s v="KeithMichelle"/>
    <s v="Houston"/>
    <x v="0"/>
    <x v="5"/>
  </r>
  <r>
    <x v="19"/>
    <x v="146"/>
    <x v="0"/>
    <x v="1"/>
    <n v="3600"/>
    <x v="0"/>
    <s v="Miye"/>
    <s v="Downingtown"/>
    <x v="0"/>
    <x v="3"/>
  </r>
  <r>
    <x v="26"/>
    <x v="147"/>
    <x v="0"/>
    <x v="0"/>
    <n v="1200"/>
    <x v="0"/>
    <s v="Heidi"/>
    <s v="MT Pleasant"/>
    <x v="0"/>
    <x v="3"/>
  </r>
  <r>
    <x v="12"/>
    <x v="148"/>
    <x v="0"/>
    <x v="1"/>
    <n v="3600"/>
    <x v="0"/>
    <s v="Daniele"/>
    <s v="Katy"/>
    <x v="0"/>
    <x v="3"/>
  </r>
  <r>
    <x v="6"/>
    <x v="79"/>
    <x v="0"/>
    <x v="0"/>
    <n v="1200"/>
    <x v="0"/>
    <s v="Nadine"/>
    <s v="Belgrade"/>
    <x v="0"/>
    <x v="4"/>
  </r>
  <r>
    <x v="26"/>
    <x v="149"/>
    <x v="0"/>
    <x v="0"/>
    <n v="1200"/>
    <x v="0"/>
    <s v="Katherine"/>
    <s v="Corrales"/>
    <x v="0"/>
    <x v="3"/>
  </r>
  <r>
    <x v="6"/>
    <x v="114"/>
    <x v="0"/>
    <x v="0"/>
    <n v="1200"/>
    <x v="0"/>
    <s v="Veronique"/>
    <s v="Tenafly"/>
    <x v="0"/>
    <x v="4"/>
  </r>
  <r>
    <x v="1"/>
    <x v="150"/>
    <x v="0"/>
    <x v="0"/>
    <n v="1200"/>
    <x v="0"/>
    <s v="Erica"/>
    <s v="Leesburg"/>
    <x v="0"/>
    <x v="1"/>
  </r>
  <r>
    <x v="27"/>
    <x v="151"/>
    <x v="1"/>
    <x v="0"/>
    <n v="1200"/>
    <x v="1"/>
    <s v="Natalie"/>
    <s v="Bryceville"/>
    <x v="0"/>
    <x v="5"/>
  </r>
  <r>
    <x v="27"/>
    <x v="152"/>
    <x v="0"/>
    <x v="0"/>
    <n v="1200"/>
    <x v="0"/>
    <s v="cari"/>
    <s v="Dryden"/>
    <x v="0"/>
    <x v="5"/>
  </r>
  <r>
    <x v="27"/>
    <x v="153"/>
    <x v="0"/>
    <x v="0"/>
    <n v="1200"/>
    <x v="0"/>
    <s v="Ina"/>
    <s v="Fayetteville"/>
    <x v="0"/>
    <x v="5"/>
  </r>
  <r>
    <x v="3"/>
    <x v="80"/>
    <x v="0"/>
    <x v="1"/>
    <n v="3600"/>
    <x v="0"/>
    <s v="Trina"/>
    <s v="Overland"/>
    <x v="0"/>
    <x v="3"/>
  </r>
  <r>
    <x v="8"/>
    <x v="154"/>
    <x v="0"/>
    <x v="1"/>
    <n v="3600"/>
    <x v="0"/>
    <s v="Jenna and Paul"/>
    <s v="Senatobia"/>
    <x v="0"/>
    <x v="0"/>
  </r>
  <r>
    <x v="0"/>
    <x v="155"/>
    <x v="1"/>
    <x v="0"/>
    <n v="1200"/>
    <x v="1"/>
    <s v="Monique"/>
    <s v="Waldorf"/>
    <x v="0"/>
    <x v="0"/>
  </r>
  <r>
    <x v="27"/>
    <x v="156"/>
    <x v="1"/>
    <x v="0"/>
    <n v="1200"/>
    <x v="0"/>
    <s v="lilia"/>
    <s v="Brooklyn"/>
    <x v="0"/>
    <x v="5"/>
  </r>
  <r>
    <x v="13"/>
    <x v="157"/>
    <x v="1"/>
    <x v="0"/>
    <n v="1200"/>
    <x v="1"/>
    <s v="Lainey"/>
    <s v="Lakeville"/>
    <x v="0"/>
    <x v="5"/>
  </r>
  <r>
    <x v="5"/>
    <x v="158"/>
    <x v="1"/>
    <x v="0"/>
    <n v="1200"/>
    <x v="2"/>
    <s v="Fiona"/>
    <s v="Stamford"/>
    <x v="0"/>
    <x v="5"/>
  </r>
  <r>
    <x v="17"/>
    <x v="159"/>
    <x v="0"/>
    <x v="0"/>
    <n v="1200"/>
    <x v="1"/>
    <s v="Stanford"/>
    <s v="Howell"/>
    <x v="0"/>
    <x v="1"/>
  </r>
  <r>
    <x v="1"/>
    <x v="160"/>
    <x v="0"/>
    <x v="0"/>
    <n v="1200"/>
    <x v="2"/>
    <s v="ruth"/>
    <s v="Encinitas"/>
    <x v="0"/>
    <x v="1"/>
  </r>
  <r>
    <x v="2"/>
    <x v="161"/>
    <x v="0"/>
    <x v="0"/>
    <n v="1200"/>
    <x v="0"/>
    <s v="Courtney"/>
    <s v="Atchison"/>
    <x v="0"/>
    <x v="2"/>
  </r>
  <r>
    <x v="2"/>
    <x v="162"/>
    <x v="0"/>
    <x v="2"/>
    <n v="3600"/>
    <x v="2"/>
    <s v="Courtney"/>
    <s v="Mililani"/>
    <x v="0"/>
    <x v="2"/>
  </r>
  <r>
    <x v="10"/>
    <x v="163"/>
    <x v="0"/>
    <x v="0"/>
    <n v="1200"/>
    <x v="0"/>
    <s v="Anthony"/>
    <s v="Victor"/>
    <x v="0"/>
    <x v="2"/>
  </r>
  <r>
    <x v="17"/>
    <x v="164"/>
    <x v="0"/>
    <x v="0"/>
    <n v="1200"/>
    <x v="0"/>
    <s v="Eleanor"/>
    <s v="Fairbanks"/>
    <x v="0"/>
    <x v="1"/>
  </r>
  <r>
    <x v="27"/>
    <x v="165"/>
    <x v="0"/>
    <x v="0"/>
    <n v="1200"/>
    <x v="2"/>
    <s v="BALA"/>
    <s v="Accokeek"/>
    <x v="0"/>
    <x v="5"/>
  </r>
  <r>
    <x v="28"/>
    <x v="166"/>
    <x v="0"/>
    <x v="0"/>
    <n v="1200"/>
    <x v="0"/>
    <s v="Mrs"/>
    <s v="Sunnyvale"/>
    <x v="0"/>
    <x v="4"/>
  </r>
  <r>
    <x v="28"/>
    <x v="167"/>
    <x v="0"/>
    <x v="0"/>
    <n v="1200"/>
    <x v="0"/>
    <s v="Vanessa"/>
    <s v="Ithaca"/>
    <x v="0"/>
    <x v="4"/>
  </r>
  <r>
    <x v="12"/>
    <x v="168"/>
    <x v="0"/>
    <x v="0"/>
    <n v="1200"/>
    <x v="2"/>
    <s v="Amanda"/>
    <s v="Houston"/>
    <x v="0"/>
    <x v="3"/>
  </r>
  <r>
    <x v="8"/>
    <x v="169"/>
    <x v="0"/>
    <x v="0"/>
    <n v="1200"/>
    <x v="1"/>
    <s v="alex"/>
    <s v="Farmingtn Hls"/>
    <x v="0"/>
    <x v="0"/>
  </r>
  <r>
    <x v="22"/>
    <x v="119"/>
    <x v="0"/>
    <x v="0"/>
    <n v="1200"/>
    <x v="1"/>
    <s v="T"/>
    <s v="Brooklyn"/>
    <x v="0"/>
    <x v="0"/>
  </r>
  <r>
    <x v="28"/>
    <x v="170"/>
    <x v="1"/>
    <x v="0"/>
    <n v="1200"/>
    <x v="1"/>
    <s v="Alva and Martin"/>
    <s v="Great Falls"/>
    <x v="0"/>
    <x v="4"/>
  </r>
  <r>
    <x v="28"/>
    <x v="171"/>
    <x v="0"/>
    <x v="1"/>
    <n v="300000"/>
    <x v="1"/>
    <s v="Jacqui"/>
    <s v="Scottsdale"/>
    <x v="0"/>
    <x v="4"/>
  </r>
  <r>
    <x v="28"/>
    <x v="172"/>
    <x v="0"/>
    <x v="0"/>
    <n v="1200"/>
    <x v="0"/>
    <s v="KERRY"/>
    <s v="Sunnyvale"/>
    <x v="0"/>
    <x v="4"/>
  </r>
  <r>
    <x v="21"/>
    <x v="173"/>
    <x v="0"/>
    <x v="1"/>
    <n v="300000"/>
    <x v="1"/>
    <s v="leanne"/>
    <s v="Clyde Hill"/>
    <x v="0"/>
    <x v="4"/>
  </r>
  <r>
    <x v="11"/>
    <x v="174"/>
    <x v="1"/>
    <x v="0"/>
    <n v="1200"/>
    <x v="0"/>
    <s v="Marina"/>
    <s v="Minneapolis"/>
    <x v="0"/>
    <x v="1"/>
  </r>
  <r>
    <x v="0"/>
    <x v="175"/>
    <x v="0"/>
    <x v="0"/>
    <n v="1200"/>
    <x v="0"/>
    <s v="camilla"/>
    <s v="Chicago"/>
    <x v="0"/>
    <x v="0"/>
  </r>
  <r>
    <x v="18"/>
    <x v="176"/>
    <x v="0"/>
    <x v="0"/>
    <n v="1200"/>
    <x v="1"/>
    <s v="Maie"/>
    <s v="Queen Creek"/>
    <x v="0"/>
    <x v="2"/>
  </r>
  <r>
    <x v="24"/>
    <x v="27"/>
    <x v="1"/>
    <x v="0"/>
    <n v="1250"/>
    <x v="1"/>
    <s v="verena"/>
    <s v="Queen Creek"/>
    <x v="0"/>
    <x v="2"/>
  </r>
  <r>
    <x v="5"/>
    <x v="177"/>
    <x v="0"/>
    <x v="0"/>
    <n v="1200"/>
    <x v="0"/>
    <s v="Marie-Christine"/>
    <s v="Durham"/>
    <x v="0"/>
    <x v="5"/>
  </r>
  <r>
    <x v="24"/>
    <x v="178"/>
    <x v="0"/>
    <x v="0"/>
    <n v="1200"/>
    <x v="1"/>
    <s v="Gabriella"/>
    <s v="Austin"/>
    <x v="0"/>
    <x v="2"/>
  </r>
  <r>
    <x v="6"/>
    <x v="179"/>
    <x v="0"/>
    <x v="0"/>
    <n v="1200"/>
    <x v="1"/>
    <s v="valerie et nicolas"/>
    <s v="Glenn Dale"/>
    <x v="0"/>
    <x v="4"/>
  </r>
  <r>
    <x v="29"/>
    <x v="180"/>
    <x v="0"/>
    <x v="0"/>
    <n v="1200"/>
    <x v="0"/>
    <s v="Renee"/>
    <s v="Edinburg"/>
    <x v="0"/>
    <x v="0"/>
  </r>
  <r>
    <x v="30"/>
    <x v="181"/>
    <x v="0"/>
    <x v="0"/>
    <n v="1200"/>
    <x v="0"/>
    <s v="Monica"/>
    <s v="Weston"/>
    <x v="0"/>
    <x v="6"/>
  </r>
  <r>
    <x v="30"/>
    <x v="159"/>
    <x v="0"/>
    <x v="0"/>
    <n v="1200"/>
    <x v="1"/>
    <s v="Laura"/>
    <s v="Coconut Grove"/>
    <x v="0"/>
    <x v="6"/>
  </r>
  <r>
    <x v="11"/>
    <x v="182"/>
    <x v="0"/>
    <x v="0"/>
    <n v="1200"/>
    <x v="0"/>
    <s v="Sarah"/>
    <s v="San Francisco"/>
    <x v="0"/>
    <x v="1"/>
  </r>
  <r>
    <x v="30"/>
    <x v="183"/>
    <x v="0"/>
    <x v="1"/>
    <n v="300000"/>
    <x v="1"/>
    <s v="Ulrika"/>
    <s v="Scottsdale"/>
    <x v="0"/>
    <x v="6"/>
  </r>
  <r>
    <x v="0"/>
    <x v="184"/>
    <x v="0"/>
    <x v="0"/>
    <n v="1200"/>
    <x v="2"/>
    <s v="leigh"/>
    <s v="Potomac Falls"/>
    <x v="0"/>
    <x v="0"/>
  </r>
  <r>
    <x v="1"/>
    <x v="185"/>
    <x v="0"/>
    <x v="0"/>
    <n v="1200"/>
    <x v="1"/>
    <s v="Nuria"/>
    <s v="Superior"/>
    <x v="0"/>
    <x v="1"/>
  </r>
  <r>
    <x v="17"/>
    <x v="186"/>
    <x v="0"/>
    <x v="0"/>
    <n v="1200"/>
    <x v="1"/>
    <s v="Ignacio"/>
    <s v="Engleside"/>
    <x v="0"/>
    <x v="1"/>
  </r>
  <r>
    <x v="25"/>
    <x v="187"/>
    <x v="0"/>
    <x v="0"/>
    <n v="1200"/>
    <x v="1"/>
    <s v="nihan"/>
    <s v="Roanoke"/>
    <x v="0"/>
    <x v="6"/>
  </r>
  <r>
    <x v="25"/>
    <x v="188"/>
    <x v="0"/>
    <x v="0"/>
    <n v="1200"/>
    <x v="0"/>
    <s v="alan"/>
    <s v="Norcross"/>
    <x v="0"/>
    <x v="6"/>
  </r>
  <r>
    <x v="3"/>
    <x v="23"/>
    <x v="0"/>
    <x v="0"/>
    <n v="1200"/>
    <x v="2"/>
    <s v="lydia"/>
    <s v="Sandy Plains"/>
    <x v="0"/>
    <x v="3"/>
  </r>
  <r>
    <x v="7"/>
    <x v="189"/>
    <x v="0"/>
    <x v="0"/>
    <n v="1200"/>
    <x v="0"/>
    <s v="Anja"/>
    <s v="Gainesville"/>
    <x v="0"/>
    <x v="6"/>
  </r>
  <r>
    <x v="10"/>
    <x v="190"/>
    <x v="0"/>
    <x v="0"/>
    <n v="1200"/>
    <x v="0"/>
    <s v="Holly"/>
    <s v="Arlington"/>
    <x v="0"/>
    <x v="2"/>
  </r>
  <r>
    <x v="5"/>
    <x v="89"/>
    <x v="0"/>
    <x v="0"/>
    <n v="1200"/>
    <x v="0"/>
    <s v="megan"/>
    <s v="West Hills"/>
    <x v="0"/>
    <x v="5"/>
  </r>
  <r>
    <x v="8"/>
    <x v="191"/>
    <x v="0"/>
    <x v="0"/>
    <n v="1200"/>
    <x v="1"/>
    <s v="Tarah"/>
    <s v="San Jose"/>
    <x v="0"/>
    <x v="0"/>
  </r>
  <r>
    <x v="22"/>
    <x v="192"/>
    <x v="0"/>
    <x v="0"/>
    <n v="1200"/>
    <x v="0"/>
    <s v="Joanne"/>
    <s v="Oak Park"/>
    <x v="0"/>
    <x v="0"/>
  </r>
  <r>
    <x v="3"/>
    <x v="193"/>
    <x v="0"/>
    <x v="0"/>
    <n v="1200"/>
    <x v="0"/>
    <s v="Margaret"/>
    <s v="Terrell Hills"/>
    <x v="0"/>
    <x v="3"/>
  </r>
  <r>
    <x v="27"/>
    <x v="194"/>
    <x v="0"/>
    <x v="0"/>
    <n v="1200"/>
    <x v="0"/>
    <s v="Whitney"/>
    <s v="Falmouth"/>
    <x v="0"/>
    <x v="5"/>
  </r>
  <r>
    <x v="18"/>
    <x v="195"/>
    <x v="0"/>
    <x v="0"/>
    <n v="1200"/>
    <x v="0"/>
    <s v="Pam"/>
    <s v="Richmond"/>
    <x v="0"/>
    <x v="2"/>
  </r>
  <r>
    <x v="29"/>
    <x v="196"/>
    <x v="0"/>
    <x v="0"/>
    <n v="1200"/>
    <x v="0"/>
    <s v="Heather"/>
    <s v="Ooltewah"/>
    <x v="0"/>
    <x v="0"/>
  </r>
  <r>
    <x v="2"/>
    <x v="197"/>
    <x v="1"/>
    <x v="0"/>
    <n v="1200"/>
    <x v="1"/>
    <s v="Kathryn"/>
    <s v="Pacific Beach"/>
    <x v="0"/>
    <x v="2"/>
  </r>
  <r>
    <x v="27"/>
    <x v="59"/>
    <x v="0"/>
    <x v="0"/>
    <n v="1200"/>
    <x v="0"/>
    <s v="Michele"/>
    <s v="Austin"/>
    <x v="0"/>
    <x v="5"/>
  </r>
  <r>
    <x v="9"/>
    <x v="198"/>
    <x v="0"/>
    <x v="0"/>
    <n v="1200"/>
    <x v="0"/>
    <s v="Craig"/>
    <s v="Seattle"/>
    <x v="0"/>
    <x v="6"/>
  </r>
  <r>
    <x v="23"/>
    <x v="121"/>
    <x v="0"/>
    <x v="0"/>
    <n v="1200"/>
    <x v="0"/>
    <s v="Kim"/>
    <s v="Seattle"/>
    <x v="0"/>
    <x v="1"/>
  </r>
  <r>
    <x v="20"/>
    <x v="199"/>
    <x v="0"/>
    <x v="0"/>
    <n v="1200"/>
    <x v="0"/>
    <s v="Elaine"/>
    <s v="Vienna"/>
    <x v="0"/>
    <x v="5"/>
  </r>
  <r>
    <x v="26"/>
    <x v="148"/>
    <x v="0"/>
    <x v="0"/>
    <n v="1200"/>
    <x v="0"/>
    <s v="Helena"/>
    <s v="Fremont"/>
    <x v="0"/>
    <x v="3"/>
  </r>
  <r>
    <x v="14"/>
    <x v="128"/>
    <x v="0"/>
    <x v="0"/>
    <n v="1200"/>
    <x v="2"/>
    <s v="Mark"/>
    <s v="Holmdel"/>
    <x v="0"/>
    <x v="4"/>
  </r>
  <r>
    <x v="12"/>
    <x v="200"/>
    <x v="0"/>
    <x v="0"/>
    <n v="1200"/>
    <x v="0"/>
    <s v="alice and rudolf"/>
    <s v="Baltimore"/>
    <x v="0"/>
    <x v="3"/>
  </r>
  <r>
    <x v="15"/>
    <x v="201"/>
    <x v="0"/>
    <x v="0"/>
    <n v="1200"/>
    <x v="1"/>
    <s v="Yoko"/>
    <s v="Andover"/>
    <x v="0"/>
    <x v="0"/>
  </r>
  <r>
    <x v="4"/>
    <x v="202"/>
    <x v="0"/>
    <x v="0"/>
    <n v="1200"/>
    <x v="1"/>
    <s v="Barbara"/>
    <s v="La Crescenta"/>
    <x v="0"/>
    <x v="4"/>
  </r>
  <r>
    <x v="12"/>
    <x v="203"/>
    <x v="0"/>
    <x v="0"/>
    <n v="1200"/>
    <x v="1"/>
    <s v="Kit"/>
    <s v="Suwanee"/>
    <x v="0"/>
    <x v="3"/>
  </r>
  <r>
    <x v="3"/>
    <x v="204"/>
    <x v="0"/>
    <x v="1"/>
    <n v="3600"/>
    <x v="0"/>
    <s v="cristina"/>
    <s v="Seattle"/>
    <x v="0"/>
    <x v="3"/>
  </r>
  <r>
    <x v="2"/>
    <x v="205"/>
    <x v="0"/>
    <x v="0"/>
    <n v="1200"/>
    <x v="2"/>
    <s v="linda"/>
    <s v="Arlington"/>
    <x v="0"/>
    <x v="2"/>
  </r>
  <r>
    <x v="10"/>
    <x v="206"/>
    <x v="0"/>
    <x v="0"/>
    <n v="1200"/>
    <x v="0"/>
    <s v="Alicja"/>
    <s v="Kenmore"/>
    <x v="0"/>
    <x v="2"/>
  </r>
  <r>
    <x v="16"/>
    <x v="207"/>
    <x v="0"/>
    <x v="0"/>
    <n v="1200"/>
    <x v="0"/>
    <s v="Rachel"/>
    <s v="Fresno"/>
    <x v="0"/>
    <x v="6"/>
  </r>
  <r>
    <x v="17"/>
    <x v="80"/>
    <x v="0"/>
    <x v="0"/>
    <n v="1200"/>
    <x v="2"/>
    <s v="Rachel"/>
    <s v="Atascadero"/>
    <x v="0"/>
    <x v="1"/>
  </r>
  <r>
    <x v="11"/>
    <x v="208"/>
    <x v="0"/>
    <x v="0"/>
    <n v="1200"/>
    <x v="1"/>
    <s v="Anna"/>
    <s v="New York"/>
    <x v="0"/>
    <x v="1"/>
  </r>
  <r>
    <x v="18"/>
    <x v="129"/>
    <x v="0"/>
    <x v="0"/>
    <n v="1200"/>
    <x v="1"/>
    <s v="Laura"/>
    <s v="Fairfield"/>
    <x v="0"/>
    <x v="2"/>
  </r>
  <r>
    <x v="14"/>
    <x v="209"/>
    <x v="0"/>
    <x v="0"/>
    <n v="1200"/>
    <x v="0"/>
    <s v="Katherine"/>
    <s v="Marietta"/>
    <x v="0"/>
    <x v="4"/>
  </r>
  <r>
    <x v="10"/>
    <x v="210"/>
    <x v="0"/>
    <x v="0"/>
    <n v="1200"/>
    <x v="2"/>
    <s v="Francoise"/>
    <s v="Danville"/>
    <x v="0"/>
    <x v="2"/>
  </r>
  <r>
    <x v="23"/>
    <x v="211"/>
    <x v="0"/>
    <x v="0"/>
    <n v="1200"/>
    <x v="2"/>
    <s v="Corinne"/>
    <s v="Anthem"/>
    <x v="0"/>
    <x v="1"/>
  </r>
  <r>
    <x v="2"/>
    <x v="212"/>
    <x v="0"/>
    <x v="0"/>
    <n v="1200"/>
    <x v="0"/>
    <s v="Carmen"/>
    <s v="Arlington"/>
    <x v="0"/>
    <x v="2"/>
  </r>
  <r>
    <x v="5"/>
    <x v="213"/>
    <x v="0"/>
    <x v="2"/>
    <n v="3600"/>
    <x v="2"/>
    <s v="Brittany"/>
    <s v="Orlando"/>
    <x v="0"/>
    <x v="5"/>
  </r>
  <r>
    <x v="22"/>
    <x v="214"/>
    <x v="0"/>
    <x v="0"/>
    <n v="1200"/>
    <x v="1"/>
    <s v="Sandrine"/>
    <s v="Walnut Creek"/>
    <x v="0"/>
    <x v="0"/>
  </r>
  <r>
    <x v="7"/>
    <x v="215"/>
    <x v="0"/>
    <x v="0"/>
    <n v="1200"/>
    <x v="1"/>
    <s v="asuncion"/>
    <s v="Centennial"/>
    <x v="0"/>
    <x v="6"/>
  </r>
  <r>
    <x v="11"/>
    <x v="216"/>
    <x v="0"/>
    <x v="0"/>
    <n v="1200"/>
    <x v="0"/>
    <s v="Sophie"/>
    <s v="Newtown"/>
    <x v="0"/>
    <x v="1"/>
  </r>
  <r>
    <x v="28"/>
    <x v="217"/>
    <x v="0"/>
    <x v="0"/>
    <n v="1200"/>
    <x v="0"/>
    <s v="samuel"/>
    <s v="Saddle Brook"/>
    <x v="0"/>
    <x v="4"/>
  </r>
  <r>
    <x v="6"/>
    <x v="218"/>
    <x v="0"/>
    <x v="0"/>
    <n v="1200"/>
    <x v="2"/>
    <s v="AngelinaPatrick"/>
    <s v="San Diego"/>
    <x v="0"/>
    <x v="4"/>
  </r>
  <r>
    <x v="30"/>
    <x v="219"/>
    <x v="0"/>
    <x v="0"/>
    <n v="1200"/>
    <x v="0"/>
    <s v="Sven"/>
    <s v="Issaquah"/>
    <x v="0"/>
    <x v="6"/>
  </r>
  <r>
    <x v="29"/>
    <x v="220"/>
    <x v="0"/>
    <x v="0"/>
    <n v="1200"/>
    <x v="0"/>
    <s v="Patrick"/>
    <s v="Lexington"/>
    <x v="0"/>
    <x v="0"/>
  </r>
  <r>
    <x v="26"/>
    <x v="78"/>
    <x v="0"/>
    <x v="0"/>
    <n v="1200"/>
    <x v="0"/>
    <s v="jason"/>
    <s v="Altadena"/>
    <x v="0"/>
    <x v="3"/>
  </r>
  <r>
    <x v="29"/>
    <x v="221"/>
    <x v="0"/>
    <x v="0"/>
    <n v="250"/>
    <x v="0"/>
    <s v="Tabatha"/>
    <s v="Altadena"/>
    <x v="0"/>
    <x v="0"/>
  </r>
  <r>
    <x v="16"/>
    <x v="222"/>
    <x v="0"/>
    <x v="1"/>
    <n v="3600"/>
    <x v="0"/>
    <s v="Aline"/>
    <s v="Davis"/>
    <x v="0"/>
    <x v="6"/>
  </r>
  <r>
    <x v="29"/>
    <x v="223"/>
    <x v="0"/>
    <x v="0"/>
    <n v="1200"/>
    <x v="1"/>
    <s v="Natasha"/>
    <s v="Pasadena"/>
    <x v="0"/>
    <x v="0"/>
  </r>
  <r>
    <x v="26"/>
    <x v="224"/>
    <x v="0"/>
    <x v="0"/>
    <n v="1200"/>
    <x v="1"/>
    <s v="Melinda"/>
    <s v="Buffalo Grove"/>
    <x v="0"/>
    <x v="3"/>
  </r>
  <r>
    <x v="20"/>
    <x v="76"/>
    <x v="0"/>
    <x v="2"/>
    <n v="1200"/>
    <x v="2"/>
    <s v="Britlyn"/>
    <s v="Norwalk"/>
    <x v="0"/>
    <x v="5"/>
  </r>
  <r>
    <x v="19"/>
    <x v="116"/>
    <x v="0"/>
    <x v="0"/>
    <n v="1200"/>
    <x v="1"/>
    <s v="Sarah"/>
    <s v="Floyds Knobs"/>
    <x v="0"/>
    <x v="3"/>
  </r>
  <r>
    <x v="11"/>
    <x v="88"/>
    <x v="0"/>
    <x v="0"/>
    <n v="1200"/>
    <x v="2"/>
    <s v="Caroline"/>
    <s v="Marietta"/>
    <x v="0"/>
    <x v="1"/>
  </r>
  <r>
    <x v="22"/>
    <x v="98"/>
    <x v="0"/>
    <x v="0"/>
    <n v="1800"/>
    <x v="2"/>
    <s v="Karena"/>
    <s v="Marietta"/>
    <x v="0"/>
    <x v="0"/>
  </r>
  <r>
    <x v="20"/>
    <x v="225"/>
    <x v="0"/>
    <x v="0"/>
    <n v="1200"/>
    <x v="2"/>
    <s v="janet"/>
    <s v="Hon"/>
    <x v="0"/>
    <x v="5"/>
  </r>
  <r>
    <x v="11"/>
    <x v="226"/>
    <x v="0"/>
    <x v="2"/>
    <n v="7500"/>
    <x v="0"/>
    <s v="Hans"/>
    <s v="Knoxville"/>
    <x v="0"/>
    <x v="1"/>
  </r>
  <r>
    <x v="11"/>
    <x v="227"/>
    <x v="0"/>
    <x v="0"/>
    <n v="1200"/>
    <x v="0"/>
    <s v="SandraThierryZoe"/>
    <s v="Knoxville"/>
    <x v="0"/>
    <x v="1"/>
  </r>
  <r>
    <x v="16"/>
    <x v="228"/>
    <x v="0"/>
    <x v="0"/>
    <n v="1200"/>
    <x v="0"/>
    <s v="Cara"/>
    <s v="Humble"/>
    <x v="0"/>
    <x v="6"/>
  </r>
  <r>
    <x v="1"/>
    <x v="106"/>
    <x v="0"/>
    <x v="0"/>
    <n v="1200"/>
    <x v="0"/>
    <s v="carolien"/>
    <s v="Mashpee"/>
    <x v="0"/>
    <x v="1"/>
  </r>
  <r>
    <x v="19"/>
    <x v="229"/>
    <x v="0"/>
    <x v="0"/>
    <n v="1200"/>
    <x v="0"/>
    <s v="Patrick"/>
    <s v="Birmingham"/>
    <x v="0"/>
    <x v="3"/>
  </r>
  <r>
    <x v="24"/>
    <x v="230"/>
    <x v="0"/>
    <x v="0"/>
    <n v="1200"/>
    <x v="0"/>
    <s v="Heidi"/>
    <s v="St Augustine"/>
    <x v="0"/>
    <x v="2"/>
  </r>
  <r>
    <x v="28"/>
    <x v="231"/>
    <x v="0"/>
    <x v="0"/>
    <n v="1200"/>
    <x v="0"/>
    <s v="Tom"/>
    <s v="Salt Lake City"/>
    <x v="0"/>
    <x v="4"/>
  </r>
  <r>
    <x v="10"/>
    <x v="232"/>
    <x v="0"/>
    <x v="2"/>
    <n v="1200"/>
    <x v="2"/>
    <s v="Justine"/>
    <s v="Seattle"/>
    <x v="0"/>
    <x v="2"/>
  </r>
  <r>
    <x v="23"/>
    <x v="233"/>
    <x v="0"/>
    <x v="2"/>
    <n v="7500"/>
    <x v="0"/>
    <s v="scott"/>
    <s v="Rogers"/>
    <x v="0"/>
    <x v="1"/>
  </r>
  <r>
    <x v="23"/>
    <x v="194"/>
    <x v="0"/>
    <x v="0"/>
    <n v="1200"/>
    <x v="0"/>
    <s v="Fatima"/>
    <s v="Rogers"/>
    <x v="0"/>
    <x v="1"/>
  </r>
  <r>
    <x v="0"/>
    <x v="234"/>
    <x v="0"/>
    <x v="0"/>
    <n v="1200"/>
    <x v="0"/>
    <s v="Sonja"/>
    <s v="Alpine"/>
    <x v="0"/>
    <x v="0"/>
  </r>
  <r>
    <x v="26"/>
    <x v="235"/>
    <x v="0"/>
    <x v="0"/>
    <n v="1200"/>
    <x v="1"/>
    <s v="Cleo"/>
    <s v="Pacific Palisades"/>
    <x v="0"/>
    <x v="3"/>
  </r>
  <r>
    <x v="21"/>
    <x v="236"/>
    <x v="0"/>
    <x v="0"/>
    <n v="1200"/>
    <x v="0"/>
    <s v="Claire"/>
    <s v="Trumansburg"/>
    <x v="0"/>
    <x v="4"/>
  </r>
  <r>
    <x v="23"/>
    <x v="237"/>
    <x v="1"/>
    <x v="0"/>
    <n v="1200"/>
    <x v="0"/>
    <s v="Lindsey"/>
    <s v="Kennett Square"/>
    <x v="0"/>
    <x v="1"/>
  </r>
  <r>
    <x v="9"/>
    <x v="238"/>
    <x v="0"/>
    <x v="1"/>
    <n v="3600"/>
    <x v="0"/>
    <s v="Nicola"/>
    <s v="San Jose"/>
    <x v="0"/>
    <x v="6"/>
  </r>
  <r>
    <x v="6"/>
    <x v="69"/>
    <x v="1"/>
    <x v="0"/>
    <n v="1200"/>
    <x v="0"/>
    <s v="jennifer"/>
    <s v="Morro Bay"/>
    <x v="0"/>
    <x v="4"/>
  </r>
  <r>
    <x v="7"/>
    <x v="239"/>
    <x v="0"/>
    <x v="0"/>
    <n v="1200"/>
    <x v="0"/>
    <s v="sherry"/>
    <s v="Las Vegas"/>
    <x v="0"/>
    <x v="6"/>
  </r>
  <r>
    <x v="21"/>
    <x v="62"/>
    <x v="1"/>
    <x v="1"/>
    <n v="3600"/>
    <x v="2"/>
    <s v="Laura"/>
    <s v="San Anselmo"/>
    <x v="0"/>
    <x v="4"/>
  </r>
  <r>
    <x v="3"/>
    <x v="240"/>
    <x v="0"/>
    <x v="0"/>
    <n v="1200"/>
    <x v="0"/>
    <s v="Matt"/>
    <s v="N Woodmere"/>
    <x v="0"/>
    <x v="3"/>
  </r>
  <r>
    <x v="10"/>
    <x v="123"/>
    <x v="0"/>
    <x v="0"/>
    <n v="1200"/>
    <x v="0"/>
    <s v="Stephanie"/>
    <s v="Fairfax"/>
    <x v="0"/>
    <x v="2"/>
  </r>
  <r>
    <x v="29"/>
    <x v="241"/>
    <x v="0"/>
    <x v="0"/>
    <n v="1200"/>
    <x v="0"/>
    <s v="Hurst"/>
    <s v="Chandler"/>
    <x v="0"/>
    <x v="0"/>
  </r>
  <r>
    <x v="21"/>
    <x v="226"/>
    <x v="0"/>
    <x v="0"/>
    <n v="1200"/>
    <x v="0"/>
    <s v="Liza"/>
    <s v="Dammeron Valley"/>
    <x v="0"/>
    <x v="4"/>
  </r>
  <r>
    <x v="26"/>
    <x v="242"/>
    <x v="0"/>
    <x v="0"/>
    <n v="1200"/>
    <x v="1"/>
    <s v="Michele"/>
    <s v="Buffalo"/>
    <x v="0"/>
    <x v="3"/>
  </r>
  <r>
    <x v="14"/>
    <x v="173"/>
    <x v="0"/>
    <x v="2"/>
    <n v="7500"/>
    <x v="0"/>
    <s v="Karin"/>
    <s v="Olive Branch"/>
    <x v="0"/>
    <x v="4"/>
  </r>
  <r>
    <x v="18"/>
    <x v="243"/>
    <x v="0"/>
    <x v="0"/>
    <n v="1200"/>
    <x v="2"/>
    <s v="cath"/>
    <s v="Warwick"/>
    <x v="0"/>
    <x v="2"/>
  </r>
  <r>
    <x v="4"/>
    <x v="72"/>
    <x v="0"/>
    <x v="0"/>
    <n v="1200"/>
    <x v="2"/>
    <s v="Andrea"/>
    <s v="San Mateo"/>
    <x v="0"/>
    <x v="4"/>
  </r>
  <r>
    <x v="25"/>
    <x v="244"/>
    <x v="0"/>
    <x v="0"/>
    <n v="1200"/>
    <x v="0"/>
    <s v="Helen"/>
    <s v="Aloma"/>
    <x v="0"/>
    <x v="6"/>
  </r>
  <r>
    <x v="5"/>
    <x v="245"/>
    <x v="0"/>
    <x v="0"/>
    <n v="1200"/>
    <x v="0"/>
    <s v="C"/>
    <s v="Chandler"/>
    <x v="0"/>
    <x v="5"/>
  </r>
  <r>
    <x v="23"/>
    <x v="246"/>
    <x v="0"/>
    <x v="0"/>
    <n v="1200"/>
    <x v="2"/>
    <s v="Mareike"/>
    <s v="Cumming"/>
    <x v="0"/>
    <x v="1"/>
  </r>
  <r>
    <x v="14"/>
    <x v="247"/>
    <x v="0"/>
    <x v="0"/>
    <n v="1200"/>
    <x v="0"/>
    <s v="lamia"/>
    <s v="Little Compton"/>
    <x v="0"/>
    <x v="4"/>
  </r>
  <r>
    <x v="19"/>
    <x v="149"/>
    <x v="0"/>
    <x v="0"/>
    <n v="1200"/>
    <x v="0"/>
    <s v="Madhu"/>
    <s v="Centennial"/>
    <x v="0"/>
    <x v="3"/>
  </r>
  <r>
    <x v="27"/>
    <x v="248"/>
    <x v="0"/>
    <x v="0"/>
    <n v="13000"/>
    <x v="0"/>
    <s v="sandhya"/>
    <s v="Centennial"/>
    <x v="0"/>
    <x v="5"/>
  </r>
  <r>
    <x v="28"/>
    <x v="249"/>
    <x v="0"/>
    <x v="0"/>
    <n v="1200"/>
    <x v="2"/>
    <s v="Kimberly"/>
    <s v="Herndon"/>
    <x v="0"/>
    <x v="4"/>
  </r>
  <r>
    <x v="3"/>
    <x v="177"/>
    <x v="0"/>
    <x v="0"/>
    <n v="1200"/>
    <x v="0"/>
    <s v="Tania"/>
    <s v="Vista"/>
    <x v="0"/>
    <x v="3"/>
  </r>
  <r>
    <x v="20"/>
    <x v="250"/>
    <x v="0"/>
    <x v="0"/>
    <n v="1200"/>
    <x v="0"/>
    <s v="andrea"/>
    <s v="Oostburg"/>
    <x v="0"/>
    <x v="5"/>
  </r>
  <r>
    <x v="23"/>
    <x v="203"/>
    <x v="0"/>
    <x v="1"/>
    <n v="3600"/>
    <x v="0"/>
    <s v="carol"/>
    <s v="Ann Arbor"/>
    <x v="0"/>
    <x v="1"/>
  </r>
  <r>
    <x v="8"/>
    <x v="230"/>
    <x v="0"/>
    <x v="0"/>
    <n v="1200"/>
    <x v="0"/>
    <s v="Nona"/>
    <s v="South Jordan"/>
    <x v="0"/>
    <x v="0"/>
  </r>
  <r>
    <x v="24"/>
    <x v="251"/>
    <x v="0"/>
    <x v="0"/>
    <n v="1200"/>
    <x v="1"/>
    <s v="Alicia"/>
    <s v="Lincoln"/>
    <x v="0"/>
    <x v="2"/>
  </r>
  <r>
    <x v="17"/>
    <x v="26"/>
    <x v="1"/>
    <x v="0"/>
    <n v="1200"/>
    <x v="1"/>
    <s v="sandra"/>
    <s v="Burr Oak"/>
    <x v="0"/>
    <x v="1"/>
  </r>
  <r>
    <x v="25"/>
    <x v="252"/>
    <x v="0"/>
    <x v="0"/>
    <n v="1200"/>
    <x v="0"/>
    <s v="Olivia"/>
    <s v="Wheaton"/>
    <x v="0"/>
    <x v="6"/>
  </r>
  <r>
    <x v="24"/>
    <x v="253"/>
    <x v="1"/>
    <x v="1"/>
    <n v="3600"/>
    <x v="1"/>
    <s v="Tom"/>
    <s v="Killeen"/>
    <x v="0"/>
    <x v="2"/>
  </r>
  <r>
    <x v="2"/>
    <x v="81"/>
    <x v="0"/>
    <x v="0"/>
    <n v="1200"/>
    <x v="0"/>
    <s v="Annette"/>
    <s v="Manhattan"/>
    <x v="0"/>
    <x v="2"/>
  </r>
  <r>
    <x v="17"/>
    <x v="254"/>
    <x v="0"/>
    <x v="0"/>
    <n v="1200"/>
    <x v="0"/>
    <s v="Richard"/>
    <s v="Jamestown"/>
    <x v="0"/>
    <x v="1"/>
  </r>
  <r>
    <x v="8"/>
    <x v="183"/>
    <x v="0"/>
    <x v="0"/>
    <n v="1200"/>
    <x v="0"/>
    <s v="Jasinta Jeanne"/>
    <s v="Owings Mills"/>
    <x v="0"/>
    <x v="0"/>
  </r>
  <r>
    <x v="5"/>
    <x v="238"/>
    <x v="0"/>
    <x v="0"/>
    <n v="1200"/>
    <x v="2"/>
    <s v="Cherish"/>
    <s v="Anchorage"/>
    <x v="0"/>
    <x v="5"/>
  </r>
  <r>
    <x v="29"/>
    <x v="255"/>
    <x v="1"/>
    <x v="0"/>
    <n v="1200"/>
    <x v="1"/>
    <s v="Abikay"/>
    <s v="Fullerton"/>
    <x v="0"/>
    <x v="0"/>
  </r>
  <r>
    <x v="3"/>
    <x v="256"/>
    <x v="0"/>
    <x v="0"/>
    <n v="1200"/>
    <x v="2"/>
    <s v="Abikay"/>
    <s v="Atlanta"/>
    <x v="0"/>
    <x v="3"/>
  </r>
  <r>
    <x v="18"/>
    <x v="257"/>
    <x v="0"/>
    <x v="0"/>
    <n v="1200"/>
    <x v="2"/>
    <s v="amanda"/>
    <s v="Las Vegas"/>
    <x v="0"/>
    <x v="2"/>
  </r>
  <r>
    <x v="8"/>
    <x v="153"/>
    <x v="0"/>
    <x v="0"/>
    <n v="1200"/>
    <x v="0"/>
    <s v="Stacy"/>
    <s v="Rochester Hills"/>
    <x v="0"/>
    <x v="0"/>
  </r>
  <r>
    <x v="13"/>
    <x v="258"/>
    <x v="0"/>
    <x v="0"/>
    <n v="1200"/>
    <x v="0"/>
    <s v="eugenia"/>
    <s v="Wisconsin Rapids"/>
    <x v="0"/>
    <x v="5"/>
  </r>
  <r>
    <x v="5"/>
    <x v="259"/>
    <x v="0"/>
    <x v="0"/>
    <n v="1200"/>
    <x v="0"/>
    <s v="Karen"/>
    <s v="Austin"/>
    <x v="0"/>
    <x v="5"/>
  </r>
  <r>
    <x v="19"/>
    <x v="260"/>
    <x v="1"/>
    <x v="0"/>
    <n v="1200"/>
    <x v="0"/>
    <s v="Bea"/>
    <s v="Chicago"/>
    <x v="0"/>
    <x v="3"/>
  </r>
  <r>
    <x v="3"/>
    <x v="261"/>
    <x v="0"/>
    <x v="0"/>
    <n v="1200"/>
    <x v="0"/>
    <s v="Hilde Karin"/>
    <s v="Las Vegas"/>
    <x v="0"/>
    <x v="3"/>
  </r>
  <r>
    <x v="2"/>
    <x v="262"/>
    <x v="0"/>
    <x v="1"/>
    <n v="3600"/>
    <x v="0"/>
    <s v="Emillie"/>
    <s v="Eagan"/>
    <x v="0"/>
    <x v="2"/>
  </r>
  <r>
    <x v="20"/>
    <x v="194"/>
    <x v="0"/>
    <x v="0"/>
    <n v="1200"/>
    <x v="1"/>
    <s v="Ailsa"/>
    <s v="Lindenhurst"/>
    <x v="0"/>
    <x v="5"/>
  </r>
  <r>
    <x v="2"/>
    <x v="263"/>
    <x v="0"/>
    <x v="0"/>
    <n v="1200"/>
    <x v="0"/>
    <s v="Sophie"/>
    <s v="Bloomfield"/>
    <x v="0"/>
    <x v="2"/>
  </r>
  <r>
    <x v="26"/>
    <x v="264"/>
    <x v="0"/>
    <x v="1"/>
    <n v="3600"/>
    <x v="2"/>
    <s v="Michael"/>
    <s v="Los Angeles"/>
    <x v="0"/>
    <x v="3"/>
  </r>
  <r>
    <x v="29"/>
    <x v="265"/>
    <x v="0"/>
    <x v="0"/>
    <n v="1200"/>
    <x v="1"/>
    <s v="Nicole"/>
    <s v="Fayetteville"/>
    <x v="0"/>
    <x v="0"/>
  </r>
  <r>
    <x v="21"/>
    <x v="266"/>
    <x v="0"/>
    <x v="0"/>
    <n v="1200"/>
    <x v="0"/>
    <s v="Ryan"/>
    <s v="Simpsonville"/>
    <x v="0"/>
    <x v="4"/>
  </r>
  <r>
    <x v="18"/>
    <x v="188"/>
    <x v="0"/>
    <x v="0"/>
    <n v="1200"/>
    <x v="0"/>
    <s v="Bertrand"/>
    <s v="North Caldwell"/>
    <x v="0"/>
    <x v="2"/>
  </r>
  <r>
    <x v="28"/>
    <x v="267"/>
    <x v="0"/>
    <x v="0"/>
    <n v="1200"/>
    <x v="0"/>
    <s v="John"/>
    <s v="San Jose"/>
    <x v="0"/>
    <x v="4"/>
  </r>
  <r>
    <x v="15"/>
    <x v="268"/>
    <x v="0"/>
    <x v="0"/>
    <n v="1200"/>
    <x v="0"/>
    <s v="Ashley"/>
    <s v="Rancho Cordova"/>
    <x v="0"/>
    <x v="0"/>
  </r>
  <r>
    <x v="24"/>
    <x v="269"/>
    <x v="0"/>
    <x v="0"/>
    <n v="1200"/>
    <x v="0"/>
    <s v="Tori"/>
    <s v="Minneapolis"/>
    <x v="0"/>
    <x v="2"/>
  </r>
  <r>
    <x v="30"/>
    <x v="76"/>
    <x v="0"/>
    <x v="1"/>
    <n v="3600"/>
    <x v="1"/>
    <s v="Hanne"/>
    <s v="Phoenix"/>
    <x v="0"/>
    <x v="6"/>
  </r>
  <r>
    <x v="24"/>
    <x v="270"/>
    <x v="0"/>
    <x v="0"/>
    <n v="1200"/>
    <x v="0"/>
    <s v="Paula"/>
    <s v="Larchmont"/>
    <x v="0"/>
    <x v="2"/>
  </r>
  <r>
    <x v="22"/>
    <x v="271"/>
    <x v="0"/>
    <x v="0"/>
    <n v="1200"/>
    <x v="0"/>
    <s v="Stephanie"/>
    <s v="Saint Charles"/>
    <x v="0"/>
    <x v="0"/>
  </r>
  <r>
    <x v="27"/>
    <x v="272"/>
    <x v="0"/>
    <x v="0"/>
    <n v="1200"/>
    <x v="0"/>
    <s v="kemp"/>
    <s v="Brentwood"/>
    <x v="0"/>
    <x v="5"/>
  </r>
  <r>
    <x v="14"/>
    <x v="273"/>
    <x v="0"/>
    <x v="1"/>
    <n v="3600"/>
    <x v="0"/>
    <s v="Therese"/>
    <s v="Pensacola"/>
    <x v="0"/>
    <x v="4"/>
  </r>
  <r>
    <x v="11"/>
    <x v="186"/>
    <x v="0"/>
    <x v="0"/>
    <n v="1200"/>
    <x v="2"/>
    <s v="A"/>
    <s v="Saint Petersburg"/>
    <x v="0"/>
    <x v="1"/>
  </r>
  <r>
    <x v="2"/>
    <x v="250"/>
    <x v="0"/>
    <x v="0"/>
    <n v="1200"/>
    <x v="0"/>
    <s v="Nicole"/>
    <s v="Mc Lean"/>
    <x v="0"/>
    <x v="2"/>
  </r>
  <r>
    <x v="0"/>
    <x v="243"/>
    <x v="0"/>
    <x v="0"/>
    <n v="1200"/>
    <x v="1"/>
    <s v="Kelly"/>
    <s v="Hendersonville"/>
    <x v="0"/>
    <x v="0"/>
  </r>
  <r>
    <x v="21"/>
    <x v="274"/>
    <x v="0"/>
    <x v="0"/>
    <n v="1200"/>
    <x v="0"/>
    <s v="Kate"/>
    <s v="Rochester Hills"/>
    <x v="0"/>
    <x v="4"/>
  </r>
  <r>
    <x v="9"/>
    <x v="275"/>
    <x v="0"/>
    <x v="0"/>
    <n v="1200"/>
    <x v="2"/>
    <s v="Maricel"/>
    <s v="Malibu"/>
    <x v="0"/>
    <x v="6"/>
  </r>
  <r>
    <x v="24"/>
    <x v="276"/>
    <x v="0"/>
    <x v="0"/>
    <n v="1200"/>
    <x v="0"/>
    <s v="Patricia"/>
    <s v="Allen"/>
    <x v="0"/>
    <x v="2"/>
  </r>
  <r>
    <x v="18"/>
    <x v="153"/>
    <x v="0"/>
    <x v="0"/>
    <n v="1200"/>
    <x v="2"/>
    <s v="Maki"/>
    <s v="Miami Beach"/>
    <x v="0"/>
    <x v="2"/>
  </r>
  <r>
    <x v="3"/>
    <x v="277"/>
    <x v="0"/>
    <x v="0"/>
    <n v="1200"/>
    <x v="1"/>
    <s v="Anja"/>
    <s v="New York"/>
    <x v="0"/>
    <x v="3"/>
  </r>
  <r>
    <x v="13"/>
    <x v="278"/>
    <x v="0"/>
    <x v="0"/>
    <n v="1200"/>
    <x v="1"/>
    <s v="Jessica"/>
    <s v="Woodland Hills"/>
    <x v="0"/>
    <x v="5"/>
  </r>
  <r>
    <x v="13"/>
    <x v="279"/>
    <x v="0"/>
    <x v="0"/>
    <n v="1200"/>
    <x v="0"/>
    <s v="Wouter and Andrea"/>
    <s v="Anchorage"/>
    <x v="0"/>
    <x v="5"/>
  </r>
  <r>
    <x v="6"/>
    <x v="195"/>
    <x v="0"/>
    <x v="0"/>
    <n v="1200"/>
    <x v="0"/>
    <s v="Pam and Rob"/>
    <s v="Yorba Linda"/>
    <x v="0"/>
    <x v="4"/>
  </r>
  <r>
    <x v="23"/>
    <x v="277"/>
    <x v="0"/>
    <x v="0"/>
    <n v="1200"/>
    <x v="2"/>
    <s v="kathleen kane"/>
    <s v="Jamaica Plain"/>
    <x v="0"/>
    <x v="1"/>
  </r>
  <r>
    <x v="28"/>
    <x v="280"/>
    <x v="0"/>
    <x v="0"/>
    <n v="1200"/>
    <x v="0"/>
    <s v="cheryl"/>
    <s v="Beverly Hills"/>
    <x v="0"/>
    <x v="4"/>
  </r>
  <r>
    <x v="23"/>
    <x v="281"/>
    <x v="1"/>
    <x v="1"/>
    <n v="3600"/>
    <x v="0"/>
    <s v="Charlene"/>
    <s v="Sebastopol"/>
    <x v="0"/>
    <x v="1"/>
  </r>
  <r>
    <x v="7"/>
    <x v="282"/>
    <x v="0"/>
    <x v="0"/>
    <n v="1200"/>
    <x v="0"/>
    <s v="Cindy"/>
    <s v="Glendora"/>
    <x v="0"/>
    <x v="6"/>
  </r>
  <r>
    <x v="23"/>
    <x v="283"/>
    <x v="0"/>
    <x v="0"/>
    <n v="1200"/>
    <x v="0"/>
    <s v="Maria Macarena"/>
    <s v="Billings"/>
    <x v="0"/>
    <x v="1"/>
  </r>
  <r>
    <x v="14"/>
    <x v="284"/>
    <x v="0"/>
    <x v="0"/>
    <n v="1200"/>
    <x v="0"/>
    <s v="Maggie"/>
    <s v="Libertyville"/>
    <x v="0"/>
    <x v="4"/>
  </r>
  <r>
    <x v="22"/>
    <x v="140"/>
    <x v="0"/>
    <x v="1"/>
    <n v="3600"/>
    <x v="2"/>
    <s v="Christophe"/>
    <s v="Temecula"/>
    <x v="0"/>
    <x v="0"/>
  </r>
  <r>
    <x v="2"/>
    <x v="26"/>
    <x v="1"/>
    <x v="0"/>
    <n v="1200"/>
    <x v="0"/>
    <s v="Manoj"/>
    <s v="Boise"/>
    <x v="0"/>
    <x v="2"/>
  </r>
  <r>
    <x v="28"/>
    <x v="285"/>
    <x v="0"/>
    <x v="0"/>
    <n v="1200"/>
    <x v="0"/>
    <s v="Brenda"/>
    <s v="Rock Hill"/>
    <x v="0"/>
    <x v="4"/>
  </r>
  <r>
    <x v="9"/>
    <x v="69"/>
    <x v="1"/>
    <x v="0"/>
    <n v="1200"/>
    <x v="1"/>
    <s v="Lizelle"/>
    <s v="Mililani"/>
    <x v="0"/>
    <x v="6"/>
  </r>
  <r>
    <x v="23"/>
    <x v="286"/>
    <x v="0"/>
    <x v="0"/>
    <n v="1200"/>
    <x v="0"/>
    <s v="olla"/>
    <s v="Westminster"/>
    <x v="0"/>
    <x v="1"/>
  </r>
  <r>
    <x v="17"/>
    <x v="27"/>
    <x v="1"/>
    <x v="1"/>
    <n v="3600"/>
    <x v="0"/>
    <s v="Keri"/>
    <s v="Issaquah"/>
    <x v="0"/>
    <x v="1"/>
  </r>
  <r>
    <x v="19"/>
    <x v="111"/>
    <x v="0"/>
    <x v="0"/>
    <n v="1200"/>
    <x v="1"/>
    <s v="Attie"/>
    <s v="Cypress"/>
    <x v="0"/>
    <x v="3"/>
  </r>
  <r>
    <x v="0"/>
    <x v="114"/>
    <x v="0"/>
    <x v="0"/>
    <n v="1200"/>
    <x v="0"/>
    <s v="odile"/>
    <s v="Lititz"/>
    <x v="0"/>
    <x v="0"/>
  </r>
  <r>
    <x v="20"/>
    <x v="287"/>
    <x v="0"/>
    <x v="0"/>
    <n v="1200"/>
    <x v="0"/>
    <s v="Niki"/>
    <s v="Chadds Ford"/>
    <x v="0"/>
    <x v="5"/>
  </r>
  <r>
    <x v="11"/>
    <x v="288"/>
    <x v="0"/>
    <x v="1"/>
    <n v="3600"/>
    <x v="0"/>
    <s v="Danny"/>
    <s v="St Thomas"/>
    <x v="0"/>
    <x v="1"/>
  </r>
  <r>
    <x v="15"/>
    <x v="289"/>
    <x v="0"/>
    <x v="0"/>
    <n v="1200"/>
    <x v="1"/>
    <s v="Sarah"/>
    <s v="Coppell"/>
    <x v="0"/>
    <x v="0"/>
  </r>
  <r>
    <x v="8"/>
    <x v="290"/>
    <x v="0"/>
    <x v="0"/>
    <n v="1200"/>
    <x v="0"/>
    <s v="Beckie"/>
    <s v="Ladera Ranch"/>
    <x v="0"/>
    <x v="0"/>
  </r>
  <r>
    <x v="23"/>
    <x v="158"/>
    <x v="1"/>
    <x v="0"/>
    <n v="1200"/>
    <x v="2"/>
    <s v="ann"/>
    <s v="Boca Raton"/>
    <x v="0"/>
    <x v="1"/>
  </r>
  <r>
    <x v="25"/>
    <x v="291"/>
    <x v="0"/>
    <x v="0"/>
    <n v="1200"/>
    <x v="0"/>
    <s v="Renee"/>
    <s v="Chaska"/>
    <x v="0"/>
    <x v="6"/>
  </r>
  <r>
    <x v="27"/>
    <x v="292"/>
    <x v="0"/>
    <x v="0"/>
    <n v="1200"/>
    <x v="0"/>
    <s v="Catherine"/>
    <s v="Hghlnds Ranch"/>
    <x v="0"/>
    <x v="5"/>
  </r>
  <r>
    <x v="19"/>
    <x v="146"/>
    <x v="0"/>
    <x v="0"/>
    <n v="1200"/>
    <x v="2"/>
    <s v="Rhonda"/>
    <s v="Atlanta"/>
    <x v="0"/>
    <x v="3"/>
  </r>
  <r>
    <x v="28"/>
    <x v="293"/>
    <x v="0"/>
    <x v="0"/>
    <n v="1200"/>
    <x v="2"/>
    <s v="alix"/>
    <s v="Tenafly"/>
    <x v="0"/>
    <x v="4"/>
  </r>
  <r>
    <x v="12"/>
    <x v="5"/>
    <x v="0"/>
    <x v="0"/>
    <n v="1200"/>
    <x v="0"/>
    <s v="Sigrun"/>
    <s v="Nashville"/>
    <x v="0"/>
    <x v="3"/>
  </r>
  <r>
    <x v="21"/>
    <x v="294"/>
    <x v="0"/>
    <x v="0"/>
    <n v="1200"/>
    <x v="0"/>
    <s v="Maria"/>
    <s v="Boyceville"/>
    <x v="0"/>
    <x v="4"/>
  </r>
  <r>
    <x v="25"/>
    <x v="270"/>
    <x v="0"/>
    <x v="0"/>
    <n v="1200"/>
    <x v="0"/>
    <s v="Elizabeth"/>
    <s v="Cos Cob"/>
    <x v="0"/>
    <x v="6"/>
  </r>
  <r>
    <x v="25"/>
    <x v="295"/>
    <x v="0"/>
    <x v="1"/>
    <n v="3600"/>
    <x v="0"/>
    <s v="Charlotte"/>
    <s v="Sterling"/>
    <x v="0"/>
    <x v="6"/>
  </r>
  <r>
    <x v="28"/>
    <x v="103"/>
    <x v="0"/>
    <x v="0"/>
    <n v="1200"/>
    <x v="1"/>
    <s v="Sarah"/>
    <s v="Ridgefield"/>
    <x v="0"/>
    <x v="4"/>
  </r>
  <r>
    <x v="22"/>
    <x v="296"/>
    <x v="0"/>
    <x v="0"/>
    <n v="1200"/>
    <x v="0"/>
    <s v="Ronja"/>
    <s v="Manhattan"/>
    <x v="0"/>
    <x v="0"/>
  </r>
  <r>
    <x v="16"/>
    <x v="100"/>
    <x v="0"/>
    <x v="0"/>
    <n v="1200"/>
    <x v="2"/>
    <s v="BURCAK"/>
    <s v="Alpharetta"/>
    <x v="0"/>
    <x v="6"/>
  </r>
  <r>
    <x v="19"/>
    <x v="142"/>
    <x v="0"/>
    <x v="0"/>
    <n v="1200"/>
    <x v="1"/>
    <s v="christy"/>
    <s v="Germantown"/>
    <x v="0"/>
    <x v="3"/>
  </r>
  <r>
    <x v="14"/>
    <x v="297"/>
    <x v="0"/>
    <x v="0"/>
    <n v="1200"/>
    <x v="1"/>
    <s v="Mandy"/>
    <s v="Hono"/>
    <x v="0"/>
    <x v="4"/>
  </r>
  <r>
    <x v="22"/>
    <x v="298"/>
    <x v="0"/>
    <x v="0"/>
    <n v="1200"/>
    <x v="1"/>
    <s v="Elena"/>
    <s v="New Rochelle"/>
    <x v="0"/>
    <x v="0"/>
  </r>
  <r>
    <x v="10"/>
    <x v="299"/>
    <x v="0"/>
    <x v="0"/>
    <n v="1200"/>
    <x v="1"/>
    <s v="Lisa"/>
    <s v="South Waterford"/>
    <x v="0"/>
    <x v="2"/>
  </r>
  <r>
    <x v="28"/>
    <x v="300"/>
    <x v="0"/>
    <x v="0"/>
    <n v="1200"/>
    <x v="1"/>
    <s v="Nita and Trebor"/>
    <s v="Washington Township"/>
    <x v="0"/>
    <x v="4"/>
  </r>
  <r>
    <x v="18"/>
    <x v="106"/>
    <x v="0"/>
    <x v="0"/>
    <n v="1200"/>
    <x v="1"/>
    <s v="Elisabeth"/>
    <s v="Wilmington"/>
    <x v="0"/>
    <x v="2"/>
  </r>
  <r>
    <x v="8"/>
    <x v="37"/>
    <x v="0"/>
    <x v="0"/>
    <n v="1200"/>
    <x v="0"/>
    <s v="Reto"/>
    <s v="Seattle"/>
    <x v="0"/>
    <x v="0"/>
  </r>
  <r>
    <x v="22"/>
    <x v="301"/>
    <x v="0"/>
    <x v="0"/>
    <n v="1200"/>
    <x v="2"/>
    <s v="Joelle"/>
    <s v="Rowayton"/>
    <x v="0"/>
    <x v="0"/>
  </r>
  <r>
    <x v="18"/>
    <x v="302"/>
    <x v="0"/>
    <x v="0"/>
    <n v="1200"/>
    <x v="1"/>
    <s v="Alexandria"/>
    <s v="Lebanon"/>
    <x v="0"/>
    <x v="2"/>
  </r>
  <r>
    <x v="14"/>
    <x v="168"/>
    <x v="0"/>
    <x v="1"/>
    <n v="3600"/>
    <x v="2"/>
    <s v="Monica"/>
    <s v="Villanova"/>
    <x v="0"/>
    <x v="4"/>
  </r>
  <r>
    <x v="10"/>
    <x v="216"/>
    <x v="0"/>
    <x v="0"/>
    <n v="1200"/>
    <x v="2"/>
    <s v="Alfredo A"/>
    <s v="Las Vegas"/>
    <x v="0"/>
    <x v="2"/>
  </r>
  <r>
    <x v="25"/>
    <x v="303"/>
    <x v="1"/>
    <x v="0"/>
    <n v="1200"/>
    <x v="0"/>
    <s v="Saeko"/>
    <s v="Warwick"/>
    <x v="0"/>
    <x v="6"/>
  </r>
  <r>
    <x v="5"/>
    <x v="162"/>
    <x v="0"/>
    <x v="1"/>
    <n v="3600"/>
    <x v="0"/>
    <s v="VIOLETA"/>
    <s v="Silver Spring"/>
    <x v="0"/>
    <x v="5"/>
  </r>
  <r>
    <x v="11"/>
    <x v="249"/>
    <x v="0"/>
    <x v="0"/>
    <n v="1200"/>
    <x v="0"/>
    <s v="Antje"/>
    <s v="Sacramento"/>
    <x v="0"/>
    <x v="1"/>
  </r>
  <r>
    <x v="26"/>
    <x v="304"/>
    <x v="0"/>
    <x v="0"/>
    <n v="1200"/>
    <x v="1"/>
    <s v="Nathalie"/>
    <s v="Haymarket"/>
    <x v="0"/>
    <x v="3"/>
  </r>
  <r>
    <x v="1"/>
    <x v="305"/>
    <x v="0"/>
    <x v="0"/>
    <n v="1200"/>
    <x v="0"/>
    <s v="Judith L."/>
    <s v="Scottsdale"/>
    <x v="0"/>
    <x v="1"/>
  </r>
  <r>
    <x v="3"/>
    <x v="253"/>
    <x v="1"/>
    <x v="0"/>
    <n v="1200"/>
    <x v="0"/>
    <s v="Audinet"/>
    <s v="Cambridge"/>
    <x v="0"/>
    <x v="3"/>
  </r>
  <r>
    <x v="24"/>
    <x v="306"/>
    <x v="0"/>
    <x v="0"/>
    <n v="1200"/>
    <x v="0"/>
    <s v="Jo"/>
    <s v="Pembroke Pines"/>
    <x v="0"/>
    <x v="2"/>
  </r>
  <r>
    <x v="17"/>
    <x v="307"/>
    <x v="0"/>
    <x v="0"/>
    <n v="1200"/>
    <x v="0"/>
    <s v="Melissa"/>
    <s v="Chester"/>
    <x v="0"/>
    <x v="1"/>
  </r>
  <r>
    <x v="17"/>
    <x v="308"/>
    <x v="0"/>
    <x v="0"/>
    <n v="1200"/>
    <x v="1"/>
    <s v="isabela"/>
    <s v="Reston"/>
    <x v="0"/>
    <x v="1"/>
  </r>
  <r>
    <x v="15"/>
    <x v="309"/>
    <x v="0"/>
    <x v="0"/>
    <n v="1200"/>
    <x v="1"/>
    <s v="Mary"/>
    <s v="Alpharetta"/>
    <x v="0"/>
    <x v="0"/>
  </r>
  <r>
    <x v="30"/>
    <x v="32"/>
    <x v="0"/>
    <x v="0"/>
    <n v="1200"/>
    <x v="0"/>
    <s v="Lisa"/>
    <s v="Ringgold"/>
    <x v="0"/>
    <x v="6"/>
  </r>
  <r>
    <x v="8"/>
    <x v="310"/>
    <x v="0"/>
    <x v="0"/>
    <n v="1200"/>
    <x v="1"/>
    <s v="Debora"/>
    <s v="Wall"/>
    <x v="0"/>
    <x v="0"/>
  </r>
  <r>
    <x v="9"/>
    <x v="131"/>
    <x v="0"/>
    <x v="1"/>
    <n v="3600"/>
    <x v="1"/>
    <s v="Jo"/>
    <s v="Huntington Beach"/>
    <x v="0"/>
    <x v="6"/>
  </r>
  <r>
    <x v="15"/>
    <x v="98"/>
    <x v="0"/>
    <x v="0"/>
    <n v="1200"/>
    <x v="2"/>
    <s v="Kristen"/>
    <s v="Los Gatos"/>
    <x v="0"/>
    <x v="0"/>
  </r>
  <r>
    <x v="16"/>
    <x v="311"/>
    <x v="0"/>
    <x v="0"/>
    <n v="1200"/>
    <x v="2"/>
    <s v="Sylvia"/>
    <s v="Alexandria"/>
    <x v="0"/>
    <x v="6"/>
  </r>
  <r>
    <x v="26"/>
    <x v="312"/>
    <x v="0"/>
    <x v="0"/>
    <n v="1200"/>
    <x v="0"/>
    <s v="Aniko"/>
    <s v="Random Lake"/>
    <x v="0"/>
    <x v="3"/>
  </r>
  <r>
    <x v="23"/>
    <x v="313"/>
    <x v="0"/>
    <x v="0"/>
    <n v="1200"/>
    <x v="1"/>
    <s v="Petra"/>
    <s v="San Francisco"/>
    <x v="0"/>
    <x v="1"/>
  </r>
  <r>
    <x v="16"/>
    <x v="106"/>
    <x v="0"/>
    <x v="0"/>
    <n v="1200"/>
    <x v="2"/>
    <s v="Ruby"/>
    <s v="Bedford Corners"/>
    <x v="0"/>
    <x v="6"/>
  </r>
  <r>
    <x v="10"/>
    <x v="314"/>
    <x v="1"/>
    <x v="0"/>
    <n v="1200"/>
    <x v="1"/>
    <s v="Tammy"/>
    <s v="Milford"/>
    <x v="0"/>
    <x v="2"/>
  </r>
  <r>
    <x v="23"/>
    <x v="24"/>
    <x v="0"/>
    <x v="0"/>
    <n v="1200"/>
    <x v="0"/>
    <s v="Brian"/>
    <s v="Croton On Hudson"/>
    <x v="0"/>
    <x v="1"/>
  </r>
  <r>
    <x v="29"/>
    <x v="236"/>
    <x v="0"/>
    <x v="0"/>
    <n v="1200"/>
    <x v="1"/>
    <s v="james"/>
    <s v="Nashville"/>
    <x v="0"/>
    <x v="0"/>
  </r>
  <r>
    <x v="1"/>
    <x v="315"/>
    <x v="0"/>
    <x v="0"/>
    <n v="1200"/>
    <x v="1"/>
    <s v="Allison"/>
    <s v="Naples"/>
    <x v="0"/>
    <x v="1"/>
  </r>
  <r>
    <x v="22"/>
    <x v="316"/>
    <x v="0"/>
    <x v="0"/>
    <n v="1200"/>
    <x v="1"/>
    <s v="Surat"/>
    <s v="Bridgewater"/>
    <x v="0"/>
    <x v="0"/>
  </r>
  <r>
    <x v="10"/>
    <x v="6"/>
    <x v="0"/>
    <x v="1"/>
    <n v="3600"/>
    <x v="1"/>
    <s v="Judy"/>
    <s v="Washington"/>
    <x v="0"/>
    <x v="2"/>
  </r>
  <r>
    <x v="24"/>
    <x v="15"/>
    <x v="0"/>
    <x v="0"/>
    <n v="1200"/>
    <x v="0"/>
    <s v="Megan"/>
    <s v="Huntersville"/>
    <x v="0"/>
    <x v="2"/>
  </r>
  <r>
    <x v="14"/>
    <x v="14"/>
    <x v="0"/>
    <x v="1"/>
    <n v="3600"/>
    <x v="0"/>
    <s v="Charmain"/>
    <s v="Cartersburg"/>
    <x v="0"/>
    <x v="4"/>
  </r>
  <r>
    <x v="0"/>
    <x v="251"/>
    <x v="0"/>
    <x v="0"/>
    <n v="1200"/>
    <x v="0"/>
    <s v="Katharina"/>
    <s v="Flower Mound"/>
    <x v="0"/>
    <x v="0"/>
  </r>
  <r>
    <x v="23"/>
    <x v="198"/>
    <x v="0"/>
    <x v="0"/>
    <n v="1200"/>
    <x v="0"/>
    <s v="Zaneta"/>
    <s v="Rochester"/>
    <x v="0"/>
    <x v="1"/>
  </r>
  <r>
    <x v="3"/>
    <x v="317"/>
    <x v="0"/>
    <x v="0"/>
    <n v="1200"/>
    <x v="0"/>
    <s v="Cherie"/>
    <s v="Columbus"/>
    <x v="0"/>
    <x v="3"/>
  </r>
  <r>
    <x v="30"/>
    <x v="318"/>
    <x v="0"/>
    <x v="0"/>
    <n v="1200"/>
    <x v="1"/>
    <s v="Scott"/>
    <s v="Sag Harbor"/>
    <x v="0"/>
    <x v="6"/>
  </r>
  <r>
    <x v="3"/>
    <x v="175"/>
    <x v="0"/>
    <x v="0"/>
    <n v="1200"/>
    <x v="0"/>
    <s v="Frances"/>
    <s v="San Diego"/>
    <x v="0"/>
    <x v="3"/>
  </r>
  <r>
    <x v="20"/>
    <x v="152"/>
    <x v="0"/>
    <x v="0"/>
    <n v="1200"/>
    <x v="1"/>
    <s v="Beatrice"/>
    <s v="Wilmington"/>
    <x v="0"/>
    <x v="5"/>
  </r>
  <r>
    <x v="28"/>
    <x v="319"/>
    <x v="1"/>
    <x v="0"/>
    <n v="1200"/>
    <x v="2"/>
    <s v="Alison"/>
    <s v="Issaquah"/>
    <x v="0"/>
    <x v="4"/>
  </r>
  <r>
    <x v="6"/>
    <x v="320"/>
    <x v="0"/>
    <x v="1"/>
    <n v="3600"/>
    <x v="0"/>
    <s v="Christian"/>
    <s v="Mableton"/>
    <x v="0"/>
    <x v="4"/>
  </r>
  <r>
    <x v="9"/>
    <x v="278"/>
    <x v="0"/>
    <x v="0"/>
    <n v="1200"/>
    <x v="0"/>
    <s v="Hollie"/>
    <s v="San Diego"/>
    <x v="0"/>
    <x v="6"/>
  </r>
  <r>
    <x v="22"/>
    <x v="220"/>
    <x v="0"/>
    <x v="0"/>
    <n v="1200"/>
    <x v="1"/>
    <s v="Malahat"/>
    <s v="Minneapolis"/>
    <x v="0"/>
    <x v="0"/>
  </r>
  <r>
    <x v="26"/>
    <x v="4"/>
    <x v="0"/>
    <x v="1"/>
    <n v="3600"/>
    <x v="1"/>
    <s v="Jean"/>
    <s v="Arlington"/>
    <x v="0"/>
    <x v="3"/>
  </r>
  <r>
    <x v="28"/>
    <x v="155"/>
    <x v="1"/>
    <x v="0"/>
    <n v="1200"/>
    <x v="1"/>
    <s v="Jessica"/>
    <s v="Chiefland"/>
    <x v="0"/>
    <x v="4"/>
  </r>
  <r>
    <x v="18"/>
    <x v="321"/>
    <x v="0"/>
    <x v="0"/>
    <n v="1200"/>
    <x v="0"/>
    <s v="Riche Lou"/>
    <s v="Newton"/>
    <x v="0"/>
    <x v="2"/>
  </r>
  <r>
    <x v="29"/>
    <x v="322"/>
    <x v="0"/>
    <x v="0"/>
    <n v="1200"/>
    <x v="1"/>
    <s v="lorna"/>
    <s v="Castle Rock"/>
    <x v="0"/>
    <x v="0"/>
  </r>
  <r>
    <x v="4"/>
    <x v="323"/>
    <x v="0"/>
    <x v="0"/>
    <n v="1200"/>
    <x v="2"/>
    <s v="Julie"/>
    <s v="Rockville"/>
    <x v="0"/>
    <x v="4"/>
  </r>
  <r>
    <x v="23"/>
    <x v="52"/>
    <x v="0"/>
    <x v="2"/>
    <n v="7500"/>
    <x v="1"/>
    <s v="Anita"/>
    <s v="Fresno"/>
    <x v="0"/>
    <x v="1"/>
  </r>
  <r>
    <x v="24"/>
    <x v="126"/>
    <x v="0"/>
    <x v="0"/>
    <n v="1200"/>
    <x v="1"/>
    <s v="Veronique"/>
    <s v="Fresno"/>
    <x v="0"/>
    <x v="2"/>
  </r>
  <r>
    <x v="15"/>
    <x v="324"/>
    <x v="0"/>
    <x v="0"/>
    <n v="1200"/>
    <x v="1"/>
    <s v="Maki"/>
    <s v="Montgomery"/>
    <x v="0"/>
    <x v="0"/>
  </r>
  <r>
    <x v="23"/>
    <x v="283"/>
    <x v="0"/>
    <x v="0"/>
    <n v="1200"/>
    <x v="1"/>
    <s v="Sarah"/>
    <s v="Manteno"/>
    <x v="0"/>
    <x v="1"/>
  </r>
  <r>
    <x v="10"/>
    <x v="325"/>
    <x v="0"/>
    <x v="1"/>
    <n v="3600"/>
    <x v="1"/>
    <s v="elizabeth r"/>
    <s v="Winter Haven"/>
    <x v="0"/>
    <x v="2"/>
  </r>
  <r>
    <x v="14"/>
    <x v="207"/>
    <x v="0"/>
    <x v="0"/>
    <n v="1200"/>
    <x v="0"/>
    <s v="Sara"/>
    <s v="Fort Lauderdale"/>
    <x v="0"/>
    <x v="4"/>
  </r>
  <r>
    <x v="24"/>
    <x v="326"/>
    <x v="0"/>
    <x v="1"/>
    <n v="3600"/>
    <x v="2"/>
    <s v="Tulin"/>
    <s v="Cranberry Twp"/>
    <x v="0"/>
    <x v="2"/>
  </r>
  <r>
    <x v="25"/>
    <x v="217"/>
    <x v="0"/>
    <x v="0"/>
    <n v="1200"/>
    <x v="0"/>
    <s v="Kenneth"/>
    <s v="Arlington"/>
    <x v="0"/>
    <x v="6"/>
  </r>
  <r>
    <x v="0"/>
    <x v="327"/>
    <x v="0"/>
    <x v="0"/>
    <n v="1200"/>
    <x v="1"/>
    <s v="Fiona"/>
    <s v="Lake Ronkonkoma"/>
    <x v="0"/>
    <x v="0"/>
  </r>
  <r>
    <x v="24"/>
    <x v="306"/>
    <x v="0"/>
    <x v="0"/>
    <n v="1200"/>
    <x v="0"/>
    <s v="Christian"/>
    <s v="Alexandria"/>
    <x v="0"/>
    <x v="2"/>
  </r>
  <r>
    <x v="24"/>
    <x v="290"/>
    <x v="0"/>
    <x v="0"/>
    <n v="1200"/>
    <x v="2"/>
    <s v="Elizabeth"/>
    <s v="Bluffton"/>
    <x v="0"/>
    <x v="2"/>
  </r>
  <r>
    <x v="11"/>
    <x v="328"/>
    <x v="0"/>
    <x v="0"/>
    <n v="1200"/>
    <x v="2"/>
    <s v="Juliann"/>
    <s v="Winter Spgs"/>
    <x v="0"/>
    <x v="1"/>
  </r>
  <r>
    <x v="20"/>
    <x v="176"/>
    <x v="0"/>
    <x v="0"/>
    <n v="1200"/>
    <x v="1"/>
    <s v="Julie"/>
    <s v="Chelmsford"/>
    <x v="0"/>
    <x v="5"/>
  </r>
  <r>
    <x v="30"/>
    <x v="297"/>
    <x v="0"/>
    <x v="0"/>
    <n v="1200"/>
    <x v="0"/>
    <s v="matthew"/>
    <s v="Cincinnati"/>
    <x v="0"/>
    <x v="6"/>
  </r>
  <r>
    <x v="21"/>
    <x v="329"/>
    <x v="0"/>
    <x v="0"/>
    <n v="1200"/>
    <x v="0"/>
    <s v="Steven"/>
    <s v="Houston"/>
    <x v="0"/>
    <x v="4"/>
  </r>
  <r>
    <x v="2"/>
    <x v="330"/>
    <x v="0"/>
    <x v="0"/>
    <n v="1200"/>
    <x v="2"/>
    <s v="Angie"/>
    <s v="Rodeo"/>
    <x v="0"/>
    <x v="2"/>
  </r>
  <r>
    <x v="22"/>
    <x v="331"/>
    <x v="0"/>
    <x v="0"/>
    <n v="1200"/>
    <x v="1"/>
    <s v="Lauren"/>
    <s v="Poughkeepsie"/>
    <x v="0"/>
    <x v="0"/>
  </r>
  <r>
    <x v="5"/>
    <x v="332"/>
    <x v="0"/>
    <x v="0"/>
    <n v="1200"/>
    <x v="1"/>
    <s v="Esther"/>
    <s v="Cincinnati"/>
    <x v="0"/>
    <x v="5"/>
  </r>
  <r>
    <x v="12"/>
    <x v="333"/>
    <x v="0"/>
    <x v="0"/>
    <n v="1200"/>
    <x v="0"/>
    <s v="Elizabeth"/>
    <s v="North Eastham"/>
    <x v="0"/>
    <x v="3"/>
  </r>
  <r>
    <x v="23"/>
    <x v="131"/>
    <x v="0"/>
    <x v="1"/>
    <n v="3600"/>
    <x v="0"/>
    <s v="marie-louise"/>
    <s v="Sitka"/>
    <x v="0"/>
    <x v="1"/>
  </r>
  <r>
    <x v="12"/>
    <x v="110"/>
    <x v="0"/>
    <x v="1"/>
    <n v="3600"/>
    <x v="2"/>
    <s v="John"/>
    <s v="Chicago"/>
    <x v="0"/>
    <x v="3"/>
  </r>
  <r>
    <x v="7"/>
    <x v="334"/>
    <x v="0"/>
    <x v="0"/>
    <n v="1200"/>
    <x v="1"/>
    <s v="paula"/>
    <s v="Sammamish"/>
    <x v="0"/>
    <x v="6"/>
  </r>
  <r>
    <x v="2"/>
    <x v="335"/>
    <x v="0"/>
    <x v="0"/>
    <n v="1200"/>
    <x v="1"/>
    <s v="Isabelle"/>
    <s v="Ewa Beach"/>
    <x v="0"/>
    <x v="2"/>
  </r>
  <r>
    <x v="23"/>
    <x v="44"/>
    <x v="0"/>
    <x v="0"/>
    <n v="1200"/>
    <x v="0"/>
    <s v="Maureen"/>
    <s v="Statesville"/>
    <x v="0"/>
    <x v="1"/>
  </r>
  <r>
    <x v="23"/>
    <x v="336"/>
    <x v="0"/>
    <x v="0"/>
    <n v="1200"/>
    <x v="0"/>
    <s v="David"/>
    <s v="Kapaa"/>
    <x v="0"/>
    <x v="1"/>
  </r>
  <r>
    <x v="7"/>
    <x v="337"/>
    <x v="1"/>
    <x v="0"/>
    <n v="1200"/>
    <x v="1"/>
    <s v="caterina"/>
    <s v="Burbank"/>
    <x v="0"/>
    <x v="6"/>
  </r>
  <r>
    <x v="9"/>
    <x v="338"/>
    <x v="0"/>
    <x v="1"/>
    <n v="3600"/>
    <x v="1"/>
    <s v="Cheryl"/>
    <s v="Hilton Head"/>
    <x v="0"/>
    <x v="6"/>
  </r>
  <r>
    <x v="21"/>
    <x v="102"/>
    <x v="1"/>
    <x v="2"/>
    <n v="7500"/>
    <x v="0"/>
    <s v="Frank and Christelle"/>
    <s v="Valley Center"/>
    <x v="0"/>
    <x v="4"/>
  </r>
  <r>
    <x v="3"/>
    <x v="339"/>
    <x v="0"/>
    <x v="1"/>
    <n v="100000"/>
    <x v="1"/>
    <s v="Triona"/>
    <s v="Swampscott"/>
    <x v="0"/>
    <x v="3"/>
  </r>
  <r>
    <x v="23"/>
    <x v="340"/>
    <x v="0"/>
    <x v="0"/>
    <n v="1200"/>
    <x v="1"/>
    <s v="Phillip"/>
    <s v="San Antonio"/>
    <x v="0"/>
    <x v="1"/>
  </r>
  <r>
    <x v="13"/>
    <x v="341"/>
    <x v="0"/>
    <x v="0"/>
    <n v="1200"/>
    <x v="0"/>
    <s v="jingyan"/>
    <s v="Bristol"/>
    <x v="0"/>
    <x v="5"/>
  </r>
  <r>
    <x v="5"/>
    <x v="342"/>
    <x v="0"/>
    <x v="0"/>
    <n v="1200"/>
    <x v="1"/>
    <s v="Selma"/>
    <s v="Greenville"/>
    <x v="0"/>
    <x v="5"/>
  </r>
  <r>
    <x v="7"/>
    <x v="343"/>
    <x v="0"/>
    <x v="0"/>
    <n v="1200"/>
    <x v="0"/>
    <s v="Doug and Tina"/>
    <s v="Pls Vrds Est"/>
    <x v="0"/>
    <x v="6"/>
  </r>
  <r>
    <x v="28"/>
    <x v="307"/>
    <x v="0"/>
    <x v="0"/>
    <n v="1200"/>
    <x v="1"/>
    <s v="Hale"/>
    <s v="Morrison"/>
    <x v="0"/>
    <x v="4"/>
  </r>
  <r>
    <x v="22"/>
    <x v="344"/>
    <x v="0"/>
    <x v="0"/>
    <n v="1200"/>
    <x v="1"/>
    <s v="Kevin"/>
    <s v="Hollywood"/>
    <x v="0"/>
    <x v="0"/>
  </r>
  <r>
    <x v="27"/>
    <x v="225"/>
    <x v="0"/>
    <x v="0"/>
    <n v="1200"/>
    <x v="0"/>
    <s v="christal"/>
    <s v="Morrison"/>
    <x v="0"/>
    <x v="5"/>
  </r>
  <r>
    <x v="5"/>
    <x v="286"/>
    <x v="0"/>
    <x v="0"/>
    <n v="1200"/>
    <x v="1"/>
    <s v="Alex"/>
    <s v="Augusta"/>
    <x v="0"/>
    <x v="5"/>
  </r>
  <r>
    <x v="4"/>
    <x v="18"/>
    <x v="0"/>
    <x v="2"/>
    <n v="100000"/>
    <x v="2"/>
    <s v="Pamela"/>
    <s v="Skaneateles"/>
    <x v="0"/>
    <x v="4"/>
  </r>
  <r>
    <x v="10"/>
    <x v="345"/>
    <x v="0"/>
    <x v="0"/>
    <n v="1200"/>
    <x v="0"/>
    <s v="Julia"/>
    <s v="Madison"/>
    <x v="0"/>
    <x v="2"/>
  </r>
  <r>
    <x v="0"/>
    <x v="346"/>
    <x v="0"/>
    <x v="0"/>
    <n v="1200"/>
    <x v="1"/>
    <s v="carolina"/>
    <s v="Basildon"/>
    <x v="1"/>
    <x v="0"/>
  </r>
  <r>
    <x v="3"/>
    <x v="347"/>
    <x v="0"/>
    <x v="1"/>
    <n v="100000"/>
    <x v="0"/>
    <s v="Sabine"/>
    <s v="London"/>
    <x v="1"/>
    <x v="3"/>
  </r>
  <r>
    <x v="3"/>
    <x v="2"/>
    <x v="1"/>
    <x v="0"/>
    <n v="1200"/>
    <x v="0"/>
    <s v="Jeremy"/>
    <s v="Manchester"/>
    <x v="1"/>
    <x v="3"/>
  </r>
  <r>
    <x v="0"/>
    <x v="316"/>
    <x v="0"/>
    <x v="0"/>
    <n v="1200"/>
    <x v="0"/>
    <s v="chris"/>
    <s v="London"/>
    <x v="1"/>
    <x v="0"/>
  </r>
  <r>
    <x v="8"/>
    <x v="348"/>
    <x v="0"/>
    <x v="0"/>
    <n v="1200"/>
    <x v="1"/>
    <s v="Sari"/>
    <s v="Newbury"/>
    <x v="1"/>
    <x v="0"/>
  </r>
  <r>
    <x v="0"/>
    <x v="266"/>
    <x v="0"/>
    <x v="0"/>
    <n v="1200"/>
    <x v="0"/>
    <s v="Cindy"/>
    <s v="Kemble"/>
    <x v="1"/>
    <x v="0"/>
  </r>
  <r>
    <x v="1"/>
    <x v="40"/>
    <x v="0"/>
    <x v="0"/>
    <n v="1200"/>
    <x v="1"/>
    <s v="Tamar"/>
    <s v="Headley"/>
    <x v="1"/>
    <x v="1"/>
  </r>
  <r>
    <x v="10"/>
    <x v="295"/>
    <x v="0"/>
    <x v="0"/>
    <n v="1200"/>
    <x v="1"/>
    <s v="Bernadett"/>
    <s v="Southampton"/>
    <x v="1"/>
    <x v="2"/>
  </r>
  <r>
    <x v="11"/>
    <x v="217"/>
    <x v="0"/>
    <x v="0"/>
    <n v="1200"/>
    <x v="1"/>
    <s v="AnaPaula"/>
    <s v="Helens Bay"/>
    <x v="1"/>
    <x v="1"/>
  </r>
  <r>
    <x v="9"/>
    <x v="61"/>
    <x v="0"/>
    <x v="0"/>
    <n v="1200"/>
    <x v="1"/>
    <s v="Kevin"/>
    <s v="Cheltenham"/>
    <x v="1"/>
    <x v="6"/>
  </r>
  <r>
    <x v="6"/>
    <x v="320"/>
    <x v="0"/>
    <x v="0"/>
    <n v="1200"/>
    <x v="1"/>
    <s v="anne"/>
    <s v="Bournemouth"/>
    <x v="1"/>
    <x v="4"/>
  </r>
  <r>
    <x v="14"/>
    <x v="349"/>
    <x v="0"/>
    <x v="0"/>
    <n v="1200"/>
    <x v="0"/>
    <s v="Grace"/>
    <s v="York"/>
    <x v="1"/>
    <x v="4"/>
  </r>
  <r>
    <x v="8"/>
    <x v="350"/>
    <x v="0"/>
    <x v="0"/>
    <n v="1200"/>
    <x v="1"/>
    <s v="Nicole"/>
    <s v="Basingstoke"/>
    <x v="1"/>
    <x v="0"/>
  </r>
  <r>
    <x v="17"/>
    <x v="351"/>
    <x v="0"/>
    <x v="1"/>
    <n v="100000"/>
    <x v="0"/>
    <s v="Cheryl"/>
    <s v="New Malden"/>
    <x v="1"/>
    <x v="1"/>
  </r>
  <r>
    <x v="17"/>
    <x v="352"/>
    <x v="0"/>
    <x v="0"/>
    <n v="1200"/>
    <x v="0"/>
    <s v="Doug"/>
    <s v="Bishop Auckland"/>
    <x v="1"/>
    <x v="1"/>
  </r>
  <r>
    <x v="18"/>
    <x v="353"/>
    <x v="0"/>
    <x v="0"/>
    <n v="1200"/>
    <x v="0"/>
    <s v="Melissa"/>
    <s v="Aberdeen"/>
    <x v="1"/>
    <x v="2"/>
  </r>
  <r>
    <x v="19"/>
    <x v="354"/>
    <x v="0"/>
    <x v="0"/>
    <n v="1200"/>
    <x v="0"/>
    <s v="Randy"/>
    <s v="Wigan"/>
    <x v="1"/>
    <x v="3"/>
  </r>
  <r>
    <x v="19"/>
    <x v="355"/>
    <x v="0"/>
    <x v="0"/>
    <n v="1200"/>
    <x v="0"/>
    <s v="Jessica"/>
    <s v="Abbey Town"/>
    <x v="1"/>
    <x v="3"/>
  </r>
  <r>
    <x v="7"/>
    <x v="356"/>
    <x v="0"/>
    <x v="0"/>
    <n v="1200"/>
    <x v="0"/>
    <s v="Genevieve"/>
    <s v="Milton Keynes"/>
    <x v="1"/>
    <x v="6"/>
  </r>
  <r>
    <x v="20"/>
    <x v="104"/>
    <x v="0"/>
    <x v="0"/>
    <n v="1200"/>
    <x v="0"/>
    <s v="Kevin"/>
    <s v="London"/>
    <x v="1"/>
    <x v="5"/>
  </r>
  <r>
    <x v="3"/>
    <x v="357"/>
    <x v="0"/>
    <x v="0"/>
    <n v="1200"/>
    <x v="0"/>
    <s v="Lina"/>
    <s v="Edinburgh"/>
    <x v="1"/>
    <x v="3"/>
  </r>
  <r>
    <x v="13"/>
    <x v="312"/>
    <x v="0"/>
    <x v="0"/>
    <n v="1200"/>
    <x v="1"/>
    <s v="Angela"/>
    <s v="Newburgh"/>
    <x v="1"/>
    <x v="5"/>
  </r>
  <r>
    <x v="25"/>
    <x v="358"/>
    <x v="0"/>
    <x v="1"/>
    <n v="100000"/>
    <x v="0"/>
    <s v="Barbara"/>
    <s v="Kirriemuir"/>
    <x v="1"/>
    <x v="6"/>
  </r>
  <r>
    <x v="11"/>
    <x v="273"/>
    <x v="0"/>
    <x v="1"/>
    <n v="100000"/>
    <x v="0"/>
    <s v="LAURIE"/>
    <s v="Guildford"/>
    <x v="1"/>
    <x v="1"/>
  </r>
  <r>
    <x v="11"/>
    <x v="359"/>
    <x v="0"/>
    <x v="0"/>
    <n v="1200"/>
    <x v="0"/>
    <s v="kirsten"/>
    <s v="Bishops Stortford"/>
    <x v="1"/>
    <x v="1"/>
  </r>
  <r>
    <x v="4"/>
    <x v="360"/>
    <x v="0"/>
    <x v="0"/>
    <n v="1200"/>
    <x v="1"/>
    <s v="Babs"/>
    <s v="Blackpool"/>
    <x v="1"/>
    <x v="4"/>
  </r>
  <r>
    <x v="11"/>
    <x v="361"/>
    <x v="0"/>
    <x v="0"/>
    <n v="1200"/>
    <x v="1"/>
    <s v="Hollyn"/>
    <s v="London"/>
    <x v="1"/>
    <x v="1"/>
  </r>
  <r>
    <x v="5"/>
    <x v="362"/>
    <x v="0"/>
    <x v="0"/>
    <n v="1200"/>
    <x v="2"/>
    <s v="Jeremy"/>
    <s v="London"/>
    <x v="1"/>
    <x v="5"/>
  </r>
  <r>
    <x v="24"/>
    <x v="134"/>
    <x v="0"/>
    <x v="0"/>
    <n v="1200"/>
    <x v="1"/>
    <s v="Miss"/>
    <s v="London"/>
    <x v="1"/>
    <x v="2"/>
  </r>
  <r>
    <x v="2"/>
    <x v="58"/>
    <x v="0"/>
    <x v="0"/>
    <n v="1200"/>
    <x v="1"/>
    <s v="Kim"/>
    <s v="London"/>
    <x v="1"/>
    <x v="2"/>
  </r>
  <r>
    <x v="26"/>
    <x v="363"/>
    <x v="0"/>
    <x v="0"/>
    <n v="1200"/>
    <x v="0"/>
    <s v="anissa"/>
    <s v="Slough"/>
    <x v="1"/>
    <x v="3"/>
  </r>
  <r>
    <x v="0"/>
    <x v="131"/>
    <x v="0"/>
    <x v="0"/>
    <n v="1200"/>
    <x v="1"/>
    <s v="Brenda"/>
    <s v="Saffron Walden"/>
    <x v="1"/>
    <x v="0"/>
  </r>
  <r>
    <x v="27"/>
    <x v="107"/>
    <x v="0"/>
    <x v="0"/>
    <n v="1200"/>
    <x v="0"/>
    <s v="Kevin"/>
    <s v="Berkeswell"/>
    <x v="1"/>
    <x v="5"/>
  </r>
  <r>
    <x v="25"/>
    <x v="164"/>
    <x v="0"/>
    <x v="0"/>
    <n v="1200"/>
    <x v="0"/>
    <s v="breon"/>
    <s v="Leighton Buzzard"/>
    <x v="1"/>
    <x v="6"/>
  </r>
  <r>
    <x v="0"/>
    <x v="364"/>
    <x v="0"/>
    <x v="0"/>
    <n v="1200"/>
    <x v="0"/>
    <s v="Dr. Donald"/>
    <s v="Stockton-on-Tees"/>
    <x v="1"/>
    <x v="0"/>
  </r>
  <r>
    <x v="12"/>
    <x v="365"/>
    <x v="0"/>
    <x v="0"/>
    <n v="1200"/>
    <x v="1"/>
    <s v="Zane"/>
    <s v="Warlingham"/>
    <x v="1"/>
    <x v="3"/>
  </r>
  <r>
    <x v="12"/>
    <x v="366"/>
    <x v="0"/>
    <x v="0"/>
    <n v="1200"/>
    <x v="0"/>
    <s v="Anett"/>
    <s v="Gosport"/>
    <x v="1"/>
    <x v="3"/>
  </r>
  <r>
    <x v="2"/>
    <x v="235"/>
    <x v="0"/>
    <x v="0"/>
    <n v="1200"/>
    <x v="0"/>
    <s v="pirunkit"/>
    <s v="Petworth"/>
    <x v="1"/>
    <x v="2"/>
  </r>
  <r>
    <x v="30"/>
    <x v="311"/>
    <x v="0"/>
    <x v="0"/>
    <n v="1200"/>
    <x v="0"/>
    <s v="Nanci"/>
    <s v="Reading"/>
    <x v="1"/>
    <x v="6"/>
  </r>
  <r>
    <x v="30"/>
    <x v="236"/>
    <x v="0"/>
    <x v="0"/>
    <n v="1200"/>
    <x v="0"/>
    <s v="ciara and mike"/>
    <s v="London"/>
    <x v="1"/>
    <x v="6"/>
  </r>
  <r>
    <x v="21"/>
    <x v="260"/>
    <x v="1"/>
    <x v="0"/>
    <n v="1200"/>
    <x v="1"/>
    <s v="Tejal"/>
    <s v="London"/>
    <x v="1"/>
    <x v="4"/>
  </r>
  <r>
    <x v="24"/>
    <x v="0"/>
    <x v="0"/>
    <x v="0"/>
    <n v="1200"/>
    <x v="0"/>
    <s v="Gerardo"/>
    <s v="London"/>
    <x v="1"/>
    <x v="2"/>
  </r>
  <r>
    <x v="8"/>
    <x v="296"/>
    <x v="0"/>
    <x v="0"/>
    <n v="1200"/>
    <x v="0"/>
    <s v="Ravinder"/>
    <s v="Lurgan"/>
    <x v="1"/>
    <x v="0"/>
  </r>
  <r>
    <x v="2"/>
    <x v="165"/>
    <x v="0"/>
    <x v="0"/>
    <n v="1200"/>
    <x v="0"/>
    <s v="Amanda"/>
    <s v="Shenfield"/>
    <x v="1"/>
    <x v="2"/>
  </r>
  <r>
    <x v="14"/>
    <x v="367"/>
    <x v="0"/>
    <x v="0"/>
    <n v="1200"/>
    <x v="0"/>
    <s v="Sarah"/>
    <s v="Bolton"/>
    <x v="1"/>
    <x v="4"/>
  </r>
  <r>
    <x v="6"/>
    <x v="148"/>
    <x v="0"/>
    <x v="0"/>
    <n v="1200"/>
    <x v="1"/>
    <s v="Karin"/>
    <s v="High Wycombe"/>
    <x v="1"/>
    <x v="4"/>
  </r>
  <r>
    <x v="25"/>
    <x v="368"/>
    <x v="0"/>
    <x v="0"/>
    <n v="1200"/>
    <x v="0"/>
    <s v="DD"/>
    <s v="York"/>
    <x v="1"/>
    <x v="6"/>
  </r>
  <r>
    <x v="4"/>
    <x v="369"/>
    <x v="0"/>
    <x v="0"/>
    <n v="1200"/>
    <x v="0"/>
    <s v="Toni"/>
    <s v="Bolton"/>
    <x v="1"/>
    <x v="4"/>
  </r>
  <r>
    <x v="15"/>
    <x v="370"/>
    <x v="1"/>
    <x v="0"/>
    <n v="1200"/>
    <x v="0"/>
    <s v="Luc1nda"/>
    <s v="London"/>
    <x v="1"/>
    <x v="0"/>
  </r>
  <r>
    <x v="0"/>
    <x v="98"/>
    <x v="0"/>
    <x v="0"/>
    <n v="1200"/>
    <x v="1"/>
    <s v="Naseer"/>
    <s v="London"/>
    <x v="1"/>
    <x v="0"/>
  </r>
  <r>
    <x v="9"/>
    <x v="103"/>
    <x v="0"/>
    <x v="0"/>
    <n v="1200"/>
    <x v="1"/>
    <s v="Eleanor"/>
    <s v="Edinburgh"/>
    <x v="1"/>
    <x v="6"/>
  </r>
  <r>
    <x v="26"/>
    <x v="371"/>
    <x v="0"/>
    <x v="0"/>
    <n v="1200"/>
    <x v="0"/>
    <s v="Glenn"/>
    <s v="Perth"/>
    <x v="1"/>
    <x v="3"/>
  </r>
  <r>
    <x v="17"/>
    <x v="372"/>
    <x v="0"/>
    <x v="0"/>
    <n v="1200"/>
    <x v="2"/>
    <s v="Family in"/>
    <s v="London"/>
    <x v="1"/>
    <x v="1"/>
  </r>
  <r>
    <x v="17"/>
    <x v="373"/>
    <x v="0"/>
    <x v="0"/>
    <n v="1200"/>
    <x v="0"/>
    <s v="Jodi"/>
    <s v="Sutton Valence"/>
    <x v="1"/>
    <x v="1"/>
  </r>
  <r>
    <x v="29"/>
    <x v="41"/>
    <x v="0"/>
    <x v="0"/>
    <n v="1200"/>
    <x v="1"/>
    <s v="Whitney"/>
    <s v="Dumbleton"/>
    <x v="1"/>
    <x v="0"/>
  </r>
  <r>
    <x v="13"/>
    <x v="374"/>
    <x v="0"/>
    <x v="0"/>
    <n v="1200"/>
    <x v="1"/>
    <s v="Sabine"/>
    <s v="Milton Keynes"/>
    <x v="1"/>
    <x v="5"/>
  </r>
  <r>
    <x v="2"/>
    <x v="375"/>
    <x v="0"/>
    <x v="0"/>
    <n v="1200"/>
    <x v="0"/>
    <s v="maggie"/>
    <s v="Stockton"/>
    <x v="1"/>
    <x v="2"/>
  </r>
  <r>
    <x v="25"/>
    <x v="9"/>
    <x v="0"/>
    <x v="1"/>
    <n v="100000"/>
    <x v="0"/>
    <s v="Kathryn"/>
    <s v="Kirriemuir"/>
    <x v="1"/>
    <x v="6"/>
  </r>
  <r>
    <x v="13"/>
    <x v="51"/>
    <x v="1"/>
    <x v="0"/>
    <n v="1200"/>
    <x v="0"/>
    <s v="SUSAN"/>
    <s v="Oxford"/>
    <x v="1"/>
    <x v="5"/>
  </r>
  <r>
    <x v="4"/>
    <x v="13"/>
    <x v="1"/>
    <x v="0"/>
    <n v="1200"/>
    <x v="0"/>
    <s v="ashton"/>
    <s v="Exeter"/>
    <x v="1"/>
    <x v="4"/>
  </r>
  <r>
    <x v="14"/>
    <x v="376"/>
    <x v="0"/>
    <x v="1"/>
    <n v="100000"/>
    <x v="0"/>
    <s v="Pam"/>
    <s v="London"/>
    <x v="1"/>
    <x v="4"/>
  </r>
  <r>
    <x v="18"/>
    <x v="377"/>
    <x v="0"/>
    <x v="1"/>
    <n v="100000"/>
    <x v="1"/>
    <s v="Pavel"/>
    <s v="London"/>
    <x v="1"/>
    <x v="2"/>
  </r>
  <r>
    <x v="6"/>
    <x v="378"/>
    <x v="0"/>
    <x v="0"/>
    <n v="1200"/>
    <x v="0"/>
    <s v="amanda"/>
    <s v="Liverpool"/>
    <x v="1"/>
    <x v="4"/>
  </r>
  <r>
    <x v="5"/>
    <x v="374"/>
    <x v="0"/>
    <x v="0"/>
    <n v="1200"/>
    <x v="0"/>
    <s v="Elizabeth"/>
    <s v="Calne"/>
    <x v="1"/>
    <x v="5"/>
  </r>
  <r>
    <x v="0"/>
    <x v="239"/>
    <x v="0"/>
    <x v="0"/>
    <n v="1200"/>
    <x v="1"/>
    <s v="Aaron"/>
    <s v="Reading"/>
    <x v="1"/>
    <x v="0"/>
  </r>
  <r>
    <x v="27"/>
    <x v="246"/>
    <x v="0"/>
    <x v="0"/>
    <n v="1200"/>
    <x v="1"/>
    <s v="Zoe"/>
    <s v="Coventry"/>
    <x v="1"/>
    <x v="5"/>
  </r>
  <r>
    <x v="1"/>
    <x v="379"/>
    <x v="1"/>
    <x v="0"/>
    <n v="1200"/>
    <x v="1"/>
    <s v="Kayla"/>
    <s v="Leamington Spa"/>
    <x v="1"/>
    <x v="1"/>
  </r>
  <r>
    <x v="6"/>
    <x v="380"/>
    <x v="0"/>
    <x v="0"/>
    <n v="1200"/>
    <x v="1"/>
    <s v="Ken"/>
    <s v="Sidcup"/>
    <x v="1"/>
    <x v="4"/>
  </r>
  <r>
    <x v="1"/>
    <x v="381"/>
    <x v="0"/>
    <x v="0"/>
    <n v="1200"/>
    <x v="1"/>
    <s v="Samantha"/>
    <s v="Watford"/>
    <x v="1"/>
    <x v="1"/>
  </r>
  <r>
    <x v="18"/>
    <x v="382"/>
    <x v="0"/>
    <x v="0"/>
    <n v="1200"/>
    <x v="0"/>
    <s v="Erika"/>
    <s v="Redruth"/>
    <x v="1"/>
    <x v="2"/>
  </r>
  <r>
    <x v="12"/>
    <x v="372"/>
    <x v="0"/>
    <x v="0"/>
    <n v="1200"/>
    <x v="0"/>
    <s v="Louise"/>
    <s v="London"/>
    <x v="1"/>
    <x v="3"/>
  </r>
  <r>
    <x v="19"/>
    <x v="383"/>
    <x v="0"/>
    <x v="0"/>
    <n v="1200"/>
    <x v="1"/>
    <s v="Ashlee"/>
    <s v="Oxford"/>
    <x v="1"/>
    <x v="3"/>
  </r>
  <r>
    <x v="8"/>
    <x v="111"/>
    <x v="0"/>
    <x v="0"/>
    <n v="1200"/>
    <x v="0"/>
    <s v="John"/>
    <s v="Banbury"/>
    <x v="1"/>
    <x v="0"/>
  </r>
  <r>
    <x v="26"/>
    <x v="384"/>
    <x v="0"/>
    <x v="0"/>
    <n v="1200"/>
    <x v="1"/>
    <s v="Astrid"/>
    <s v="Canterbury"/>
    <x v="1"/>
    <x v="3"/>
  </r>
  <r>
    <x v="21"/>
    <x v="76"/>
    <x v="0"/>
    <x v="1"/>
    <n v="100000"/>
    <x v="0"/>
    <s v="Eman"/>
    <s v="Penclawdd"/>
    <x v="1"/>
    <x v="4"/>
  </r>
  <r>
    <x v="21"/>
    <x v="385"/>
    <x v="0"/>
    <x v="1"/>
    <n v="100000"/>
    <x v="1"/>
    <s v="Jyoti"/>
    <s v="Tunbridge Wells"/>
    <x v="1"/>
    <x v="4"/>
  </r>
  <r>
    <x v="0"/>
    <x v="125"/>
    <x v="0"/>
    <x v="0"/>
    <n v="1200"/>
    <x v="0"/>
    <s v="gail"/>
    <s v="London"/>
    <x v="1"/>
    <x v="0"/>
  </r>
  <r>
    <x v="0"/>
    <x v="58"/>
    <x v="0"/>
    <x v="0"/>
    <n v="1200"/>
    <x v="0"/>
    <s v="Mike"/>
    <s v="Aberdeen"/>
    <x v="1"/>
    <x v="0"/>
  </r>
  <r>
    <x v="23"/>
    <x v="212"/>
    <x v="0"/>
    <x v="0"/>
    <n v="1200"/>
    <x v="1"/>
    <s v="Howard"/>
    <s v="Worcester"/>
    <x v="1"/>
    <x v="1"/>
  </r>
  <r>
    <x v="28"/>
    <x v="299"/>
    <x v="0"/>
    <x v="0"/>
    <n v="1200"/>
    <x v="0"/>
    <s v="Matt"/>
    <s v="Leicester"/>
    <x v="1"/>
    <x v="4"/>
  </r>
  <r>
    <x v="11"/>
    <x v="386"/>
    <x v="0"/>
    <x v="0"/>
    <n v="1200"/>
    <x v="0"/>
    <s v="William"/>
    <s v="Chalfont Saint Peter"/>
    <x v="1"/>
    <x v="1"/>
  </r>
  <r>
    <x v="16"/>
    <x v="19"/>
    <x v="0"/>
    <x v="0"/>
    <n v="1200"/>
    <x v="1"/>
    <s v="Tatjana and Martin"/>
    <s v="Birmingham"/>
    <x v="1"/>
    <x v="6"/>
  </r>
  <r>
    <x v="23"/>
    <x v="387"/>
    <x v="0"/>
    <x v="0"/>
    <n v="1200"/>
    <x v="1"/>
    <s v="Malinda"/>
    <s v="Oxford"/>
    <x v="1"/>
    <x v="1"/>
  </r>
  <r>
    <x v="25"/>
    <x v="388"/>
    <x v="0"/>
    <x v="0"/>
    <n v="1200"/>
    <x v="1"/>
    <s v="Cathy"/>
    <s v="Kidderminster"/>
    <x v="1"/>
    <x v="6"/>
  </r>
  <r>
    <x v="10"/>
    <x v="267"/>
    <x v="0"/>
    <x v="0"/>
    <n v="1200"/>
    <x v="2"/>
    <s v="dia"/>
    <s v="Claygate"/>
    <x v="1"/>
    <x v="2"/>
  </r>
  <r>
    <x v="30"/>
    <x v="309"/>
    <x v="0"/>
    <x v="0"/>
    <n v="1200"/>
    <x v="2"/>
    <s v="Sean"/>
    <s v="London"/>
    <x v="1"/>
    <x v="6"/>
  </r>
  <r>
    <x v="20"/>
    <x v="182"/>
    <x v="0"/>
    <x v="0"/>
    <n v="1200"/>
    <x v="1"/>
    <s v="Caroline and Jonathan"/>
    <s v="Chichester"/>
    <x v="1"/>
    <x v="5"/>
  </r>
  <r>
    <x v="1"/>
    <x v="389"/>
    <x v="0"/>
    <x v="0"/>
    <n v="1200"/>
    <x v="0"/>
    <s v="Carole"/>
    <s v="Cardiff"/>
    <x v="1"/>
    <x v="1"/>
  </r>
  <r>
    <x v="2"/>
    <x v="390"/>
    <x v="0"/>
    <x v="0"/>
    <n v="1200"/>
    <x v="2"/>
    <s v="Amy"/>
    <s v="Ashford"/>
    <x v="1"/>
    <x v="2"/>
  </r>
  <r>
    <x v="23"/>
    <x v="391"/>
    <x v="0"/>
    <x v="0"/>
    <n v="1200"/>
    <x v="0"/>
    <s v="erin"/>
    <s v="London"/>
    <x v="1"/>
    <x v="1"/>
  </r>
  <r>
    <x v="5"/>
    <x v="135"/>
    <x v="0"/>
    <x v="0"/>
    <n v="1200"/>
    <x v="0"/>
    <s v="Julie"/>
    <s v="Ashford"/>
    <x v="1"/>
    <x v="5"/>
  </r>
  <r>
    <x v="14"/>
    <x v="392"/>
    <x v="0"/>
    <x v="0"/>
    <n v="1200"/>
    <x v="1"/>
    <s v="Simone"/>
    <s v="Watford"/>
    <x v="1"/>
    <x v="4"/>
  </r>
  <r>
    <x v="18"/>
    <x v="289"/>
    <x v="0"/>
    <x v="0"/>
    <n v="1200"/>
    <x v="0"/>
    <s v="Allison"/>
    <s v="Edinburgh"/>
    <x v="1"/>
    <x v="2"/>
  </r>
  <r>
    <x v="1"/>
    <x v="393"/>
    <x v="0"/>
    <x v="0"/>
    <n v="1200"/>
    <x v="0"/>
    <s v="Jen"/>
    <s v="Maidstone"/>
    <x v="1"/>
    <x v="1"/>
  </r>
  <r>
    <x v="0"/>
    <x v="386"/>
    <x v="0"/>
    <x v="0"/>
    <n v="1200"/>
    <x v="0"/>
    <s v="gladys"/>
    <s v="Saint Albans"/>
    <x v="1"/>
    <x v="0"/>
  </r>
  <r>
    <x v="26"/>
    <x v="316"/>
    <x v="0"/>
    <x v="0"/>
    <n v="1200"/>
    <x v="0"/>
    <s v="Rosemary"/>
    <s v="Cobham"/>
    <x v="1"/>
    <x v="3"/>
  </r>
  <r>
    <x v="18"/>
    <x v="88"/>
    <x v="0"/>
    <x v="0"/>
    <n v="1200"/>
    <x v="0"/>
    <s v="Alyssa"/>
    <s v="Brighton"/>
    <x v="1"/>
    <x v="2"/>
  </r>
  <r>
    <x v="19"/>
    <x v="96"/>
    <x v="0"/>
    <x v="1"/>
    <n v="100000"/>
    <x v="1"/>
    <s v="esther"/>
    <s v="Huddersfield"/>
    <x v="1"/>
    <x v="3"/>
  </r>
  <r>
    <x v="21"/>
    <x v="394"/>
    <x v="0"/>
    <x v="0"/>
    <n v="1200"/>
    <x v="0"/>
    <s v="Hans-Joerg"/>
    <s v="Belfast"/>
    <x v="1"/>
    <x v="4"/>
  </r>
  <r>
    <x v="6"/>
    <x v="395"/>
    <x v="0"/>
    <x v="0"/>
    <n v="1200"/>
    <x v="1"/>
    <s v="julie"/>
    <s v="Haverhill"/>
    <x v="1"/>
    <x v="4"/>
  </r>
  <r>
    <x v="13"/>
    <x v="225"/>
    <x v="0"/>
    <x v="0"/>
    <n v="1200"/>
    <x v="0"/>
    <s v="Jennifer"/>
    <s v="Jumeira"/>
    <x v="2"/>
    <x v="5"/>
  </r>
  <r>
    <x v="16"/>
    <x v="313"/>
    <x v="0"/>
    <x v="0"/>
    <n v="1200"/>
    <x v="1"/>
    <s v="Kathrin"/>
    <s v="Abu Dhabi"/>
    <x v="2"/>
    <x v="6"/>
  </r>
  <r>
    <x v="9"/>
    <x v="335"/>
    <x v="0"/>
    <x v="0"/>
    <n v="1200"/>
    <x v="0"/>
    <s v="Laura"/>
    <s v="Jumeira"/>
    <x v="2"/>
    <x v="6"/>
  </r>
  <r>
    <x v="23"/>
    <x v="380"/>
    <x v="0"/>
    <x v="1"/>
    <n v="100000"/>
    <x v="0"/>
    <s v="Family"/>
    <s v="Dubai"/>
    <x v="2"/>
    <x v="1"/>
  </r>
  <r>
    <x v="16"/>
    <x v="396"/>
    <x v="0"/>
    <x v="1"/>
    <n v="100000"/>
    <x v="0"/>
    <s v="Michelle"/>
    <s v="Dubai"/>
    <x v="2"/>
    <x v="6"/>
  </r>
  <r>
    <x v="19"/>
    <x v="3"/>
    <x v="0"/>
    <x v="0"/>
    <n v="1200"/>
    <x v="0"/>
    <s v="Jeannette"/>
    <s v="Dubai"/>
    <x v="2"/>
    <x v="3"/>
  </r>
  <r>
    <x v="11"/>
    <x v="274"/>
    <x v="0"/>
    <x v="0"/>
    <n v="1200"/>
    <x v="0"/>
    <s v="Aziz"/>
    <s v="Irpin'"/>
    <x v="3"/>
    <x v="1"/>
  </r>
  <r>
    <x v="0"/>
    <x v="397"/>
    <x v="1"/>
    <x v="0"/>
    <n v="1200"/>
    <x v="0"/>
    <s v="Sam"/>
    <s v="Tesvikiye"/>
    <x v="4"/>
    <x v="0"/>
  </r>
  <r>
    <x v="7"/>
    <x v="135"/>
    <x v="0"/>
    <x v="0"/>
    <n v="1200"/>
    <x v="0"/>
    <s v="Sylvia"/>
    <s v="Zekeriyakoy"/>
    <x v="4"/>
    <x v="6"/>
  </r>
  <r>
    <x v="6"/>
    <x v="21"/>
    <x v="0"/>
    <x v="0"/>
    <n v="1200"/>
    <x v="0"/>
    <s v="Dickson"/>
    <s v="Kemerburgaz"/>
    <x v="4"/>
    <x v="4"/>
  </r>
  <r>
    <x v="21"/>
    <x v="67"/>
    <x v="0"/>
    <x v="0"/>
    <n v="1200"/>
    <x v="0"/>
    <s v="Costanza"/>
    <s v="Beykoz"/>
    <x v="4"/>
    <x v="4"/>
  </r>
  <r>
    <x v="20"/>
    <x v="398"/>
    <x v="1"/>
    <x v="0"/>
    <n v="1200"/>
    <x v="0"/>
    <s v="Novy"/>
    <s v="Istanbul"/>
    <x v="4"/>
    <x v="5"/>
  </r>
  <r>
    <x v="5"/>
    <x v="179"/>
    <x v="0"/>
    <x v="0"/>
    <n v="1200"/>
    <x v="0"/>
    <s v="Darian"/>
    <s v="Izmir"/>
    <x v="4"/>
    <x v="5"/>
  </r>
  <r>
    <x v="26"/>
    <x v="399"/>
    <x v="0"/>
    <x v="0"/>
    <n v="1200"/>
    <x v="0"/>
    <s v="Emily"/>
    <s v="Killarney"/>
    <x v="5"/>
    <x v="3"/>
  </r>
  <r>
    <x v="14"/>
    <x v="236"/>
    <x v="0"/>
    <x v="0"/>
    <n v="1200"/>
    <x v="0"/>
    <s v="Cormac"/>
    <s v="Freeport City"/>
    <x v="5"/>
    <x v="4"/>
  </r>
  <r>
    <x v="6"/>
    <x v="212"/>
    <x v="0"/>
    <x v="1"/>
    <n v="100000"/>
    <x v="1"/>
    <s v="PATRICK"/>
    <s v="Ban Khlong Sip"/>
    <x v="6"/>
    <x v="4"/>
  </r>
  <r>
    <x v="25"/>
    <x v="235"/>
    <x v="0"/>
    <x v="0"/>
    <n v="1200"/>
    <x v="0"/>
    <s v="elaine"/>
    <s v="Phuket"/>
    <x v="6"/>
    <x v="6"/>
  </r>
  <r>
    <x v="6"/>
    <x v="400"/>
    <x v="0"/>
    <x v="0"/>
    <n v="1200"/>
    <x v="1"/>
    <s v="SYLVIA"/>
    <s v="Vesenaz"/>
    <x v="7"/>
    <x v="4"/>
  </r>
  <r>
    <x v="5"/>
    <x v="401"/>
    <x v="1"/>
    <x v="1"/>
    <n v="100000"/>
    <x v="1"/>
    <s v="Deirdre"/>
    <s v="Lausanne"/>
    <x v="7"/>
    <x v="5"/>
  </r>
  <r>
    <x v="2"/>
    <x v="402"/>
    <x v="0"/>
    <x v="0"/>
    <n v="1200"/>
    <x v="1"/>
    <s v="Tammy"/>
    <s v="Morges"/>
    <x v="7"/>
    <x v="2"/>
  </r>
  <r>
    <x v="17"/>
    <x v="403"/>
    <x v="0"/>
    <x v="0"/>
    <n v="1200"/>
    <x v="0"/>
    <s v="Sherri"/>
    <s v="Freienbach"/>
    <x v="7"/>
    <x v="1"/>
  </r>
  <r>
    <x v="13"/>
    <x v="75"/>
    <x v="0"/>
    <x v="1"/>
    <n v="100000"/>
    <x v="0"/>
    <s v="Kristen"/>
    <s v="Binningen"/>
    <x v="7"/>
    <x v="5"/>
  </r>
  <r>
    <x v="2"/>
    <x v="320"/>
    <x v="0"/>
    <x v="0"/>
    <n v="1200"/>
    <x v="0"/>
    <s v="katie"/>
    <s v="Ruschlikon"/>
    <x v="7"/>
    <x v="2"/>
  </r>
  <r>
    <x v="4"/>
    <x v="404"/>
    <x v="1"/>
    <x v="1"/>
    <n v="100000"/>
    <x v="1"/>
    <s v="Anne-line"/>
    <s v="Zug"/>
    <x v="7"/>
    <x v="4"/>
  </r>
  <r>
    <x v="10"/>
    <x v="405"/>
    <x v="0"/>
    <x v="1"/>
    <n v="100000"/>
    <x v="2"/>
    <s v="Pamela"/>
    <s v="Bellinzona"/>
    <x v="7"/>
    <x v="2"/>
  </r>
  <r>
    <x v="2"/>
    <x v="268"/>
    <x v="0"/>
    <x v="0"/>
    <n v="1200"/>
    <x v="0"/>
    <s v="isabel"/>
    <s v="Ruti"/>
    <x v="7"/>
    <x v="2"/>
  </r>
  <r>
    <x v="23"/>
    <x v="272"/>
    <x v="0"/>
    <x v="0"/>
    <n v="1200"/>
    <x v="1"/>
    <s v="Shane"/>
    <s v="Zurich"/>
    <x v="7"/>
    <x v="1"/>
  </r>
  <r>
    <x v="2"/>
    <x v="98"/>
    <x v="0"/>
    <x v="0"/>
    <n v="1200"/>
    <x v="2"/>
    <s v="Claire"/>
    <s v="Versoix"/>
    <x v="7"/>
    <x v="2"/>
  </r>
  <r>
    <x v="5"/>
    <x v="406"/>
    <x v="0"/>
    <x v="1"/>
    <n v="100000"/>
    <x v="0"/>
    <s v="Niki"/>
    <s v="Trelex"/>
    <x v="7"/>
    <x v="5"/>
  </r>
  <r>
    <x v="25"/>
    <x v="407"/>
    <x v="0"/>
    <x v="1"/>
    <n v="100000"/>
    <x v="1"/>
    <s v="Meredith"/>
    <s v="Kloten"/>
    <x v="7"/>
    <x v="6"/>
  </r>
  <r>
    <x v="13"/>
    <x v="158"/>
    <x v="1"/>
    <x v="0"/>
    <n v="1200"/>
    <x v="0"/>
    <s v="Richard and Comfort"/>
    <s v="Regensdorf"/>
    <x v="7"/>
    <x v="5"/>
  </r>
  <r>
    <x v="26"/>
    <x v="1"/>
    <x v="0"/>
    <x v="0"/>
    <n v="1200"/>
    <x v="1"/>
    <s v="Melissa"/>
    <s v="Geneve"/>
    <x v="7"/>
    <x v="3"/>
  </r>
  <r>
    <x v="7"/>
    <x v="291"/>
    <x v="0"/>
    <x v="0"/>
    <n v="1200"/>
    <x v="1"/>
    <s v="Yvette"/>
    <s v="Aubonne"/>
    <x v="7"/>
    <x v="6"/>
  </r>
  <r>
    <x v="12"/>
    <x v="408"/>
    <x v="0"/>
    <x v="1"/>
    <n v="100000"/>
    <x v="0"/>
    <s v="george"/>
    <s v="Zurich"/>
    <x v="7"/>
    <x v="3"/>
  </r>
  <r>
    <x v="25"/>
    <x v="345"/>
    <x v="0"/>
    <x v="0"/>
    <n v="1200"/>
    <x v="0"/>
    <s v="Nicole"/>
    <s v="Neuchatel"/>
    <x v="7"/>
    <x v="6"/>
  </r>
  <r>
    <x v="27"/>
    <x v="174"/>
    <x v="1"/>
    <x v="0"/>
    <n v="1200"/>
    <x v="0"/>
    <s v="VERBENA"/>
    <s v="Basel"/>
    <x v="7"/>
    <x v="5"/>
  </r>
  <r>
    <x v="20"/>
    <x v="409"/>
    <x v="0"/>
    <x v="0"/>
    <n v="1200"/>
    <x v="0"/>
    <s v="Sarah"/>
    <s v="Plan-les-Ouattes"/>
    <x v="7"/>
    <x v="5"/>
  </r>
  <r>
    <x v="28"/>
    <x v="406"/>
    <x v="0"/>
    <x v="0"/>
    <n v="1200"/>
    <x v="1"/>
    <s v="Suejean"/>
    <s v="Gingins"/>
    <x v="7"/>
    <x v="4"/>
  </r>
  <r>
    <x v="26"/>
    <x v="410"/>
    <x v="0"/>
    <x v="1"/>
    <n v="100000"/>
    <x v="0"/>
    <s v="minjeong"/>
    <s v="Bern"/>
    <x v="7"/>
    <x v="3"/>
  </r>
  <r>
    <x v="10"/>
    <x v="235"/>
    <x v="0"/>
    <x v="0"/>
    <n v="1200"/>
    <x v="1"/>
    <s v="Lusell"/>
    <s v="Oberwil"/>
    <x v="7"/>
    <x v="2"/>
  </r>
  <r>
    <x v="20"/>
    <x v="41"/>
    <x v="0"/>
    <x v="0"/>
    <n v="1200"/>
    <x v="0"/>
    <s v="Katrin"/>
    <s v="Zumikon"/>
    <x v="7"/>
    <x v="5"/>
  </r>
  <r>
    <x v="29"/>
    <x v="31"/>
    <x v="0"/>
    <x v="1"/>
    <n v="100000"/>
    <x v="1"/>
    <s v="Louise"/>
    <s v="Balgach"/>
    <x v="7"/>
    <x v="0"/>
  </r>
  <r>
    <x v="20"/>
    <x v="411"/>
    <x v="0"/>
    <x v="1"/>
    <n v="100000"/>
    <x v="0"/>
    <s v="Melissa"/>
    <s v="Carouge"/>
    <x v="7"/>
    <x v="5"/>
  </r>
  <r>
    <x v="23"/>
    <x v="412"/>
    <x v="0"/>
    <x v="1"/>
    <n v="100000"/>
    <x v="0"/>
    <s v="Scott"/>
    <s v="Lausanne"/>
    <x v="7"/>
    <x v="1"/>
  </r>
  <r>
    <x v="29"/>
    <x v="413"/>
    <x v="0"/>
    <x v="0"/>
    <n v="1200"/>
    <x v="1"/>
    <s v="Tarja"/>
    <s v="Villars"/>
    <x v="7"/>
    <x v="0"/>
  </r>
  <r>
    <x v="6"/>
    <x v="183"/>
    <x v="0"/>
    <x v="1"/>
    <n v="100000"/>
    <x v="0"/>
    <s v="Liz"/>
    <s v="Langnau"/>
    <x v="7"/>
    <x v="4"/>
  </r>
  <r>
    <x v="29"/>
    <x v="414"/>
    <x v="0"/>
    <x v="0"/>
    <n v="1200"/>
    <x v="0"/>
    <s v="danielle"/>
    <s v="Geneve"/>
    <x v="7"/>
    <x v="0"/>
  </r>
  <r>
    <x v="24"/>
    <x v="415"/>
    <x v="0"/>
    <x v="0"/>
    <n v="1200"/>
    <x v="0"/>
    <s v="manuela"/>
    <s v="Massagno"/>
    <x v="7"/>
    <x v="2"/>
  </r>
  <r>
    <x v="6"/>
    <x v="416"/>
    <x v="0"/>
    <x v="1"/>
    <n v="100000"/>
    <x v="1"/>
    <s v="Caroline"/>
    <s v="Begnins"/>
    <x v="7"/>
    <x v="4"/>
  </r>
  <r>
    <x v="15"/>
    <x v="417"/>
    <x v="0"/>
    <x v="1"/>
    <n v="100000"/>
    <x v="0"/>
    <s v="Karen"/>
    <s v="Berikon"/>
    <x v="7"/>
    <x v="0"/>
  </r>
  <r>
    <x v="22"/>
    <x v="288"/>
    <x v="0"/>
    <x v="0"/>
    <n v="1200"/>
    <x v="2"/>
    <s v="Tary"/>
    <s v="Zug"/>
    <x v="7"/>
    <x v="0"/>
  </r>
  <r>
    <x v="12"/>
    <x v="252"/>
    <x v="0"/>
    <x v="0"/>
    <n v="1200"/>
    <x v="0"/>
    <s v="Kerry"/>
    <s v="Anieres"/>
    <x v="7"/>
    <x v="3"/>
  </r>
  <r>
    <x v="24"/>
    <x v="267"/>
    <x v="0"/>
    <x v="0"/>
    <n v="1200"/>
    <x v="1"/>
    <s v="Lesleigh"/>
    <s v="Baden"/>
    <x v="7"/>
    <x v="2"/>
  </r>
  <r>
    <x v="2"/>
    <x v="156"/>
    <x v="1"/>
    <x v="0"/>
    <n v="1200"/>
    <x v="1"/>
    <s v="Bonnie"/>
    <s v="Saltsjobaden"/>
    <x v="8"/>
    <x v="2"/>
  </r>
  <r>
    <x v="7"/>
    <x v="114"/>
    <x v="0"/>
    <x v="1"/>
    <n v="100000"/>
    <x v="0"/>
    <s v="ayelet"/>
    <s v="Malmo"/>
    <x v="8"/>
    <x v="6"/>
  </r>
  <r>
    <x v="23"/>
    <x v="82"/>
    <x v="0"/>
    <x v="0"/>
    <n v="1200"/>
    <x v="0"/>
    <s v="Marion"/>
    <s v="Umea"/>
    <x v="8"/>
    <x v="1"/>
  </r>
  <r>
    <x v="27"/>
    <x v="388"/>
    <x v="0"/>
    <x v="0"/>
    <n v="1200"/>
    <x v="1"/>
    <s v="Kate"/>
    <s v="Stockholm"/>
    <x v="8"/>
    <x v="5"/>
  </r>
  <r>
    <x v="10"/>
    <x v="103"/>
    <x v="0"/>
    <x v="0"/>
    <n v="1200"/>
    <x v="2"/>
    <s v="mary"/>
    <s v="Nacka"/>
    <x v="8"/>
    <x v="2"/>
  </r>
  <r>
    <x v="10"/>
    <x v="174"/>
    <x v="1"/>
    <x v="0"/>
    <n v="1200"/>
    <x v="1"/>
    <s v="JP"/>
    <s v="Tierp"/>
    <x v="8"/>
    <x v="2"/>
  </r>
  <r>
    <x v="26"/>
    <x v="418"/>
    <x v="0"/>
    <x v="0"/>
    <n v="1200"/>
    <x v="2"/>
    <s v="R"/>
    <s v="Danderyd"/>
    <x v="8"/>
    <x v="3"/>
  </r>
  <r>
    <x v="10"/>
    <x v="69"/>
    <x v="1"/>
    <x v="0"/>
    <n v="1200"/>
    <x v="0"/>
    <s v="Ed"/>
    <s v="Nacka"/>
    <x v="8"/>
    <x v="2"/>
  </r>
  <r>
    <x v="18"/>
    <x v="419"/>
    <x v="0"/>
    <x v="0"/>
    <n v="1200"/>
    <x v="0"/>
    <s v="Esther"/>
    <s v="Stocksund"/>
    <x v="8"/>
    <x v="2"/>
  </r>
  <r>
    <x v="30"/>
    <x v="334"/>
    <x v="0"/>
    <x v="0"/>
    <n v="1200"/>
    <x v="0"/>
    <s v="Diane"/>
    <s v="Djurgarden"/>
    <x v="8"/>
    <x v="6"/>
  </r>
  <r>
    <x v="22"/>
    <x v="263"/>
    <x v="0"/>
    <x v="1"/>
    <n v="100000"/>
    <x v="2"/>
    <s v="Olympe"/>
    <s v="Lidingo"/>
    <x v="8"/>
    <x v="0"/>
  </r>
  <r>
    <x v="19"/>
    <x v="420"/>
    <x v="0"/>
    <x v="1"/>
    <n v="100000"/>
    <x v="0"/>
    <s v="Michael"/>
    <s v="Norrkoping"/>
    <x v="8"/>
    <x v="3"/>
  </r>
  <r>
    <x v="30"/>
    <x v="78"/>
    <x v="0"/>
    <x v="0"/>
    <n v="1200"/>
    <x v="1"/>
    <s v="Detlev"/>
    <s v="Taby"/>
    <x v="8"/>
    <x v="6"/>
  </r>
  <r>
    <x v="10"/>
    <x v="238"/>
    <x v="0"/>
    <x v="0"/>
    <n v="1200"/>
    <x v="2"/>
    <s v="Megan"/>
    <s v="La Alberca"/>
    <x v="9"/>
    <x v="2"/>
  </r>
  <r>
    <x v="12"/>
    <x v="421"/>
    <x v="0"/>
    <x v="0"/>
    <n v="1200"/>
    <x v="2"/>
    <s v="Christof and Heidi"/>
    <s v="Barcelona"/>
    <x v="9"/>
    <x v="3"/>
  </r>
  <r>
    <x v="26"/>
    <x v="358"/>
    <x v="0"/>
    <x v="0"/>
    <n v="1200"/>
    <x v="0"/>
    <s v="Jan"/>
    <s v="Barcelona"/>
    <x v="9"/>
    <x v="3"/>
  </r>
  <r>
    <x v="10"/>
    <x v="422"/>
    <x v="0"/>
    <x v="0"/>
    <n v="1200"/>
    <x v="0"/>
    <s v="Karen"/>
    <s v="Madrid"/>
    <x v="9"/>
    <x v="2"/>
  </r>
  <r>
    <x v="26"/>
    <x v="423"/>
    <x v="0"/>
    <x v="0"/>
    <n v="1200"/>
    <x v="1"/>
    <s v="DOREEN"/>
    <s v="Madrid"/>
    <x v="9"/>
    <x v="3"/>
  </r>
  <r>
    <x v="0"/>
    <x v="91"/>
    <x v="0"/>
    <x v="0"/>
    <n v="1200"/>
    <x v="1"/>
    <s v="Andrew"/>
    <s v="Sevilla"/>
    <x v="9"/>
    <x v="0"/>
  </r>
  <r>
    <x v="17"/>
    <x v="334"/>
    <x v="0"/>
    <x v="1"/>
    <n v="100000"/>
    <x v="2"/>
    <s v="Katie"/>
    <s v="Gava"/>
    <x v="9"/>
    <x v="1"/>
  </r>
  <r>
    <x v="13"/>
    <x v="327"/>
    <x v="0"/>
    <x v="0"/>
    <n v="1200"/>
    <x v="0"/>
    <s v="Bent Erik"/>
    <s v="Basauri"/>
    <x v="9"/>
    <x v="5"/>
  </r>
  <r>
    <x v="24"/>
    <x v="424"/>
    <x v="0"/>
    <x v="0"/>
    <n v="1200"/>
    <x v="0"/>
    <s v="beatrice"/>
    <s v="Churra"/>
    <x v="9"/>
    <x v="2"/>
  </r>
  <r>
    <x v="22"/>
    <x v="391"/>
    <x v="0"/>
    <x v="0"/>
    <n v="1200"/>
    <x v="1"/>
    <s v="Jerome"/>
    <s v="Madrid"/>
    <x v="9"/>
    <x v="0"/>
  </r>
  <r>
    <x v="8"/>
    <x v="425"/>
    <x v="0"/>
    <x v="0"/>
    <n v="1200"/>
    <x v="0"/>
    <s v="Roza"/>
    <s v="Alcobendas"/>
    <x v="9"/>
    <x v="0"/>
  </r>
  <r>
    <x v="25"/>
    <x v="314"/>
    <x v="1"/>
    <x v="0"/>
    <n v="1200"/>
    <x v="0"/>
    <s v="T"/>
    <s v="El Escorial"/>
    <x v="9"/>
    <x v="6"/>
  </r>
  <r>
    <x v="1"/>
    <x v="417"/>
    <x v="0"/>
    <x v="0"/>
    <n v="1200"/>
    <x v="0"/>
    <s v="DeeDee"/>
    <s v="Songnae-dong"/>
    <x v="10"/>
    <x v="1"/>
  </r>
  <r>
    <x v="2"/>
    <x v="87"/>
    <x v="0"/>
    <x v="0"/>
    <n v="1200"/>
    <x v="1"/>
    <s v="Nicola"/>
    <s v="Roodepoort"/>
    <x v="11"/>
    <x v="2"/>
  </r>
  <r>
    <x v="12"/>
    <x v="426"/>
    <x v="0"/>
    <x v="0"/>
    <n v="1200"/>
    <x v="0"/>
    <s v="Filip and Teresa"/>
    <s v="Centurion"/>
    <x v="11"/>
    <x v="3"/>
  </r>
  <r>
    <x v="15"/>
    <x v="135"/>
    <x v="0"/>
    <x v="0"/>
    <n v="1200"/>
    <x v="1"/>
    <s v="Marian"/>
    <s v="Durban"/>
    <x v="11"/>
    <x v="0"/>
  </r>
  <r>
    <x v="23"/>
    <x v="427"/>
    <x v="0"/>
    <x v="2"/>
    <n v="100000"/>
    <x v="0"/>
    <s v="Michael"/>
    <s v="Pietermaritzburg"/>
    <x v="11"/>
    <x v="1"/>
  </r>
  <r>
    <x v="15"/>
    <x v="34"/>
    <x v="0"/>
    <x v="0"/>
    <n v="1200"/>
    <x v="1"/>
    <s v="Niamh"/>
    <s v="Benoni"/>
    <x v="11"/>
    <x v="0"/>
  </r>
  <r>
    <x v="24"/>
    <x v="139"/>
    <x v="0"/>
    <x v="1"/>
    <n v="100000"/>
    <x v="2"/>
    <s v="ron"/>
    <s v="Tsaritsyno"/>
    <x v="12"/>
    <x v="2"/>
  </r>
  <r>
    <x v="21"/>
    <x v="428"/>
    <x v="0"/>
    <x v="0"/>
    <n v="1200"/>
    <x v="1"/>
    <s v="Gustavo"/>
    <s v="Voluntari"/>
    <x v="13"/>
    <x v="4"/>
  </r>
  <r>
    <x v="6"/>
    <x v="429"/>
    <x v="0"/>
    <x v="0"/>
    <n v="1200"/>
    <x v="0"/>
    <s v="Elyssa"/>
    <s v="Gdansk"/>
    <x v="14"/>
    <x v="4"/>
  </r>
  <r>
    <x v="27"/>
    <x v="430"/>
    <x v="0"/>
    <x v="0"/>
    <n v="1200"/>
    <x v="0"/>
    <s v="giovanna"/>
    <s v="Pruszkow"/>
    <x v="14"/>
    <x v="5"/>
  </r>
  <r>
    <x v="16"/>
    <x v="431"/>
    <x v="0"/>
    <x v="0"/>
    <n v="1200"/>
    <x v="0"/>
    <s v="Lisa"/>
    <s v="Borja"/>
    <x v="15"/>
    <x v="6"/>
  </r>
  <r>
    <x v="25"/>
    <x v="117"/>
    <x v="0"/>
    <x v="0"/>
    <n v="1200"/>
    <x v="1"/>
    <s v="Heather"/>
    <s v="Baluan"/>
    <x v="15"/>
    <x v="6"/>
  </r>
  <r>
    <x v="11"/>
    <x v="214"/>
    <x v="0"/>
    <x v="0"/>
    <n v="1200"/>
    <x v="0"/>
    <s v="Stefan"/>
    <s v="Stavanger"/>
    <x v="16"/>
    <x v="1"/>
  </r>
  <r>
    <x v="6"/>
    <x v="424"/>
    <x v="0"/>
    <x v="0"/>
    <n v="1200"/>
    <x v="0"/>
    <s v="Dr. Claudia"/>
    <s v="Oslo"/>
    <x v="16"/>
    <x v="4"/>
  </r>
  <r>
    <x v="5"/>
    <x v="12"/>
    <x v="0"/>
    <x v="0"/>
    <n v="1200"/>
    <x v="0"/>
    <s v="Jannik"/>
    <s v="Holmenkollen"/>
    <x v="16"/>
    <x v="5"/>
  </r>
  <r>
    <x v="20"/>
    <x v="361"/>
    <x v="0"/>
    <x v="0"/>
    <n v="1200"/>
    <x v="0"/>
    <s v="nicole"/>
    <s v="Oslo"/>
    <x v="16"/>
    <x v="5"/>
  </r>
  <r>
    <x v="4"/>
    <x v="432"/>
    <x v="0"/>
    <x v="0"/>
    <n v="1200"/>
    <x v="1"/>
    <s v="Liban"/>
    <s v="Stavanger"/>
    <x v="16"/>
    <x v="4"/>
  </r>
  <r>
    <x v="9"/>
    <x v="149"/>
    <x v="0"/>
    <x v="0"/>
    <n v="1200"/>
    <x v="0"/>
    <s v="frauke"/>
    <s v="Horten"/>
    <x v="16"/>
    <x v="6"/>
  </r>
  <r>
    <x v="14"/>
    <x v="433"/>
    <x v="0"/>
    <x v="0"/>
    <n v="1200"/>
    <x v="1"/>
    <s v="Pia"/>
    <s v="Sola"/>
    <x v="16"/>
    <x v="4"/>
  </r>
  <r>
    <x v="11"/>
    <x v="28"/>
    <x v="0"/>
    <x v="0"/>
    <n v="1200"/>
    <x v="0"/>
    <s v="Nicole"/>
    <s v="Aardal"/>
    <x v="16"/>
    <x v="1"/>
  </r>
  <r>
    <x v="8"/>
    <x v="434"/>
    <x v="0"/>
    <x v="0"/>
    <n v="1200"/>
    <x v="1"/>
    <s v="Jennifer"/>
    <s v="Nordstrand"/>
    <x v="16"/>
    <x v="0"/>
  </r>
  <r>
    <x v="3"/>
    <x v="45"/>
    <x v="0"/>
    <x v="0"/>
    <n v="1200"/>
    <x v="0"/>
    <s v="Krista"/>
    <s v="Bergen"/>
    <x v="16"/>
    <x v="3"/>
  </r>
  <r>
    <x v="12"/>
    <x v="435"/>
    <x v="0"/>
    <x v="0"/>
    <n v="1200"/>
    <x v="0"/>
    <s v="sangeeta"/>
    <s v="Vossevangen"/>
    <x v="16"/>
    <x v="3"/>
  </r>
  <r>
    <x v="27"/>
    <x v="434"/>
    <x v="0"/>
    <x v="0"/>
    <n v="1200"/>
    <x v="1"/>
    <s v="Selene"/>
    <s v="Oslo"/>
    <x v="16"/>
    <x v="5"/>
  </r>
  <r>
    <x v="23"/>
    <x v="142"/>
    <x v="0"/>
    <x v="1"/>
    <n v="100000"/>
    <x v="0"/>
    <s v="Astrid"/>
    <s v="Oslo"/>
    <x v="16"/>
    <x v="1"/>
  </r>
  <r>
    <x v="18"/>
    <x v="436"/>
    <x v="0"/>
    <x v="0"/>
    <n v="1200"/>
    <x v="1"/>
    <s v="David"/>
    <s v="Stavenger"/>
    <x v="16"/>
    <x v="2"/>
  </r>
  <r>
    <x v="21"/>
    <x v="2"/>
    <x v="1"/>
    <x v="0"/>
    <n v="1200"/>
    <x v="0"/>
    <s v="Laleh"/>
    <s v="Aasgaardstrand"/>
    <x v="16"/>
    <x v="4"/>
  </r>
  <r>
    <x v="0"/>
    <x v="437"/>
    <x v="0"/>
    <x v="0"/>
    <n v="1200"/>
    <x v="0"/>
    <s v="Elaine"/>
    <s v="Tranby"/>
    <x v="16"/>
    <x v="0"/>
  </r>
  <r>
    <x v="6"/>
    <x v="69"/>
    <x v="1"/>
    <x v="0"/>
    <n v="1200"/>
    <x v="0"/>
    <s v="ZOE"/>
    <s v="New Plymouth City"/>
    <x v="17"/>
    <x v="4"/>
  </r>
  <r>
    <x v="22"/>
    <x v="438"/>
    <x v="0"/>
    <x v="0"/>
    <n v="1200"/>
    <x v="0"/>
    <s v="Madison"/>
    <s v="Torbay"/>
    <x v="17"/>
    <x v="0"/>
  </r>
  <r>
    <x v="28"/>
    <x v="37"/>
    <x v="0"/>
    <x v="0"/>
    <n v="1200"/>
    <x v="0"/>
    <s v="Mary"/>
    <s v="Auckland"/>
    <x v="17"/>
    <x v="4"/>
  </r>
  <r>
    <x v="5"/>
    <x v="439"/>
    <x v="0"/>
    <x v="0"/>
    <n v="1200"/>
    <x v="0"/>
    <s v="Elsa"/>
    <s v="Waiwera"/>
    <x v="17"/>
    <x v="5"/>
  </r>
  <r>
    <x v="16"/>
    <x v="117"/>
    <x v="0"/>
    <x v="0"/>
    <n v="1200"/>
    <x v="0"/>
    <s v="Kathryn"/>
    <s v="Waiau Pa"/>
    <x v="17"/>
    <x v="6"/>
  </r>
  <r>
    <x v="27"/>
    <x v="262"/>
    <x v="0"/>
    <x v="0"/>
    <n v="1200"/>
    <x v="0"/>
    <s v="Hale"/>
    <s v="Hawera"/>
    <x v="17"/>
    <x v="5"/>
  </r>
  <r>
    <x v="2"/>
    <x v="76"/>
    <x v="0"/>
    <x v="0"/>
    <n v="1200"/>
    <x v="2"/>
    <s v="Heidi"/>
    <s v="Eindhoven"/>
    <x v="18"/>
    <x v="2"/>
  </r>
  <r>
    <x v="2"/>
    <x v="440"/>
    <x v="0"/>
    <x v="0"/>
    <n v="1200"/>
    <x v="1"/>
    <s v="Stephanie"/>
    <s v="Badhoevedorp"/>
    <x v="18"/>
    <x v="2"/>
  </r>
  <r>
    <x v="4"/>
    <x v="74"/>
    <x v="0"/>
    <x v="0"/>
    <n v="1200"/>
    <x v="1"/>
    <s v="Regina"/>
    <s v="Glimmen"/>
    <x v="18"/>
    <x v="4"/>
  </r>
  <r>
    <x v="16"/>
    <x v="237"/>
    <x v="1"/>
    <x v="0"/>
    <n v="1200"/>
    <x v="2"/>
    <s v="Linda"/>
    <s v="Den Haag"/>
    <x v="18"/>
    <x v="6"/>
  </r>
  <r>
    <x v="4"/>
    <x v="441"/>
    <x v="0"/>
    <x v="0"/>
    <n v="1200"/>
    <x v="1"/>
    <s v="sunny"/>
    <s v="Amsterdam"/>
    <x v="18"/>
    <x v="4"/>
  </r>
  <r>
    <x v="3"/>
    <x v="442"/>
    <x v="1"/>
    <x v="0"/>
    <n v="1200"/>
    <x v="1"/>
    <s v="Antonella"/>
    <s v="Amsterdam"/>
    <x v="18"/>
    <x v="3"/>
  </r>
  <r>
    <x v="20"/>
    <x v="394"/>
    <x v="0"/>
    <x v="0"/>
    <n v="1200"/>
    <x v="0"/>
    <s v="Tricia"/>
    <s v="Castricum"/>
    <x v="18"/>
    <x v="5"/>
  </r>
  <r>
    <x v="22"/>
    <x v="443"/>
    <x v="0"/>
    <x v="0"/>
    <n v="1200"/>
    <x v="2"/>
    <s v="Larry"/>
    <s v="Naarden"/>
    <x v="18"/>
    <x v="0"/>
  </r>
  <r>
    <x v="3"/>
    <x v="444"/>
    <x v="0"/>
    <x v="1"/>
    <n v="100000"/>
    <x v="1"/>
    <s v="Elizabeth"/>
    <s v="Den Haag"/>
    <x v="18"/>
    <x v="3"/>
  </r>
  <r>
    <x v="14"/>
    <x v="320"/>
    <x v="0"/>
    <x v="0"/>
    <n v="1200"/>
    <x v="1"/>
    <s v="Celina"/>
    <s v="Den Haag"/>
    <x v="18"/>
    <x v="4"/>
  </r>
  <r>
    <x v="26"/>
    <x v="370"/>
    <x v="1"/>
    <x v="0"/>
    <n v="1200"/>
    <x v="0"/>
    <s v="Caterina"/>
    <s v="Amsterdam"/>
    <x v="18"/>
    <x v="3"/>
  </r>
  <r>
    <x v="15"/>
    <x v="445"/>
    <x v="0"/>
    <x v="0"/>
    <n v="1200"/>
    <x v="2"/>
    <s v="Darrah"/>
    <s v="Den Haag"/>
    <x v="18"/>
    <x v="0"/>
  </r>
  <r>
    <x v="16"/>
    <x v="89"/>
    <x v="0"/>
    <x v="0"/>
    <n v="1200"/>
    <x v="1"/>
    <s v="Angel Marie"/>
    <s v="Den Haag"/>
    <x v="18"/>
    <x v="6"/>
  </r>
  <r>
    <x v="18"/>
    <x v="53"/>
    <x v="0"/>
    <x v="1"/>
    <n v="100000"/>
    <x v="0"/>
    <s v="Julia"/>
    <s v="Ede"/>
    <x v="18"/>
    <x v="2"/>
  </r>
  <r>
    <x v="17"/>
    <x v="446"/>
    <x v="1"/>
    <x v="1"/>
    <n v="100000"/>
    <x v="1"/>
    <s v="Kelsi"/>
    <s v="Utrecht"/>
    <x v="18"/>
    <x v="1"/>
  </r>
  <r>
    <x v="22"/>
    <x v="447"/>
    <x v="1"/>
    <x v="0"/>
    <n v="5000"/>
    <x v="1"/>
    <s v="Nola"/>
    <s v="Den Haag"/>
    <x v="18"/>
    <x v="0"/>
  </r>
  <r>
    <x v="1"/>
    <x v="448"/>
    <x v="0"/>
    <x v="0"/>
    <n v="1200"/>
    <x v="1"/>
    <s v="Scott"/>
    <s v="Den Haag"/>
    <x v="18"/>
    <x v="1"/>
  </r>
  <r>
    <x v="10"/>
    <x v="355"/>
    <x v="0"/>
    <x v="2"/>
    <n v="100000"/>
    <x v="1"/>
    <s v="Brona"/>
    <s v="Den Haag"/>
    <x v="18"/>
    <x v="2"/>
  </r>
  <r>
    <x v="29"/>
    <x v="201"/>
    <x v="0"/>
    <x v="1"/>
    <n v="100000"/>
    <x v="0"/>
    <s v="Stephanie"/>
    <s v="Hilversum"/>
    <x v="18"/>
    <x v="0"/>
  </r>
  <r>
    <x v="23"/>
    <x v="386"/>
    <x v="0"/>
    <x v="0"/>
    <n v="1200"/>
    <x v="1"/>
    <s v="Hilde"/>
    <s v="Groningen"/>
    <x v="18"/>
    <x v="1"/>
  </r>
  <r>
    <x v="11"/>
    <x v="449"/>
    <x v="1"/>
    <x v="0"/>
    <n v="1200"/>
    <x v="1"/>
    <s v="Chris"/>
    <s v="Den Haag"/>
    <x v="18"/>
    <x v="1"/>
  </r>
  <r>
    <x v="21"/>
    <x v="234"/>
    <x v="0"/>
    <x v="1"/>
    <n v="100000"/>
    <x v="1"/>
    <s v="Parth"/>
    <s v="Oegstgeest"/>
    <x v="18"/>
    <x v="4"/>
  </r>
  <r>
    <x v="6"/>
    <x v="450"/>
    <x v="0"/>
    <x v="0"/>
    <n v="1200"/>
    <x v="0"/>
    <s v="Mimi"/>
    <s v="Monte-Carlo"/>
    <x v="19"/>
    <x v="4"/>
  </r>
  <r>
    <x v="21"/>
    <x v="127"/>
    <x v="1"/>
    <x v="0"/>
    <n v="1200"/>
    <x v="0"/>
    <s v="Liann"/>
    <s v="Monaco"/>
    <x v="19"/>
    <x v="4"/>
  </r>
  <r>
    <x v="3"/>
    <x v="425"/>
    <x v="0"/>
    <x v="0"/>
    <n v="1200"/>
    <x v="0"/>
    <s v="Andrea"/>
    <s v="Bubuieci"/>
    <x v="20"/>
    <x v="3"/>
  </r>
  <r>
    <x v="27"/>
    <x v="451"/>
    <x v="0"/>
    <x v="1"/>
    <n v="100000"/>
    <x v="0"/>
    <s v="Christiane"/>
    <s v="Black River"/>
    <x v="21"/>
    <x v="5"/>
  </r>
  <r>
    <x v="4"/>
    <x v="452"/>
    <x v="1"/>
    <x v="1"/>
    <n v="100000"/>
    <x v="0"/>
    <s v="seemab"/>
    <s v="San Pawl tat-Targa"/>
    <x v="22"/>
    <x v="4"/>
  </r>
  <r>
    <x v="5"/>
    <x v="453"/>
    <x v="1"/>
    <x v="0"/>
    <n v="1200"/>
    <x v="0"/>
    <s v="Erica"/>
    <s v="Nadur"/>
    <x v="22"/>
    <x v="5"/>
  </r>
  <r>
    <x v="22"/>
    <x v="20"/>
    <x v="0"/>
    <x v="0"/>
    <n v="1200"/>
    <x v="1"/>
    <s v="Diana"/>
    <s v="Kuala Lumpur"/>
    <x v="23"/>
    <x v="0"/>
  </r>
  <r>
    <x v="10"/>
    <x v="267"/>
    <x v="0"/>
    <x v="0"/>
    <n v="1200"/>
    <x v="0"/>
    <s v="Eric"/>
    <s v="Gasperich"/>
    <x v="24"/>
    <x v="2"/>
  </r>
  <r>
    <x v="5"/>
    <x v="454"/>
    <x v="0"/>
    <x v="0"/>
    <n v="1200"/>
    <x v="1"/>
    <s v="Emily"/>
    <s v="Vecmilgravis"/>
    <x v="25"/>
    <x v="5"/>
  </r>
  <r>
    <x v="16"/>
    <x v="258"/>
    <x v="0"/>
    <x v="0"/>
    <n v="1200"/>
    <x v="2"/>
    <s v="Campbell"/>
    <s v="Mushrif"/>
    <x v="26"/>
    <x v="6"/>
  </r>
  <r>
    <x v="9"/>
    <x v="455"/>
    <x v="0"/>
    <x v="0"/>
    <n v="1200"/>
    <x v="2"/>
    <s v="luisa"/>
    <s v="Gorey"/>
    <x v="27"/>
    <x v="6"/>
  </r>
  <r>
    <x v="18"/>
    <x v="32"/>
    <x v="0"/>
    <x v="0"/>
    <n v="70000"/>
    <x v="0"/>
    <s v="Christy"/>
    <s v="Setagaya"/>
    <x v="28"/>
    <x v="2"/>
  </r>
  <r>
    <x v="24"/>
    <x v="271"/>
    <x v="0"/>
    <x v="0"/>
    <n v="1200"/>
    <x v="2"/>
    <s v="Anjan"/>
    <s v="Tokyo"/>
    <x v="28"/>
    <x v="2"/>
  </r>
  <r>
    <x v="12"/>
    <x v="456"/>
    <x v="0"/>
    <x v="0"/>
    <n v="1200"/>
    <x v="0"/>
    <s v="Robin"/>
    <s v="Milan"/>
    <x v="29"/>
    <x v="3"/>
  </r>
  <r>
    <x v="4"/>
    <x v="457"/>
    <x v="0"/>
    <x v="0"/>
    <n v="1200"/>
    <x v="1"/>
    <s v="Elaine"/>
    <s v="Vicenza"/>
    <x v="29"/>
    <x v="4"/>
  </r>
  <r>
    <x v="10"/>
    <x v="258"/>
    <x v="0"/>
    <x v="1"/>
    <n v="100000"/>
    <x v="2"/>
    <s v="Leila"/>
    <s v="Ponte San Nicolo"/>
    <x v="29"/>
    <x v="2"/>
  </r>
  <r>
    <x v="5"/>
    <x v="458"/>
    <x v="1"/>
    <x v="1"/>
    <n v="100000"/>
    <x v="0"/>
    <s v="Natasha"/>
    <s v="Milano"/>
    <x v="29"/>
    <x v="5"/>
  </r>
  <r>
    <x v="23"/>
    <x v="176"/>
    <x v="0"/>
    <x v="0"/>
    <n v="1200"/>
    <x v="1"/>
    <s v="Pilar"/>
    <s v="Florence"/>
    <x v="29"/>
    <x v="1"/>
  </r>
  <r>
    <x v="18"/>
    <x v="305"/>
    <x v="0"/>
    <x v="1"/>
    <n v="100000"/>
    <x v="1"/>
    <s v="don"/>
    <s v="Cagliari"/>
    <x v="29"/>
    <x v="2"/>
  </r>
  <r>
    <x v="20"/>
    <x v="386"/>
    <x v="0"/>
    <x v="0"/>
    <n v="1200"/>
    <x v="0"/>
    <s v="Katerina"/>
    <s v="Firenze"/>
    <x v="29"/>
    <x v="5"/>
  </r>
  <r>
    <x v="16"/>
    <x v="459"/>
    <x v="0"/>
    <x v="0"/>
    <n v="1200"/>
    <x v="0"/>
    <s v="Fernando"/>
    <s v="Grosseto"/>
    <x v="29"/>
    <x v="6"/>
  </r>
  <r>
    <x v="30"/>
    <x v="400"/>
    <x v="0"/>
    <x v="0"/>
    <n v="1200"/>
    <x v="0"/>
    <s v="Nacole"/>
    <s v="Milan"/>
    <x v="29"/>
    <x v="6"/>
  </r>
  <r>
    <x v="25"/>
    <x v="460"/>
    <x v="0"/>
    <x v="0"/>
    <n v="1200"/>
    <x v="0"/>
    <s v="Jupiterlina Elika"/>
    <s v="Rome"/>
    <x v="29"/>
    <x v="6"/>
  </r>
  <r>
    <x v="2"/>
    <x v="297"/>
    <x v="0"/>
    <x v="0"/>
    <n v="1200"/>
    <x v="2"/>
    <s v="Tracy"/>
    <s v="Lucca"/>
    <x v="29"/>
    <x v="2"/>
  </r>
  <r>
    <x v="15"/>
    <x v="291"/>
    <x v="0"/>
    <x v="0"/>
    <n v="1200"/>
    <x v="0"/>
    <s v="Michael"/>
    <s v="Milano"/>
    <x v="29"/>
    <x v="0"/>
  </r>
  <r>
    <x v="16"/>
    <x v="461"/>
    <x v="0"/>
    <x v="2"/>
    <n v="100000"/>
    <x v="2"/>
    <s v="Michel"/>
    <s v="Lipari"/>
    <x v="29"/>
    <x v="6"/>
  </r>
  <r>
    <x v="16"/>
    <x v="445"/>
    <x v="0"/>
    <x v="2"/>
    <n v="100000"/>
    <x v="2"/>
    <s v="natalie"/>
    <s v="Lipari"/>
    <x v="29"/>
    <x v="6"/>
  </r>
  <r>
    <x v="17"/>
    <x v="73"/>
    <x v="0"/>
    <x v="0"/>
    <n v="1200"/>
    <x v="2"/>
    <s v="jure"/>
    <s v="Lipari"/>
    <x v="29"/>
    <x v="1"/>
  </r>
  <r>
    <x v="1"/>
    <x v="440"/>
    <x v="0"/>
    <x v="0"/>
    <n v="1200"/>
    <x v="1"/>
    <s v="Renee Elisabeth"/>
    <s v="Tel Aviv"/>
    <x v="30"/>
    <x v="1"/>
  </r>
  <r>
    <x v="1"/>
    <x v="462"/>
    <x v="0"/>
    <x v="0"/>
    <n v="1200"/>
    <x v="2"/>
    <s v="Leanne"/>
    <s v="Julianstown"/>
    <x v="31"/>
    <x v="1"/>
  </r>
  <r>
    <x v="4"/>
    <x v="188"/>
    <x v="0"/>
    <x v="0"/>
    <n v="1200"/>
    <x v="2"/>
    <s v="Janis"/>
    <s v="Ballynora"/>
    <x v="31"/>
    <x v="4"/>
  </r>
  <r>
    <x v="9"/>
    <x v="438"/>
    <x v="0"/>
    <x v="0"/>
    <n v="1200"/>
    <x v="2"/>
    <s v="Anupam"/>
    <s v="Kinsaley"/>
    <x v="31"/>
    <x v="6"/>
  </r>
  <r>
    <x v="3"/>
    <x v="390"/>
    <x v="0"/>
    <x v="0"/>
    <n v="1200"/>
    <x v="1"/>
    <s v="Danielle"/>
    <s v="Rathgar"/>
    <x v="31"/>
    <x v="3"/>
  </r>
  <r>
    <x v="17"/>
    <x v="425"/>
    <x v="0"/>
    <x v="0"/>
    <n v="1200"/>
    <x v="2"/>
    <s v="Roger"/>
    <s v="Urlingford"/>
    <x v="31"/>
    <x v="1"/>
  </r>
  <r>
    <x v="17"/>
    <x v="30"/>
    <x v="0"/>
    <x v="2"/>
    <n v="100000"/>
    <x v="1"/>
    <s v="Julianne"/>
    <s v="Navan"/>
    <x v="31"/>
    <x v="1"/>
  </r>
  <r>
    <x v="15"/>
    <x v="165"/>
    <x v="0"/>
    <x v="1"/>
    <n v="100000"/>
    <x v="2"/>
    <s v="Lesley"/>
    <s v="Cork"/>
    <x v="31"/>
    <x v="0"/>
  </r>
  <r>
    <x v="6"/>
    <x v="302"/>
    <x v="0"/>
    <x v="0"/>
    <n v="1200"/>
    <x v="0"/>
    <s v="Alan"/>
    <s v="Malahide"/>
    <x v="31"/>
    <x v="4"/>
  </r>
  <r>
    <x v="8"/>
    <x v="389"/>
    <x v="0"/>
    <x v="0"/>
    <n v="1200"/>
    <x v="0"/>
    <s v="Leah"/>
    <s v="Castleknock"/>
    <x v="31"/>
    <x v="0"/>
  </r>
  <r>
    <x v="8"/>
    <x v="371"/>
    <x v="0"/>
    <x v="0"/>
    <n v="1200"/>
    <x v="0"/>
    <s v="Laine"/>
    <s v="Castleknock"/>
    <x v="31"/>
    <x v="0"/>
  </r>
  <r>
    <x v="21"/>
    <x v="350"/>
    <x v="0"/>
    <x v="0"/>
    <n v="1200"/>
    <x v="1"/>
    <s v="Tara"/>
    <s v="Killiney"/>
    <x v="31"/>
    <x v="4"/>
  </r>
  <r>
    <x v="11"/>
    <x v="401"/>
    <x v="1"/>
    <x v="0"/>
    <n v="1200"/>
    <x v="0"/>
    <s v="Helga"/>
    <s v="Clontarf"/>
    <x v="31"/>
    <x v="1"/>
  </r>
  <r>
    <x v="0"/>
    <x v="143"/>
    <x v="0"/>
    <x v="0"/>
    <n v="1200"/>
    <x v="0"/>
    <s v="Kathryn"/>
    <s v="Cork"/>
    <x v="31"/>
    <x v="0"/>
  </r>
  <r>
    <x v="17"/>
    <x v="400"/>
    <x v="0"/>
    <x v="0"/>
    <n v="130000"/>
    <x v="2"/>
    <s v="Nita"/>
    <s v="Sutton"/>
    <x v="31"/>
    <x v="1"/>
  </r>
  <r>
    <x v="17"/>
    <x v="260"/>
    <x v="1"/>
    <x v="0"/>
    <n v="130000"/>
    <x v="0"/>
    <s v="Cassandra"/>
    <s v="Santry"/>
    <x v="31"/>
    <x v="1"/>
  </r>
  <r>
    <x v="18"/>
    <x v="446"/>
    <x v="1"/>
    <x v="0"/>
    <n v="130000"/>
    <x v="1"/>
    <s v="burt"/>
    <s v="Rathfarnham"/>
    <x v="31"/>
    <x v="2"/>
  </r>
  <r>
    <x v="22"/>
    <x v="463"/>
    <x v="0"/>
    <x v="0"/>
    <n v="130000"/>
    <x v="1"/>
    <s v="Sarah"/>
    <s v="Sandymount"/>
    <x v="31"/>
    <x v="0"/>
  </r>
  <r>
    <x v="20"/>
    <x v="21"/>
    <x v="0"/>
    <x v="0"/>
    <n v="130000"/>
    <x v="0"/>
    <s v="Costanza"/>
    <s v="Saggart"/>
    <x v="31"/>
    <x v="5"/>
  </r>
  <r>
    <x v="5"/>
    <x v="283"/>
    <x v="0"/>
    <x v="0"/>
    <n v="130000"/>
    <x v="2"/>
    <s v="Therese"/>
    <s v="Clontarf"/>
    <x v="31"/>
    <x v="5"/>
  </r>
  <r>
    <x v="2"/>
    <x v="6"/>
    <x v="0"/>
    <x v="0"/>
    <n v="130000"/>
    <x v="0"/>
    <s v="Ec"/>
    <s v="Clonmel"/>
    <x v="31"/>
    <x v="2"/>
  </r>
  <r>
    <x v="5"/>
    <x v="111"/>
    <x v="0"/>
    <x v="0"/>
    <n v="130000"/>
    <x v="0"/>
    <s v="Jennifer"/>
    <s v="Drogheda"/>
    <x v="31"/>
    <x v="5"/>
  </r>
  <r>
    <x v="0"/>
    <x v="190"/>
    <x v="0"/>
    <x v="0"/>
    <n v="130000"/>
    <x v="0"/>
    <s v="Kim"/>
    <s v="Newcastle"/>
    <x v="31"/>
    <x v="0"/>
  </r>
  <r>
    <x v="24"/>
    <x v="361"/>
    <x v="0"/>
    <x v="0"/>
    <n v="130000"/>
    <x v="0"/>
    <s v="Judy"/>
    <s v="Dun Laoghaire"/>
    <x v="31"/>
    <x v="2"/>
  </r>
  <r>
    <x v="13"/>
    <x v="45"/>
    <x v="0"/>
    <x v="0"/>
    <n v="130000"/>
    <x v="0"/>
    <s v="jo"/>
    <s v="Ballincollig"/>
    <x v="31"/>
    <x v="5"/>
  </r>
  <r>
    <x v="13"/>
    <x v="464"/>
    <x v="0"/>
    <x v="0"/>
    <n v="130000"/>
    <x v="0"/>
    <s v="Michelle"/>
    <s v="Ballincollig"/>
    <x v="31"/>
    <x v="5"/>
  </r>
  <r>
    <x v="12"/>
    <x v="89"/>
    <x v="0"/>
    <x v="0"/>
    <n v="130000"/>
    <x v="0"/>
    <s v="Joanne"/>
    <s v="Castlebar"/>
    <x v="31"/>
    <x v="3"/>
  </r>
  <r>
    <x v="11"/>
    <x v="110"/>
    <x v="0"/>
    <x v="0"/>
    <n v="130000"/>
    <x v="0"/>
    <s v="Oswald"/>
    <s v="Tramore"/>
    <x v="31"/>
    <x v="1"/>
  </r>
  <r>
    <x v="21"/>
    <x v="436"/>
    <x v="0"/>
    <x v="0"/>
    <n v="130000"/>
    <x v="0"/>
    <s v="michelle"/>
    <s v="Arklow"/>
    <x v="31"/>
    <x v="4"/>
  </r>
  <r>
    <x v="17"/>
    <x v="465"/>
    <x v="0"/>
    <x v="0"/>
    <n v="130000"/>
    <x v="0"/>
    <s v="Shona"/>
    <s v="Mornington"/>
    <x v="31"/>
    <x v="1"/>
  </r>
  <r>
    <x v="1"/>
    <x v="274"/>
    <x v="0"/>
    <x v="0"/>
    <n v="130000"/>
    <x v="0"/>
    <s v="Rima"/>
    <s v="Mullingar"/>
    <x v="31"/>
    <x v="1"/>
  </r>
  <r>
    <x v="9"/>
    <x v="81"/>
    <x v="0"/>
    <x v="0"/>
    <n v="130000"/>
    <x v="0"/>
    <s v="Peter"/>
    <s v="Shankill"/>
    <x v="31"/>
    <x v="6"/>
  </r>
  <r>
    <x v="26"/>
    <x v="444"/>
    <x v="0"/>
    <x v="0"/>
    <n v="60000"/>
    <x v="0"/>
    <s v="Elyse"/>
    <s v="Bandon"/>
    <x v="31"/>
    <x v="3"/>
  </r>
  <r>
    <x v="12"/>
    <x v="466"/>
    <x v="0"/>
    <x v="0"/>
    <n v="1200"/>
    <x v="0"/>
    <s v="Maryse"/>
    <s v="Rathfarnham"/>
    <x v="31"/>
    <x v="3"/>
  </r>
  <r>
    <x v="5"/>
    <x v="374"/>
    <x v="0"/>
    <x v="0"/>
    <n v="1200"/>
    <x v="1"/>
    <s v="Mary"/>
    <s v="Baile Atha Bui"/>
    <x v="31"/>
    <x v="5"/>
  </r>
  <r>
    <x v="16"/>
    <x v="384"/>
    <x v="0"/>
    <x v="0"/>
    <n v="1200"/>
    <x v="0"/>
    <s v="Dana"/>
    <s v="Thurles"/>
    <x v="31"/>
    <x v="6"/>
  </r>
  <r>
    <x v="0"/>
    <x v="467"/>
    <x v="0"/>
    <x v="0"/>
    <n v="1200"/>
    <x v="0"/>
    <s v="Rowena"/>
    <s v="Cork"/>
    <x v="31"/>
    <x v="0"/>
  </r>
  <r>
    <x v="24"/>
    <x v="438"/>
    <x v="0"/>
    <x v="0"/>
    <n v="1200"/>
    <x v="0"/>
    <s v="Nicola"/>
    <s v="Sneem"/>
    <x v="31"/>
    <x v="2"/>
  </r>
  <r>
    <x v="28"/>
    <x v="468"/>
    <x v="1"/>
    <x v="0"/>
    <n v="1200"/>
    <x v="0"/>
    <s v="Lilly"/>
    <s v="Castleknock"/>
    <x v="31"/>
    <x v="4"/>
  </r>
  <r>
    <x v="29"/>
    <x v="75"/>
    <x v="0"/>
    <x v="0"/>
    <n v="1200"/>
    <x v="0"/>
    <s v="Simone"/>
    <s v="Kilcornan"/>
    <x v="31"/>
    <x v="0"/>
  </r>
  <r>
    <x v="29"/>
    <x v="346"/>
    <x v="0"/>
    <x v="0"/>
    <n v="1200"/>
    <x v="0"/>
    <s v="janet"/>
    <s v="Blarney"/>
    <x v="31"/>
    <x v="0"/>
  </r>
  <r>
    <x v="5"/>
    <x v="92"/>
    <x v="0"/>
    <x v="0"/>
    <n v="1200"/>
    <x v="0"/>
    <s v="claire"/>
    <s v="Ballyneety"/>
    <x v="31"/>
    <x v="5"/>
  </r>
  <r>
    <x v="7"/>
    <x v="469"/>
    <x v="0"/>
    <x v="0"/>
    <n v="1200"/>
    <x v="1"/>
    <s v="Andree"/>
    <s v="Newmarket"/>
    <x v="31"/>
    <x v="6"/>
  </r>
  <r>
    <x v="11"/>
    <x v="465"/>
    <x v="0"/>
    <x v="1"/>
    <n v="100000"/>
    <x v="0"/>
    <s v="Shiree"/>
    <s v="Clondalkin"/>
    <x v="31"/>
    <x v="1"/>
  </r>
  <r>
    <x v="18"/>
    <x v="147"/>
    <x v="0"/>
    <x v="0"/>
    <n v="1200"/>
    <x v="1"/>
    <s v="Tracey"/>
    <s v="Harold's Cross"/>
    <x v="31"/>
    <x v="2"/>
  </r>
  <r>
    <x v="26"/>
    <x v="470"/>
    <x v="1"/>
    <x v="0"/>
    <n v="1200"/>
    <x v="0"/>
    <s v="Jackie"/>
    <s v="Waterford"/>
    <x v="31"/>
    <x v="3"/>
  </r>
  <r>
    <x v="2"/>
    <x v="37"/>
    <x v="0"/>
    <x v="0"/>
    <n v="1200"/>
    <x v="2"/>
    <s v="Elizabeth"/>
    <s v="Cork"/>
    <x v="31"/>
    <x v="2"/>
  </r>
  <r>
    <x v="28"/>
    <x v="442"/>
    <x v="1"/>
    <x v="0"/>
    <n v="1200"/>
    <x v="1"/>
    <s v="philippa katherine"/>
    <s v="Cabinteely"/>
    <x v="31"/>
    <x v="4"/>
  </r>
  <r>
    <x v="22"/>
    <x v="376"/>
    <x v="0"/>
    <x v="0"/>
    <n v="1200"/>
    <x v="0"/>
    <s v="Alexia"/>
    <s v="Blackrock"/>
    <x v="31"/>
    <x v="0"/>
  </r>
  <r>
    <x v="9"/>
    <x v="47"/>
    <x v="0"/>
    <x v="0"/>
    <n v="1200"/>
    <x v="0"/>
    <s v="Gloria Gail"/>
    <s v="Foxrock"/>
    <x v="31"/>
    <x v="6"/>
  </r>
  <r>
    <x v="3"/>
    <x v="66"/>
    <x v="0"/>
    <x v="0"/>
    <n v="1200"/>
    <x v="2"/>
    <s v="barbara"/>
    <s v="Hyderabad"/>
    <x v="32"/>
    <x v="3"/>
  </r>
  <r>
    <x v="2"/>
    <x v="468"/>
    <x v="1"/>
    <x v="0"/>
    <n v="1200"/>
    <x v="2"/>
    <s v="Lisa"/>
    <s v="Gurgaon"/>
    <x v="32"/>
    <x v="2"/>
  </r>
  <r>
    <x v="10"/>
    <x v="15"/>
    <x v="0"/>
    <x v="0"/>
    <n v="1200"/>
    <x v="0"/>
    <s v="Camille and Carmen"/>
    <s v="Thorlakshofn"/>
    <x v="33"/>
    <x v="2"/>
  </r>
  <r>
    <x v="22"/>
    <x v="290"/>
    <x v="0"/>
    <x v="0"/>
    <n v="1200"/>
    <x v="2"/>
    <s v="christina"/>
    <s v="Chepel"/>
    <x v="34"/>
    <x v="0"/>
  </r>
  <r>
    <x v="19"/>
    <x v="11"/>
    <x v="0"/>
    <x v="0"/>
    <n v="1200"/>
    <x v="1"/>
    <s v="Aideen and Jonathan"/>
    <s v="Kecskemet"/>
    <x v="34"/>
    <x v="3"/>
  </r>
  <r>
    <x v="0"/>
    <x v="471"/>
    <x v="0"/>
    <x v="0"/>
    <n v="1200"/>
    <x v="0"/>
    <s v="Line"/>
    <s v="Budaors"/>
    <x v="34"/>
    <x v="0"/>
  </r>
  <r>
    <x v="29"/>
    <x v="472"/>
    <x v="0"/>
    <x v="0"/>
    <n v="1200"/>
    <x v="1"/>
    <s v="Ana"/>
    <s v="Hong Kong"/>
    <x v="35"/>
    <x v="0"/>
  </r>
  <r>
    <x v="10"/>
    <x v="471"/>
    <x v="0"/>
    <x v="0"/>
    <n v="1200"/>
    <x v="0"/>
    <s v="Glen"/>
    <s v="Atlantida"/>
    <x v="36"/>
    <x v="2"/>
  </r>
  <r>
    <x v="27"/>
    <x v="247"/>
    <x v="0"/>
    <x v="0"/>
    <n v="1200"/>
    <x v="0"/>
    <s v="Chevonne"/>
    <s v="Athina"/>
    <x v="37"/>
    <x v="5"/>
  </r>
  <r>
    <x v="2"/>
    <x v="134"/>
    <x v="0"/>
    <x v="1"/>
    <n v="100000"/>
    <x v="1"/>
    <s v="Marcia"/>
    <s v="Telgte"/>
    <x v="38"/>
    <x v="2"/>
  </r>
  <r>
    <x v="10"/>
    <x v="473"/>
    <x v="0"/>
    <x v="0"/>
    <n v="1200"/>
    <x v="2"/>
    <s v="Petra"/>
    <s v="Bergen"/>
    <x v="38"/>
    <x v="2"/>
  </r>
  <r>
    <x v="11"/>
    <x v="433"/>
    <x v="0"/>
    <x v="0"/>
    <n v="1200"/>
    <x v="1"/>
    <s v="Katherine"/>
    <s v="Hofheim am Taunus"/>
    <x v="38"/>
    <x v="1"/>
  </r>
  <r>
    <x v="6"/>
    <x v="395"/>
    <x v="0"/>
    <x v="1"/>
    <n v="100000"/>
    <x v="0"/>
    <s v="Caren"/>
    <s v="Braunschweig"/>
    <x v="38"/>
    <x v="4"/>
  </r>
  <r>
    <x v="4"/>
    <x v="430"/>
    <x v="0"/>
    <x v="0"/>
    <n v="1200"/>
    <x v="1"/>
    <s v="Saraya"/>
    <s v="Dresden"/>
    <x v="38"/>
    <x v="4"/>
  </r>
  <r>
    <x v="1"/>
    <x v="33"/>
    <x v="0"/>
    <x v="1"/>
    <n v="100000"/>
    <x v="2"/>
    <s v="Lucien"/>
    <s v="Wiesbaden"/>
    <x v="38"/>
    <x v="1"/>
  </r>
  <r>
    <x v="9"/>
    <x v="474"/>
    <x v="0"/>
    <x v="0"/>
    <n v="1200"/>
    <x v="0"/>
    <s v="Jessica"/>
    <s v="Oldenburg"/>
    <x v="38"/>
    <x v="6"/>
  </r>
  <r>
    <x v="4"/>
    <x v="475"/>
    <x v="0"/>
    <x v="1"/>
    <n v="100000"/>
    <x v="1"/>
    <s v="Irene"/>
    <s v="Munich"/>
    <x v="38"/>
    <x v="4"/>
  </r>
  <r>
    <x v="5"/>
    <x v="290"/>
    <x v="0"/>
    <x v="0"/>
    <n v="1200"/>
    <x v="1"/>
    <s v="john"/>
    <s v="Glan-Munchweiler"/>
    <x v="38"/>
    <x v="5"/>
  </r>
  <r>
    <x v="1"/>
    <x v="173"/>
    <x v="0"/>
    <x v="0"/>
    <n v="1200"/>
    <x v="1"/>
    <s v="Rebecca"/>
    <s v="Berlin"/>
    <x v="38"/>
    <x v="1"/>
  </r>
  <r>
    <x v="10"/>
    <x v="454"/>
    <x v="0"/>
    <x v="0"/>
    <n v="1200"/>
    <x v="1"/>
    <s v="Beate"/>
    <s v="Hamburg"/>
    <x v="38"/>
    <x v="2"/>
  </r>
  <r>
    <x v="5"/>
    <x v="383"/>
    <x v="0"/>
    <x v="0"/>
    <n v="1200"/>
    <x v="0"/>
    <s v="Lauren"/>
    <s v="Gries"/>
    <x v="38"/>
    <x v="5"/>
  </r>
  <r>
    <x v="28"/>
    <x v="476"/>
    <x v="0"/>
    <x v="0"/>
    <n v="1200"/>
    <x v="1"/>
    <s v="Carmela"/>
    <s v="Hannover"/>
    <x v="38"/>
    <x v="4"/>
  </r>
  <r>
    <x v="11"/>
    <x v="219"/>
    <x v="0"/>
    <x v="0"/>
    <n v="1200"/>
    <x v="0"/>
    <s v="Bato"/>
    <s v="Munchengosserstadt"/>
    <x v="38"/>
    <x v="1"/>
  </r>
  <r>
    <x v="6"/>
    <x v="457"/>
    <x v="0"/>
    <x v="0"/>
    <n v="1200"/>
    <x v="0"/>
    <s v="Rich"/>
    <s v="Ingelheim-Mitte"/>
    <x v="38"/>
    <x v="4"/>
  </r>
  <r>
    <x v="17"/>
    <x v="197"/>
    <x v="1"/>
    <x v="1"/>
    <n v="100000"/>
    <x v="0"/>
    <s v="Hanna Agla"/>
    <s v="Donauworth"/>
    <x v="38"/>
    <x v="1"/>
  </r>
  <r>
    <x v="15"/>
    <x v="477"/>
    <x v="0"/>
    <x v="0"/>
    <n v="1200"/>
    <x v="1"/>
    <s v="Alexis"/>
    <s v="Ehingen an der Donau"/>
    <x v="38"/>
    <x v="0"/>
  </r>
  <r>
    <x v="9"/>
    <x v="68"/>
    <x v="0"/>
    <x v="0"/>
    <n v="1200"/>
    <x v="0"/>
    <s v="Martin"/>
    <s v="Ludwigsburg"/>
    <x v="38"/>
    <x v="6"/>
  </r>
  <r>
    <x v="15"/>
    <x v="8"/>
    <x v="0"/>
    <x v="0"/>
    <n v="1200"/>
    <x v="2"/>
    <s v="amy"/>
    <s v="Stuttgart"/>
    <x v="38"/>
    <x v="0"/>
  </r>
  <r>
    <x v="28"/>
    <x v="478"/>
    <x v="0"/>
    <x v="0"/>
    <n v="1200"/>
    <x v="2"/>
    <s v="Karen and Andrew"/>
    <s v="Munchen"/>
    <x v="38"/>
    <x v="4"/>
  </r>
  <r>
    <x v="18"/>
    <x v="398"/>
    <x v="1"/>
    <x v="0"/>
    <n v="1200"/>
    <x v="0"/>
    <s v="Dania"/>
    <s v="Munich"/>
    <x v="38"/>
    <x v="2"/>
  </r>
  <r>
    <x v="5"/>
    <x v="388"/>
    <x v="0"/>
    <x v="0"/>
    <n v="1200"/>
    <x v="1"/>
    <s v="Mary"/>
    <s v="Stuttgart"/>
    <x v="38"/>
    <x v="5"/>
  </r>
  <r>
    <x v="12"/>
    <x v="298"/>
    <x v="0"/>
    <x v="0"/>
    <n v="1200"/>
    <x v="1"/>
    <s v="Damian"/>
    <s v="Mettlach"/>
    <x v="38"/>
    <x v="3"/>
  </r>
  <r>
    <x v="27"/>
    <x v="361"/>
    <x v="0"/>
    <x v="0"/>
    <n v="1200"/>
    <x v="2"/>
    <s v="Evelyn"/>
    <s v="Grossbodungen"/>
    <x v="38"/>
    <x v="5"/>
  </r>
  <r>
    <x v="9"/>
    <x v="137"/>
    <x v="0"/>
    <x v="0"/>
    <n v="1200"/>
    <x v="0"/>
    <s v="stacy"/>
    <s v="Stuttgart"/>
    <x v="38"/>
    <x v="6"/>
  </r>
  <r>
    <x v="1"/>
    <x v="479"/>
    <x v="0"/>
    <x v="0"/>
    <n v="1200"/>
    <x v="0"/>
    <s v="Aidan"/>
    <s v="Chatou"/>
    <x v="39"/>
    <x v="1"/>
  </r>
  <r>
    <x v="14"/>
    <x v="137"/>
    <x v="0"/>
    <x v="0"/>
    <n v="1200"/>
    <x v="0"/>
    <s v="Stephanie"/>
    <s v="Rouen"/>
    <x v="39"/>
    <x v="4"/>
  </r>
  <r>
    <x v="5"/>
    <x v="339"/>
    <x v="0"/>
    <x v="1"/>
    <n v="100000"/>
    <x v="0"/>
    <s v="Tiffany"/>
    <s v="Paris"/>
    <x v="39"/>
    <x v="5"/>
  </r>
  <r>
    <x v="2"/>
    <x v="316"/>
    <x v="0"/>
    <x v="2"/>
    <n v="100000"/>
    <x v="0"/>
    <s v="Marion"/>
    <s v="Rennes"/>
    <x v="39"/>
    <x v="2"/>
  </r>
  <r>
    <x v="14"/>
    <x v="267"/>
    <x v="0"/>
    <x v="0"/>
    <n v="1200"/>
    <x v="2"/>
    <s v="Karen"/>
    <s v="Roquefort"/>
    <x v="39"/>
    <x v="4"/>
  </r>
  <r>
    <x v="15"/>
    <x v="480"/>
    <x v="0"/>
    <x v="0"/>
    <n v="1200"/>
    <x v="2"/>
    <s v="Lisa"/>
    <s v="Brulon"/>
    <x v="39"/>
    <x v="0"/>
  </r>
  <r>
    <x v="24"/>
    <x v="481"/>
    <x v="0"/>
    <x v="1"/>
    <n v="100000"/>
    <x v="1"/>
    <s v="Jane"/>
    <s v="Biot"/>
    <x v="39"/>
    <x v="2"/>
  </r>
  <r>
    <x v="8"/>
    <x v="394"/>
    <x v="0"/>
    <x v="0"/>
    <n v="1200"/>
    <x v="2"/>
    <s v="James"/>
    <s v="Guer"/>
    <x v="39"/>
    <x v="0"/>
  </r>
  <r>
    <x v="8"/>
    <x v="482"/>
    <x v="0"/>
    <x v="0"/>
    <n v="1200"/>
    <x v="0"/>
    <s v="Sabrina"/>
    <s v="Rambouillet"/>
    <x v="39"/>
    <x v="0"/>
  </r>
  <r>
    <x v="2"/>
    <x v="318"/>
    <x v="0"/>
    <x v="0"/>
    <n v="1200"/>
    <x v="1"/>
    <s v="T"/>
    <s v="Veigy-Foncenex"/>
    <x v="39"/>
    <x v="2"/>
  </r>
  <r>
    <x v="15"/>
    <x v="99"/>
    <x v="0"/>
    <x v="1"/>
    <n v="100000"/>
    <x v="1"/>
    <s v="Jag"/>
    <s v="Saint-Cergues"/>
    <x v="39"/>
    <x v="0"/>
  </r>
  <r>
    <x v="12"/>
    <x v="384"/>
    <x v="0"/>
    <x v="1"/>
    <n v="100000"/>
    <x v="0"/>
    <s v="Maggie"/>
    <s v="Paris"/>
    <x v="39"/>
    <x v="3"/>
  </r>
  <r>
    <x v="27"/>
    <x v="374"/>
    <x v="0"/>
    <x v="0"/>
    <n v="1200"/>
    <x v="2"/>
    <s v="Adam"/>
    <s v="Besancon"/>
    <x v="39"/>
    <x v="5"/>
  </r>
  <r>
    <x v="21"/>
    <x v="158"/>
    <x v="1"/>
    <x v="0"/>
    <n v="1200"/>
    <x v="0"/>
    <s v="Anna"/>
    <s v="Paris"/>
    <x v="39"/>
    <x v="4"/>
  </r>
  <r>
    <x v="26"/>
    <x v="261"/>
    <x v="0"/>
    <x v="0"/>
    <n v="1200"/>
    <x v="0"/>
    <s v="Sarah"/>
    <s v="Ornex"/>
    <x v="39"/>
    <x v="3"/>
  </r>
  <r>
    <x v="13"/>
    <x v="449"/>
    <x v="1"/>
    <x v="1"/>
    <n v="100000"/>
    <x v="0"/>
    <s v="Michael"/>
    <s v="Paris"/>
    <x v="39"/>
    <x v="5"/>
  </r>
  <r>
    <x v="21"/>
    <x v="8"/>
    <x v="0"/>
    <x v="0"/>
    <n v="1200"/>
    <x v="0"/>
    <s v="Anja"/>
    <s v="Ferney-Voltaire"/>
    <x v="39"/>
    <x v="4"/>
  </r>
  <r>
    <x v="28"/>
    <x v="193"/>
    <x v="0"/>
    <x v="0"/>
    <n v="1200"/>
    <x v="2"/>
    <s v="Kim"/>
    <s v="Paris"/>
    <x v="39"/>
    <x v="4"/>
  </r>
  <r>
    <x v="10"/>
    <x v="230"/>
    <x v="0"/>
    <x v="0"/>
    <n v="100000"/>
    <x v="1"/>
    <s v="steve"/>
    <s v="Evires"/>
    <x v="39"/>
    <x v="2"/>
  </r>
  <r>
    <x v="2"/>
    <x v="167"/>
    <x v="0"/>
    <x v="0"/>
    <n v="100000"/>
    <x v="0"/>
    <s v="M George"/>
    <s v="Paris"/>
    <x v="39"/>
    <x v="2"/>
  </r>
  <r>
    <x v="24"/>
    <x v="463"/>
    <x v="0"/>
    <x v="0"/>
    <n v="100000"/>
    <x v="0"/>
    <s v="Oscar"/>
    <s v="Chamonix-Mont-Blanc"/>
    <x v="39"/>
    <x v="2"/>
  </r>
  <r>
    <x v="28"/>
    <x v="379"/>
    <x v="1"/>
    <x v="0"/>
    <n v="100000"/>
    <x v="0"/>
    <s v="Vanessa"/>
    <s v="Arc-et-Senans"/>
    <x v="39"/>
    <x v="4"/>
  </r>
  <r>
    <x v="6"/>
    <x v="473"/>
    <x v="0"/>
    <x v="0"/>
    <n v="100000"/>
    <x v="0"/>
    <s v="Kasey"/>
    <s v="Aix-en-Provence"/>
    <x v="39"/>
    <x v="4"/>
  </r>
  <r>
    <x v="0"/>
    <x v="291"/>
    <x v="0"/>
    <x v="0"/>
    <n v="100000"/>
    <x v="0"/>
    <s v="Alyssa"/>
    <s v="Antibes"/>
    <x v="39"/>
    <x v="0"/>
  </r>
  <r>
    <x v="20"/>
    <x v="35"/>
    <x v="0"/>
    <x v="0"/>
    <n v="100000"/>
    <x v="0"/>
    <s v="Olga"/>
    <s v="Strasbourg"/>
    <x v="39"/>
    <x v="5"/>
  </r>
  <r>
    <x v="18"/>
    <x v="64"/>
    <x v="0"/>
    <x v="0"/>
    <n v="100000"/>
    <x v="2"/>
    <s v="brian"/>
    <s v="Hagen"/>
    <x v="39"/>
    <x v="2"/>
  </r>
  <r>
    <x v="8"/>
    <x v="37"/>
    <x v="0"/>
    <x v="1"/>
    <n v="100000"/>
    <x v="2"/>
    <s v="Ghislaine"/>
    <s v="Ferney-Voltaire"/>
    <x v="39"/>
    <x v="0"/>
  </r>
  <r>
    <x v="0"/>
    <x v="483"/>
    <x v="0"/>
    <x v="0"/>
    <n v="1200"/>
    <x v="1"/>
    <s v="Lena"/>
    <s v="Kuopio"/>
    <x v="40"/>
    <x v="0"/>
  </r>
  <r>
    <x v="24"/>
    <x v="225"/>
    <x v="0"/>
    <x v="0"/>
    <n v="1200"/>
    <x v="1"/>
    <s v="smith"/>
    <s v="Lahti"/>
    <x v="40"/>
    <x v="2"/>
  </r>
  <r>
    <x v="19"/>
    <x v="484"/>
    <x v="0"/>
    <x v="0"/>
    <n v="1200"/>
    <x v="2"/>
    <s v="Sarah"/>
    <s v="Santo Domingo City"/>
    <x v="41"/>
    <x v="3"/>
  </r>
  <r>
    <x v="7"/>
    <x v="485"/>
    <x v="0"/>
    <x v="0"/>
    <n v="110000"/>
    <x v="0"/>
    <s v="Mehmet Fatih"/>
    <s v="Helsingor"/>
    <x v="42"/>
    <x v="6"/>
  </r>
  <r>
    <x v="7"/>
    <x v="483"/>
    <x v="0"/>
    <x v="0"/>
    <n v="110000"/>
    <x v="1"/>
    <s v="simone"/>
    <s v="Kobenhavn"/>
    <x v="42"/>
    <x v="6"/>
  </r>
  <r>
    <x v="0"/>
    <x v="255"/>
    <x v="1"/>
    <x v="0"/>
    <n v="110000"/>
    <x v="0"/>
    <s v="Alice"/>
    <s v="Nakskov"/>
    <x v="42"/>
    <x v="0"/>
  </r>
  <r>
    <x v="4"/>
    <x v="426"/>
    <x v="0"/>
    <x v="0"/>
    <n v="110000"/>
    <x v="1"/>
    <s v="Si"/>
    <s v="Holte"/>
    <x v="42"/>
    <x v="4"/>
  </r>
  <r>
    <x v="7"/>
    <x v="445"/>
    <x v="0"/>
    <x v="0"/>
    <n v="110000"/>
    <x v="1"/>
    <s v="Gerlinde"/>
    <s v="Hellerup"/>
    <x v="42"/>
    <x v="6"/>
  </r>
  <r>
    <x v="2"/>
    <x v="170"/>
    <x v="1"/>
    <x v="0"/>
    <n v="110000"/>
    <x v="0"/>
    <s v="Cameron"/>
    <s v="Rungsted"/>
    <x v="42"/>
    <x v="2"/>
  </r>
  <r>
    <x v="15"/>
    <x v="486"/>
    <x v="0"/>
    <x v="0"/>
    <n v="110000"/>
    <x v="0"/>
    <s v="GAIA"/>
    <s v="Soro"/>
    <x v="42"/>
    <x v="0"/>
  </r>
  <r>
    <x v="12"/>
    <x v="161"/>
    <x v="0"/>
    <x v="0"/>
    <n v="110000"/>
    <x v="1"/>
    <s v="simone"/>
    <s v="Lyngby"/>
    <x v="42"/>
    <x v="3"/>
  </r>
  <r>
    <x v="28"/>
    <x v="420"/>
    <x v="0"/>
    <x v="0"/>
    <n v="110000"/>
    <x v="0"/>
    <s v="George"/>
    <s v="Nakskov"/>
    <x v="42"/>
    <x v="4"/>
  </r>
  <r>
    <x v="25"/>
    <x v="487"/>
    <x v="0"/>
    <x v="0"/>
    <n v="110000"/>
    <x v="0"/>
    <s v="chris"/>
    <s v="Kjobenhavn"/>
    <x v="42"/>
    <x v="6"/>
  </r>
  <r>
    <x v="3"/>
    <x v="266"/>
    <x v="0"/>
    <x v="0"/>
    <n v="110000"/>
    <x v="0"/>
    <s v="Scott"/>
    <s v="Rungsted"/>
    <x v="42"/>
    <x v="3"/>
  </r>
  <r>
    <x v="20"/>
    <x v="488"/>
    <x v="0"/>
    <x v="0"/>
    <n v="110000"/>
    <x v="0"/>
    <s v="Tomasz"/>
    <s v="Klampenborg"/>
    <x v="42"/>
    <x v="5"/>
  </r>
  <r>
    <x v="10"/>
    <x v="489"/>
    <x v="1"/>
    <x v="0"/>
    <n v="110000"/>
    <x v="1"/>
    <s v="Andrea"/>
    <s v="Brondby Strand"/>
    <x v="42"/>
    <x v="2"/>
  </r>
  <r>
    <x v="12"/>
    <x v="490"/>
    <x v="1"/>
    <x v="0"/>
    <n v="110000"/>
    <x v="0"/>
    <s v="Majken"/>
    <s v="Charlottenlund"/>
    <x v="42"/>
    <x v="3"/>
  </r>
  <r>
    <x v="2"/>
    <x v="491"/>
    <x v="0"/>
    <x v="0"/>
    <n v="110000"/>
    <x v="0"/>
    <s v="Lauren"/>
    <s v="Laasby"/>
    <x v="42"/>
    <x v="2"/>
  </r>
  <r>
    <x v="20"/>
    <x v="233"/>
    <x v="0"/>
    <x v="0"/>
    <n v="110000"/>
    <x v="0"/>
    <s v="Courtney"/>
    <s v="Suchdol"/>
    <x v="43"/>
    <x v="5"/>
  </r>
  <r>
    <x v="28"/>
    <x v="223"/>
    <x v="0"/>
    <x v="1"/>
    <n v="100000"/>
    <x v="0"/>
    <s v="Kerry"/>
    <s v="Prague"/>
    <x v="43"/>
    <x v="4"/>
  </r>
  <r>
    <x v="1"/>
    <x v="293"/>
    <x v="0"/>
    <x v="0"/>
    <n v="110000"/>
    <x v="0"/>
    <s v="Lauren"/>
    <s v="Hradec Kralove"/>
    <x v="43"/>
    <x v="1"/>
  </r>
  <r>
    <x v="18"/>
    <x v="79"/>
    <x v="0"/>
    <x v="0"/>
    <n v="1200"/>
    <x v="2"/>
    <s v="melanie"/>
    <s v="Santa Barbaraa"/>
    <x v="44"/>
    <x v="2"/>
  </r>
  <r>
    <x v="20"/>
    <x v="492"/>
    <x v="0"/>
    <x v="0"/>
    <n v="1200"/>
    <x v="0"/>
    <s v="Rachel"/>
    <s v="Taicheng"/>
    <x v="45"/>
    <x v="5"/>
  </r>
  <r>
    <x v="20"/>
    <x v="493"/>
    <x v="0"/>
    <x v="0"/>
    <n v="1200"/>
    <x v="1"/>
    <s v="Daria"/>
    <s v="George Town"/>
    <x v="46"/>
    <x v="5"/>
  </r>
  <r>
    <x v="2"/>
    <x v="95"/>
    <x v="0"/>
    <x v="0"/>
    <n v="1200"/>
    <x v="0"/>
    <s v="Janet"/>
    <s v="Ottawa"/>
    <x v="47"/>
    <x v="2"/>
  </r>
  <r>
    <x v="9"/>
    <x v="494"/>
    <x v="0"/>
    <x v="0"/>
    <n v="1200"/>
    <x v="0"/>
    <s v="Anushka"/>
    <s v="Maple Ridge District Municipality"/>
    <x v="47"/>
    <x v="6"/>
  </r>
  <r>
    <x v="1"/>
    <x v="495"/>
    <x v="0"/>
    <x v="1"/>
    <n v="100000"/>
    <x v="2"/>
    <s v="Baybars"/>
    <s v="Prince Albert"/>
    <x v="47"/>
    <x v="1"/>
  </r>
  <r>
    <x v="5"/>
    <x v="496"/>
    <x v="0"/>
    <x v="0"/>
    <n v="1200"/>
    <x v="0"/>
    <s v="Gina"/>
    <s v="Red Deer"/>
    <x v="47"/>
    <x v="5"/>
  </r>
  <r>
    <x v="6"/>
    <x v="497"/>
    <x v="0"/>
    <x v="0"/>
    <n v="1200"/>
    <x v="0"/>
    <s v="Kim"/>
    <s v="Calgary"/>
    <x v="47"/>
    <x v="4"/>
  </r>
  <r>
    <x v="6"/>
    <x v="498"/>
    <x v="0"/>
    <x v="0"/>
    <n v="1200"/>
    <x v="0"/>
    <s v="Bruce"/>
    <s v="Belleville"/>
    <x v="47"/>
    <x v="4"/>
  </r>
  <r>
    <x v="10"/>
    <x v="301"/>
    <x v="0"/>
    <x v="0"/>
    <n v="1200"/>
    <x v="0"/>
    <s v="Lydia"/>
    <s v="Comox"/>
    <x v="47"/>
    <x v="2"/>
  </r>
  <r>
    <x v="4"/>
    <x v="268"/>
    <x v="0"/>
    <x v="0"/>
    <n v="1200"/>
    <x v="0"/>
    <s v="nathalie"/>
    <s v="Calgary"/>
    <x v="47"/>
    <x v="4"/>
  </r>
  <r>
    <x v="7"/>
    <x v="207"/>
    <x v="0"/>
    <x v="0"/>
    <n v="1200"/>
    <x v="1"/>
    <s v="Lindi"/>
    <s v="Vancouver"/>
    <x v="47"/>
    <x v="6"/>
  </r>
  <r>
    <x v="1"/>
    <x v="70"/>
    <x v="0"/>
    <x v="0"/>
    <n v="1200"/>
    <x v="0"/>
    <s v="Gerhard"/>
    <s v="Alliston"/>
    <x v="47"/>
    <x v="1"/>
  </r>
  <r>
    <x v="3"/>
    <x v="499"/>
    <x v="0"/>
    <x v="0"/>
    <n v="90000"/>
    <x v="0"/>
    <s v="Kofi"/>
    <s v="Vancouver"/>
    <x v="47"/>
    <x v="3"/>
  </r>
  <r>
    <x v="10"/>
    <x v="299"/>
    <x v="0"/>
    <x v="0"/>
    <n v="200000"/>
    <x v="0"/>
    <s v="Veronique"/>
    <s v="Tsawwassen"/>
    <x v="47"/>
    <x v="2"/>
  </r>
  <r>
    <x v="3"/>
    <x v="123"/>
    <x v="0"/>
    <x v="0"/>
    <n v="60000"/>
    <x v="0"/>
    <s v="Anna"/>
    <s v="Okotoks"/>
    <x v="47"/>
    <x v="3"/>
  </r>
  <r>
    <x v="14"/>
    <x v="41"/>
    <x v="0"/>
    <x v="0"/>
    <n v="1200"/>
    <x v="0"/>
    <s v="Heidi"/>
    <s v="Calgary"/>
    <x v="47"/>
    <x v="4"/>
  </r>
  <r>
    <x v="14"/>
    <x v="109"/>
    <x v="0"/>
    <x v="0"/>
    <n v="1200"/>
    <x v="0"/>
    <s v="Jessica"/>
    <s v="Kanata"/>
    <x v="47"/>
    <x v="4"/>
  </r>
  <r>
    <x v="14"/>
    <x v="337"/>
    <x v="1"/>
    <x v="0"/>
    <n v="90000"/>
    <x v="1"/>
    <s v="Annelies"/>
    <s v="Ile-Perrot"/>
    <x v="47"/>
    <x v="4"/>
  </r>
  <r>
    <x v="1"/>
    <x v="299"/>
    <x v="0"/>
    <x v="0"/>
    <n v="200000"/>
    <x v="2"/>
    <s v="Sarka"/>
    <s v="Yellowknife"/>
    <x v="47"/>
    <x v="1"/>
  </r>
  <r>
    <x v="12"/>
    <x v="59"/>
    <x v="0"/>
    <x v="0"/>
    <n v="60000"/>
    <x v="1"/>
    <s v="Andrew"/>
    <s v="Winnipeg"/>
    <x v="47"/>
    <x v="3"/>
  </r>
  <r>
    <x v="1"/>
    <x v="500"/>
    <x v="1"/>
    <x v="0"/>
    <n v="1200"/>
    <x v="2"/>
    <s v="Denise"/>
    <s v="Montreal"/>
    <x v="47"/>
    <x v="1"/>
  </r>
  <r>
    <x v="2"/>
    <x v="88"/>
    <x v="0"/>
    <x v="0"/>
    <n v="1200"/>
    <x v="0"/>
    <s v="Jeffrey"/>
    <s v="Montreal-Nord"/>
    <x v="47"/>
    <x v="2"/>
  </r>
  <r>
    <x v="1"/>
    <x v="501"/>
    <x v="0"/>
    <x v="0"/>
    <n v="90000"/>
    <x v="0"/>
    <s v="Charlene"/>
    <s v="Calgary"/>
    <x v="47"/>
    <x v="1"/>
  </r>
  <r>
    <x v="12"/>
    <x v="496"/>
    <x v="0"/>
    <x v="0"/>
    <n v="200000"/>
    <x v="0"/>
    <s v="Kim"/>
    <s v="Kelowna"/>
    <x v="47"/>
    <x v="3"/>
  </r>
  <r>
    <x v="4"/>
    <x v="502"/>
    <x v="0"/>
    <x v="0"/>
    <n v="60000"/>
    <x v="1"/>
    <s v="Gabriel"/>
    <s v="Three Hills"/>
    <x v="47"/>
    <x v="4"/>
  </r>
  <r>
    <x v="24"/>
    <x v="349"/>
    <x v="0"/>
    <x v="0"/>
    <n v="1200"/>
    <x v="0"/>
    <s v="Eleanor"/>
    <s v="Vancouver"/>
    <x v="47"/>
    <x v="2"/>
  </r>
  <r>
    <x v="12"/>
    <x v="503"/>
    <x v="0"/>
    <x v="0"/>
    <n v="1200"/>
    <x v="1"/>
    <s v="Priska"/>
    <s v="Calgary"/>
    <x v="47"/>
    <x v="3"/>
  </r>
  <r>
    <x v="10"/>
    <x v="475"/>
    <x v="0"/>
    <x v="0"/>
    <n v="90000"/>
    <x v="1"/>
    <s v="Tina"/>
    <s v="Calgary"/>
    <x v="47"/>
    <x v="2"/>
  </r>
  <r>
    <x v="4"/>
    <x v="504"/>
    <x v="0"/>
    <x v="0"/>
    <n v="200000"/>
    <x v="2"/>
    <s v="Damali"/>
    <s v="Toronto"/>
    <x v="47"/>
    <x v="4"/>
  </r>
  <r>
    <x v="23"/>
    <x v="497"/>
    <x v="0"/>
    <x v="0"/>
    <n v="60000"/>
    <x v="0"/>
    <s v="L"/>
    <s v="Alcona"/>
    <x v="47"/>
    <x v="1"/>
  </r>
  <r>
    <x v="27"/>
    <x v="505"/>
    <x v="0"/>
    <x v="0"/>
    <n v="1200"/>
    <x v="0"/>
    <s v="Lisa"/>
    <s v="Anse Comeau"/>
    <x v="47"/>
    <x v="5"/>
  </r>
  <r>
    <x v="22"/>
    <x v="313"/>
    <x v="0"/>
    <x v="0"/>
    <n v="1200"/>
    <x v="0"/>
    <s v="Ginger"/>
    <s v="King City"/>
    <x v="47"/>
    <x v="0"/>
  </r>
  <r>
    <x v="3"/>
    <x v="506"/>
    <x v="0"/>
    <x v="0"/>
    <n v="90000"/>
    <x v="1"/>
    <s v="Charlene"/>
    <s v="Vancouver"/>
    <x v="47"/>
    <x v="3"/>
  </r>
  <r>
    <x v="25"/>
    <x v="249"/>
    <x v="0"/>
    <x v="0"/>
    <n v="200000"/>
    <x v="0"/>
    <s v="Tracey"/>
    <s v="Saint Catharines"/>
    <x v="47"/>
    <x v="6"/>
  </r>
  <r>
    <x v="5"/>
    <x v="507"/>
    <x v="0"/>
    <x v="0"/>
    <n v="60000"/>
    <x v="2"/>
    <s v="maria"/>
    <s v="Ottawa"/>
    <x v="47"/>
    <x v="5"/>
  </r>
  <r>
    <x v="1"/>
    <x v="508"/>
    <x v="0"/>
    <x v="0"/>
    <n v="1200"/>
    <x v="1"/>
    <s v="Christyna"/>
    <s v="Calgary"/>
    <x v="47"/>
    <x v="1"/>
  </r>
  <r>
    <x v="9"/>
    <x v="202"/>
    <x v="0"/>
    <x v="0"/>
    <n v="1200"/>
    <x v="1"/>
    <s v="Sharon"/>
    <s v="Ajax"/>
    <x v="47"/>
    <x v="6"/>
  </r>
  <r>
    <x v="21"/>
    <x v="187"/>
    <x v="0"/>
    <x v="0"/>
    <n v="90000"/>
    <x v="0"/>
    <s v="Yana"/>
    <s v="North Bay"/>
    <x v="47"/>
    <x v="4"/>
  </r>
  <r>
    <x v="27"/>
    <x v="509"/>
    <x v="0"/>
    <x v="1"/>
    <n v="100000"/>
    <x v="2"/>
    <s v="Elizabeth"/>
    <s v="Okotoks"/>
    <x v="47"/>
    <x v="5"/>
  </r>
  <r>
    <x v="20"/>
    <x v="510"/>
    <x v="0"/>
    <x v="0"/>
    <n v="60000"/>
    <x v="2"/>
    <s v="Henrietta"/>
    <s v="Vancouver"/>
    <x v="47"/>
    <x v="5"/>
  </r>
  <r>
    <x v="10"/>
    <x v="511"/>
    <x v="0"/>
    <x v="1"/>
    <n v="100000"/>
    <x v="0"/>
    <s v="Debra"/>
    <s v="Toronto"/>
    <x v="47"/>
    <x v="2"/>
  </r>
  <r>
    <x v="13"/>
    <x v="142"/>
    <x v="0"/>
    <x v="1"/>
    <n v="100000"/>
    <x v="2"/>
    <s v="Ruth"/>
    <s v="Saskatoon"/>
    <x v="47"/>
    <x v="5"/>
  </r>
  <r>
    <x v="6"/>
    <x v="377"/>
    <x v="0"/>
    <x v="0"/>
    <n v="1200"/>
    <x v="2"/>
    <s v="Benoit"/>
    <s v="Fort Saint James"/>
    <x v="47"/>
    <x v="4"/>
  </r>
  <r>
    <x v="9"/>
    <x v="454"/>
    <x v="0"/>
    <x v="0"/>
    <n v="1200"/>
    <x v="0"/>
    <s v="Rachel"/>
    <s v="Hamilton"/>
    <x v="47"/>
    <x v="6"/>
  </r>
  <r>
    <x v="0"/>
    <x v="486"/>
    <x v="0"/>
    <x v="1"/>
    <n v="100000"/>
    <x v="0"/>
    <s v="Kendra"/>
    <s v="Toronto"/>
    <x v="47"/>
    <x v="0"/>
  </r>
  <r>
    <x v="14"/>
    <x v="65"/>
    <x v="0"/>
    <x v="1"/>
    <n v="100000"/>
    <x v="0"/>
    <s v="Derrick"/>
    <s v="North Bay"/>
    <x v="47"/>
    <x v="4"/>
  </r>
  <r>
    <x v="2"/>
    <x v="197"/>
    <x v="1"/>
    <x v="0"/>
    <n v="1200"/>
    <x v="0"/>
    <s v="Katrin"/>
    <s v="Calgary"/>
    <x v="47"/>
    <x v="2"/>
  </r>
  <r>
    <x v="27"/>
    <x v="337"/>
    <x v="1"/>
    <x v="1"/>
    <n v="100000"/>
    <x v="1"/>
    <s v="Kelly"/>
    <s v="Vancouver"/>
    <x v="47"/>
    <x v="5"/>
  </r>
  <r>
    <x v="6"/>
    <x v="468"/>
    <x v="1"/>
    <x v="0"/>
    <n v="1200"/>
    <x v="1"/>
    <s v="Trine Marie"/>
    <s v="Orillia"/>
    <x v="47"/>
    <x v="4"/>
  </r>
  <r>
    <x v="11"/>
    <x v="506"/>
    <x v="0"/>
    <x v="0"/>
    <n v="1200"/>
    <x v="0"/>
    <s v="familly"/>
    <s v="Creemore"/>
    <x v="47"/>
    <x v="1"/>
  </r>
  <r>
    <x v="8"/>
    <x v="512"/>
    <x v="0"/>
    <x v="0"/>
    <n v="1200"/>
    <x v="2"/>
    <s v="Precious"/>
    <s v="Edmonton"/>
    <x v="47"/>
    <x v="0"/>
  </r>
  <r>
    <x v="8"/>
    <x v="513"/>
    <x v="0"/>
    <x v="0"/>
    <n v="1200"/>
    <x v="2"/>
    <s v="Mona"/>
    <s v="Kelowna"/>
    <x v="47"/>
    <x v="0"/>
  </r>
  <r>
    <x v="14"/>
    <x v="514"/>
    <x v="0"/>
    <x v="0"/>
    <n v="1200"/>
    <x v="0"/>
    <s v="Caroline"/>
    <s v="Toronto"/>
    <x v="47"/>
    <x v="4"/>
  </r>
  <r>
    <x v="12"/>
    <x v="41"/>
    <x v="0"/>
    <x v="0"/>
    <n v="1200"/>
    <x v="2"/>
    <s v="Karen"/>
    <s v="Montreal"/>
    <x v="47"/>
    <x v="3"/>
  </r>
  <r>
    <x v="25"/>
    <x v="134"/>
    <x v="0"/>
    <x v="0"/>
    <n v="1200"/>
    <x v="0"/>
    <s v="jacqueline"/>
    <s v="North Vancouver"/>
    <x v="47"/>
    <x v="6"/>
  </r>
  <r>
    <x v="1"/>
    <x v="50"/>
    <x v="0"/>
    <x v="0"/>
    <n v="1200"/>
    <x v="2"/>
    <s v="Paul"/>
    <s v="Burnaby"/>
    <x v="47"/>
    <x v="1"/>
  </r>
  <r>
    <x v="7"/>
    <x v="143"/>
    <x v="0"/>
    <x v="0"/>
    <n v="1200"/>
    <x v="0"/>
    <s v="Vanessa"/>
    <s v="Cornwall"/>
    <x v="47"/>
    <x v="6"/>
  </r>
  <r>
    <x v="6"/>
    <x v="50"/>
    <x v="0"/>
    <x v="0"/>
    <n v="1200"/>
    <x v="0"/>
    <s v="Catherine"/>
    <s v="Mount Forest"/>
    <x v="47"/>
    <x v="4"/>
  </r>
  <r>
    <x v="25"/>
    <x v="2"/>
    <x v="1"/>
    <x v="0"/>
    <n v="1200"/>
    <x v="0"/>
    <s v="sorcha"/>
    <s v="Cartierville"/>
    <x v="47"/>
    <x v="6"/>
  </r>
  <r>
    <x v="2"/>
    <x v="515"/>
    <x v="0"/>
    <x v="0"/>
    <n v="1200"/>
    <x v="0"/>
    <s v="isabelle"/>
    <s v="Sainte-Therese-de-Blainville"/>
    <x v="47"/>
    <x v="2"/>
  </r>
  <r>
    <x v="24"/>
    <x v="516"/>
    <x v="0"/>
    <x v="0"/>
    <n v="1200"/>
    <x v="0"/>
    <s v="Lolarae"/>
    <s v="Calgary"/>
    <x v="47"/>
    <x v="2"/>
  </r>
  <r>
    <x v="27"/>
    <x v="320"/>
    <x v="0"/>
    <x v="0"/>
    <n v="1200"/>
    <x v="0"/>
    <s v="Jenevieve"/>
    <s v="Guelph"/>
    <x v="47"/>
    <x v="5"/>
  </r>
  <r>
    <x v="19"/>
    <x v="134"/>
    <x v="0"/>
    <x v="0"/>
    <n v="1200"/>
    <x v="0"/>
    <s v="James"/>
    <s v="Edmonton"/>
    <x v="47"/>
    <x v="3"/>
  </r>
  <r>
    <x v="16"/>
    <x v="517"/>
    <x v="0"/>
    <x v="0"/>
    <n v="1200"/>
    <x v="1"/>
    <s v="Nicole"/>
    <s v="Simcoe"/>
    <x v="47"/>
    <x v="6"/>
  </r>
  <r>
    <x v="30"/>
    <x v="30"/>
    <x v="0"/>
    <x v="0"/>
    <n v="1200"/>
    <x v="0"/>
    <s v="Joern"/>
    <s v="Waterford"/>
    <x v="47"/>
    <x v="6"/>
  </r>
  <r>
    <x v="23"/>
    <x v="204"/>
    <x v="0"/>
    <x v="0"/>
    <n v="1200"/>
    <x v="2"/>
    <s v="Jennifer"/>
    <s v="Vancouver"/>
    <x v="47"/>
    <x v="1"/>
  </r>
  <r>
    <x v="1"/>
    <x v="315"/>
    <x v="0"/>
    <x v="1"/>
    <n v="100000"/>
    <x v="1"/>
    <s v="Karoline"/>
    <s v="Powell River"/>
    <x v="47"/>
    <x v="1"/>
  </r>
  <r>
    <x v="28"/>
    <x v="333"/>
    <x v="0"/>
    <x v="0"/>
    <n v="1200"/>
    <x v="0"/>
    <s v="Alessandra"/>
    <s v="Vancouver"/>
    <x v="47"/>
    <x v="4"/>
  </r>
  <r>
    <x v="5"/>
    <x v="9"/>
    <x v="0"/>
    <x v="0"/>
    <n v="1200"/>
    <x v="1"/>
    <s v="loudon"/>
    <s v="Ottawa"/>
    <x v="47"/>
    <x v="5"/>
  </r>
  <r>
    <x v="3"/>
    <x v="495"/>
    <x v="0"/>
    <x v="1"/>
    <n v="3600"/>
    <x v="1"/>
    <s v="Christiane"/>
    <s v="Mission"/>
    <x v="47"/>
    <x v="3"/>
  </r>
  <r>
    <x v="19"/>
    <x v="518"/>
    <x v="0"/>
    <x v="1"/>
    <n v="200000"/>
    <x v="0"/>
    <s v="Jessica"/>
    <s v="Toronto"/>
    <x v="47"/>
    <x v="3"/>
  </r>
  <r>
    <x v="0"/>
    <x v="176"/>
    <x v="0"/>
    <x v="0"/>
    <n v="1200"/>
    <x v="1"/>
    <s v="Brandi"/>
    <s v="Edmonton"/>
    <x v="47"/>
    <x v="0"/>
  </r>
  <r>
    <x v="6"/>
    <x v="519"/>
    <x v="1"/>
    <x v="0"/>
    <n v="1200"/>
    <x v="2"/>
    <s v="Andrea"/>
    <s v="Calgary"/>
    <x v="47"/>
    <x v="4"/>
  </r>
  <r>
    <x v="5"/>
    <x v="30"/>
    <x v="0"/>
    <x v="0"/>
    <n v="1200"/>
    <x v="0"/>
    <s v="Sarah"/>
    <s v="Warwick"/>
    <x v="47"/>
    <x v="5"/>
  </r>
  <r>
    <x v="21"/>
    <x v="359"/>
    <x v="0"/>
    <x v="1"/>
    <n v="200000"/>
    <x v="0"/>
    <s v="Lisa"/>
    <s v="Ottawa"/>
    <x v="47"/>
    <x v="4"/>
  </r>
  <r>
    <x v="12"/>
    <x v="179"/>
    <x v="0"/>
    <x v="1"/>
    <n v="200000"/>
    <x v="1"/>
    <s v="Anthony"/>
    <s v="Toronto"/>
    <x v="47"/>
    <x v="3"/>
  </r>
  <r>
    <x v="29"/>
    <x v="134"/>
    <x v="0"/>
    <x v="1"/>
    <n v="200000"/>
    <x v="1"/>
    <s v="Tanya"/>
    <s v="Carcross"/>
    <x v="47"/>
    <x v="0"/>
  </r>
  <r>
    <x v="19"/>
    <x v="405"/>
    <x v="0"/>
    <x v="1"/>
    <n v="200000"/>
    <x v="0"/>
    <s v="Stephen"/>
    <s v="Calgary"/>
    <x v="47"/>
    <x v="3"/>
  </r>
  <r>
    <x v="18"/>
    <x v="384"/>
    <x v="0"/>
    <x v="0"/>
    <n v="1200"/>
    <x v="1"/>
    <s v="TG"/>
    <s v="Zagore"/>
    <x v="48"/>
    <x v="2"/>
  </r>
  <r>
    <x v="16"/>
    <x v="520"/>
    <x v="0"/>
    <x v="0"/>
    <n v="1200"/>
    <x v="1"/>
    <s v="Joachim"/>
    <s v="Fortaleza"/>
    <x v="49"/>
    <x v="6"/>
  </r>
  <r>
    <x v="13"/>
    <x v="176"/>
    <x v="0"/>
    <x v="2"/>
    <n v="200000"/>
    <x v="1"/>
    <s v="Diana"/>
    <s v="Campinas"/>
    <x v="49"/>
    <x v="5"/>
  </r>
  <r>
    <x v="25"/>
    <x v="516"/>
    <x v="0"/>
    <x v="0"/>
    <n v="1200"/>
    <x v="0"/>
    <s v="sorcha"/>
    <s v="Porto Alegre"/>
    <x v="49"/>
    <x v="6"/>
  </r>
  <r>
    <x v="23"/>
    <x v="22"/>
    <x v="0"/>
    <x v="0"/>
    <n v="1200"/>
    <x v="1"/>
    <s v="Lesa"/>
    <s v="Vespasiano"/>
    <x v="49"/>
    <x v="1"/>
  </r>
  <r>
    <x v="17"/>
    <x v="336"/>
    <x v="0"/>
    <x v="0"/>
    <n v="1200"/>
    <x v="2"/>
    <s v="Michaela"/>
    <s v="Mafra"/>
    <x v="49"/>
    <x v="1"/>
  </r>
  <r>
    <x v="22"/>
    <x v="309"/>
    <x v="0"/>
    <x v="0"/>
    <n v="1200"/>
    <x v="0"/>
    <s v="Elizabeth"/>
    <s v="Hamilton"/>
    <x v="50"/>
    <x v="0"/>
  </r>
  <r>
    <x v="11"/>
    <x v="484"/>
    <x v="0"/>
    <x v="0"/>
    <n v="1200"/>
    <x v="0"/>
    <s v="Stephanie"/>
    <s v="Brussels"/>
    <x v="51"/>
    <x v="1"/>
  </r>
  <r>
    <x v="5"/>
    <x v="287"/>
    <x v="0"/>
    <x v="0"/>
    <n v="1200"/>
    <x v="2"/>
    <s v="Jocelyn"/>
    <s v="Bruxelles"/>
    <x v="51"/>
    <x v="5"/>
  </r>
  <r>
    <x v="29"/>
    <x v="293"/>
    <x v="0"/>
    <x v="0"/>
    <n v="1200"/>
    <x v="0"/>
    <s v="Christine"/>
    <s v="Antwerpen"/>
    <x v="51"/>
    <x v="0"/>
  </r>
  <r>
    <x v="24"/>
    <x v="521"/>
    <x v="0"/>
    <x v="1"/>
    <n v="200000"/>
    <x v="0"/>
    <s v="Geraldine"/>
    <s v="Brussels"/>
    <x v="51"/>
    <x v="2"/>
  </r>
  <r>
    <x v="25"/>
    <x v="200"/>
    <x v="0"/>
    <x v="0"/>
    <n v="1200"/>
    <x v="0"/>
    <s v="Audrey"/>
    <s v="Bruxelles"/>
    <x v="51"/>
    <x v="6"/>
  </r>
  <r>
    <x v="18"/>
    <x v="382"/>
    <x v="0"/>
    <x v="0"/>
    <n v="1200"/>
    <x v="2"/>
    <s v="Nicola"/>
    <s v="Bruxelles"/>
    <x v="51"/>
    <x v="2"/>
  </r>
  <r>
    <x v="3"/>
    <x v="522"/>
    <x v="0"/>
    <x v="0"/>
    <n v="1200"/>
    <x v="1"/>
    <s v="Kim"/>
    <s v="Brussels"/>
    <x v="51"/>
    <x v="3"/>
  </r>
  <r>
    <x v="3"/>
    <x v="523"/>
    <x v="0"/>
    <x v="0"/>
    <n v="1200"/>
    <x v="0"/>
    <s v="mike"/>
    <s v="La Louviere"/>
    <x v="51"/>
    <x v="3"/>
  </r>
  <r>
    <x v="10"/>
    <x v="524"/>
    <x v="0"/>
    <x v="0"/>
    <n v="1200"/>
    <x v="0"/>
    <s v="Dez"/>
    <s v="Al 'Adliyah"/>
    <x v="52"/>
    <x v="2"/>
  </r>
  <r>
    <x v="15"/>
    <x v="426"/>
    <x v="0"/>
    <x v="0"/>
    <n v="1200"/>
    <x v="0"/>
    <s v="Angela"/>
    <s v="Vienna"/>
    <x v="53"/>
    <x v="0"/>
  </r>
  <r>
    <x v="25"/>
    <x v="12"/>
    <x v="0"/>
    <x v="0"/>
    <n v="1200"/>
    <x v="1"/>
    <s v="corina"/>
    <s v="Neustift am Walde"/>
    <x v="53"/>
    <x v="6"/>
  </r>
  <r>
    <x v="25"/>
    <x v="513"/>
    <x v="0"/>
    <x v="0"/>
    <n v="1200"/>
    <x v="1"/>
    <s v="manon"/>
    <s v="Neustift am Walde"/>
    <x v="53"/>
    <x v="6"/>
  </r>
  <r>
    <x v="3"/>
    <x v="363"/>
    <x v="0"/>
    <x v="0"/>
    <n v="1200"/>
    <x v="0"/>
    <s v="Astrid"/>
    <s v="Altlengbach"/>
    <x v="53"/>
    <x v="3"/>
  </r>
  <r>
    <x v="20"/>
    <x v="525"/>
    <x v="0"/>
    <x v="0"/>
    <n v="1200"/>
    <x v="1"/>
    <s v="Tamara"/>
    <s v="Klosterneuburg"/>
    <x v="53"/>
    <x v="5"/>
  </r>
  <r>
    <x v="23"/>
    <x v="409"/>
    <x v="0"/>
    <x v="1"/>
    <n v="200000"/>
    <x v="1"/>
    <s v="Gloria Gail"/>
    <s v="WalcProduct3ee"/>
    <x v="53"/>
    <x v="1"/>
  </r>
  <r>
    <x v="2"/>
    <x v="258"/>
    <x v="0"/>
    <x v="0"/>
    <n v="1200"/>
    <x v="0"/>
    <s v="Macy"/>
    <s v="Inner City"/>
    <x v="53"/>
    <x v="2"/>
  </r>
  <r>
    <x v="7"/>
    <x v="408"/>
    <x v="0"/>
    <x v="0"/>
    <n v="1200"/>
    <x v="0"/>
    <s v="Gouya"/>
    <s v="Echuca"/>
    <x v="54"/>
    <x v="6"/>
  </r>
  <r>
    <x v="2"/>
    <x v="290"/>
    <x v="0"/>
    <x v="1"/>
    <n v="200000"/>
    <x v="0"/>
    <s v="James"/>
    <s v="Burpengary"/>
    <x v="54"/>
    <x v="2"/>
  </r>
  <r>
    <x v="3"/>
    <x v="185"/>
    <x v="0"/>
    <x v="0"/>
    <n v="1200"/>
    <x v="1"/>
    <s v="Frank"/>
    <s v="Melbourne"/>
    <x v="54"/>
    <x v="3"/>
  </r>
  <r>
    <x v="11"/>
    <x v="218"/>
    <x v="0"/>
    <x v="0"/>
    <n v="1200"/>
    <x v="0"/>
    <s v="chris"/>
    <s v="Gold Coast"/>
    <x v="54"/>
    <x v="1"/>
  </r>
  <r>
    <x v="10"/>
    <x v="526"/>
    <x v="0"/>
    <x v="0"/>
    <n v="1200"/>
    <x v="0"/>
    <s v="IMAN"/>
    <s v="Brisbane"/>
    <x v="54"/>
    <x v="2"/>
  </r>
  <r>
    <x v="1"/>
    <x v="388"/>
    <x v="0"/>
    <x v="0"/>
    <n v="1200"/>
    <x v="2"/>
    <s v="jeremy"/>
    <s v="Charlestown"/>
    <x v="54"/>
    <x v="1"/>
  </r>
  <r>
    <x v="19"/>
    <x v="441"/>
    <x v="0"/>
    <x v="0"/>
    <n v="1200"/>
    <x v="0"/>
    <s v="Elizabeth"/>
    <s v="The Grange"/>
    <x v="54"/>
    <x v="3"/>
  </r>
  <r>
    <x v="8"/>
    <x v="527"/>
    <x v="0"/>
    <x v="0"/>
    <n v="1200"/>
    <x v="0"/>
    <s v="Bob"/>
    <s v="Sydney"/>
    <x v="54"/>
    <x v="0"/>
  </r>
  <r>
    <x v="15"/>
    <x v="528"/>
    <x v="0"/>
    <x v="0"/>
    <n v="1200"/>
    <x v="0"/>
    <s v="Elizabeth"/>
    <s v="Wollongong"/>
    <x v="54"/>
    <x v="0"/>
  </r>
  <r>
    <x v="0"/>
    <x v="529"/>
    <x v="0"/>
    <x v="0"/>
    <n v="1200"/>
    <x v="1"/>
    <s v="Morgan"/>
    <s v="Coomera"/>
    <x v="54"/>
    <x v="0"/>
  </r>
  <r>
    <x v="11"/>
    <x v="136"/>
    <x v="0"/>
    <x v="1"/>
    <n v="200000"/>
    <x v="0"/>
    <s v="STEPHANIE"/>
    <s v="Mona Vale"/>
    <x v="54"/>
    <x v="1"/>
  </r>
  <r>
    <x v="5"/>
    <x v="530"/>
    <x v="0"/>
    <x v="0"/>
    <n v="1200"/>
    <x v="1"/>
    <s v="Emma"/>
    <s v="Sydney"/>
    <x v="54"/>
    <x v="5"/>
  </r>
  <r>
    <x v="17"/>
    <x v="531"/>
    <x v="0"/>
    <x v="0"/>
    <n v="1200"/>
    <x v="0"/>
    <s v="Marina"/>
    <s v="Nerang"/>
    <x v="54"/>
    <x v="1"/>
  </r>
  <r>
    <x v="4"/>
    <x v="3"/>
    <x v="0"/>
    <x v="0"/>
    <n v="1200"/>
    <x v="1"/>
    <s v="Nicole"/>
    <s v="South Melbourne"/>
    <x v="54"/>
    <x v="4"/>
  </r>
  <r>
    <x v="29"/>
    <x v="58"/>
    <x v="0"/>
    <x v="0"/>
    <n v="1200"/>
    <x v="0"/>
    <s v="nina"/>
    <s v="Warwick"/>
    <x v="54"/>
    <x v="0"/>
  </r>
  <r>
    <x v="1"/>
    <x v="532"/>
    <x v="0"/>
    <x v="0"/>
    <n v="1200"/>
    <x v="0"/>
    <s v="Amy"/>
    <s v="Parramatta"/>
    <x v="54"/>
    <x v="1"/>
  </r>
  <r>
    <x v="0"/>
    <x v="50"/>
    <x v="0"/>
    <x v="1"/>
    <n v="200000"/>
    <x v="0"/>
    <s v="eva"/>
    <s v="Gisborne"/>
    <x v="54"/>
    <x v="0"/>
  </r>
  <r>
    <x v="24"/>
    <x v="510"/>
    <x v="0"/>
    <x v="0"/>
    <n v="1200"/>
    <x v="1"/>
    <s v="John"/>
    <s v="Griffith"/>
    <x v="54"/>
    <x v="2"/>
  </r>
  <r>
    <x v="6"/>
    <x v="511"/>
    <x v="0"/>
    <x v="0"/>
    <n v="1200"/>
    <x v="0"/>
    <s v="Jacob"/>
    <s v="Lindfield"/>
    <x v="54"/>
    <x v="4"/>
  </r>
  <r>
    <x v="25"/>
    <x v="403"/>
    <x v="0"/>
    <x v="0"/>
    <n v="1200"/>
    <x v="0"/>
    <s v="Ruangrote"/>
    <s v="Melbourne"/>
    <x v="54"/>
    <x v="6"/>
  </r>
  <r>
    <x v="13"/>
    <x v="224"/>
    <x v="0"/>
    <x v="0"/>
    <n v="1200"/>
    <x v="0"/>
    <s v="Eric"/>
    <s v="Melbourne"/>
    <x v="54"/>
    <x v="5"/>
  </r>
  <r>
    <x v="30"/>
    <x v="520"/>
    <x v="0"/>
    <x v="0"/>
    <n v="1200"/>
    <x v="2"/>
    <s v="Dawn"/>
    <s v="Vaucluse"/>
    <x v="54"/>
    <x v="6"/>
  </r>
  <r>
    <x v="25"/>
    <x v="32"/>
    <x v="0"/>
    <x v="0"/>
    <n v="1200"/>
    <x v="0"/>
    <s v="Michelle"/>
    <s v="Lyndoch"/>
    <x v="54"/>
    <x v="6"/>
  </r>
  <r>
    <x v="10"/>
    <x v="52"/>
    <x v="0"/>
    <x v="0"/>
    <n v="1200"/>
    <x v="0"/>
    <s v="Lisa"/>
    <s v="Perth"/>
    <x v="54"/>
    <x v="2"/>
  </r>
  <r>
    <x v="4"/>
    <x v="333"/>
    <x v="0"/>
    <x v="0"/>
    <n v="1200"/>
    <x v="1"/>
    <s v="Tina"/>
    <s v="Anglesea"/>
    <x v="54"/>
    <x v="4"/>
  </r>
  <r>
    <x v="21"/>
    <x v="371"/>
    <x v="0"/>
    <x v="0"/>
    <n v="1200"/>
    <x v="0"/>
    <s v="Sara"/>
    <s v="Perth City"/>
    <x v="54"/>
    <x v="4"/>
  </r>
  <r>
    <x v="22"/>
    <x v="364"/>
    <x v="0"/>
    <x v="0"/>
    <n v="1200"/>
    <x v="0"/>
    <s v="Ellen Walton"/>
    <s v="Melbourne"/>
    <x v="54"/>
    <x v="0"/>
  </r>
  <r>
    <x v="7"/>
    <x v="484"/>
    <x v="0"/>
    <x v="1"/>
    <n v="200000"/>
    <x v="0"/>
    <s v="Kees en Valesca"/>
    <s v="Scamander"/>
    <x v="54"/>
    <x v="6"/>
  </r>
  <r>
    <x v="1"/>
    <x v="533"/>
    <x v="0"/>
    <x v="0"/>
    <n v="1200"/>
    <x v="1"/>
    <s v="Dean"/>
    <s v="Rockingham"/>
    <x v="54"/>
    <x v="1"/>
  </r>
  <r>
    <x v="18"/>
    <x v="402"/>
    <x v="0"/>
    <x v="0"/>
    <n v="1200"/>
    <x v="2"/>
    <s v="Kirsten"/>
    <s v="Melbourne"/>
    <x v="54"/>
    <x v="2"/>
  </r>
  <r>
    <x v="13"/>
    <x v="519"/>
    <x v="1"/>
    <x v="1"/>
    <n v="200000"/>
    <x v="1"/>
    <s v="Piret"/>
    <s v="Bunbury"/>
    <x v="54"/>
    <x v="5"/>
  </r>
  <r>
    <x v="19"/>
    <x v="407"/>
    <x v="0"/>
    <x v="0"/>
    <n v="1200"/>
    <x v="1"/>
    <s v="Elisabeth"/>
    <s v="Birkdale"/>
    <x v="54"/>
    <x v="3"/>
  </r>
  <r>
    <x v="22"/>
    <x v="202"/>
    <x v="0"/>
    <x v="0"/>
    <n v="1200"/>
    <x v="0"/>
    <s v="Ann"/>
    <s v="Brisbane"/>
    <x v="54"/>
    <x v="0"/>
  </r>
  <r>
    <x v="3"/>
    <x v="101"/>
    <x v="0"/>
    <x v="0"/>
    <n v="1200"/>
    <x v="0"/>
    <s v="Polyxene"/>
    <s v="Perth"/>
    <x v="54"/>
    <x v="3"/>
  </r>
  <r>
    <x v="0"/>
    <x v="93"/>
    <x v="0"/>
    <x v="1"/>
    <n v="200000"/>
    <x v="2"/>
    <s v="clara"/>
    <s v="Perth"/>
    <x v="54"/>
    <x v="0"/>
  </r>
  <r>
    <x v="1"/>
    <x v="308"/>
    <x v="0"/>
    <x v="0"/>
    <n v="1200"/>
    <x v="1"/>
    <s v="KELI"/>
    <s v="Worongary"/>
    <x v="54"/>
    <x v="1"/>
  </r>
  <r>
    <x v="22"/>
    <x v="13"/>
    <x v="1"/>
    <x v="1"/>
    <n v="200000"/>
    <x v="1"/>
    <s v="Anke"/>
    <s v="Avalon"/>
    <x v="54"/>
    <x v="0"/>
  </r>
  <r>
    <x v="5"/>
    <x v="534"/>
    <x v="0"/>
    <x v="1"/>
    <n v="200000"/>
    <x v="1"/>
    <s v="TRICIA"/>
    <s v="Sydney"/>
    <x v="54"/>
    <x v="5"/>
  </r>
  <r>
    <x v="23"/>
    <x v="456"/>
    <x v="0"/>
    <x v="0"/>
    <n v="1200"/>
    <x v="2"/>
    <s v="pamela"/>
    <s v="Ayacucho"/>
    <x v="5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C7AD18-1C4F-4D33-B626-E8B0B3CE1276}" name="PivotTable1"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4">
  <location ref="B3:C11" firstHeaderRow="1" firstDataRow="1" firstDataCol="1"/>
  <pivotFields count="11">
    <pivotField compact="0" numFmtId="14" outline="0"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compact="0" numFmtId="166"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3">
        <item h="1" x="0"/>
        <item x="1"/>
        <item t="default"/>
      </items>
    </pivotField>
    <pivotField compact="0" outline="0" showAll="0"/>
    <pivotField dataField="1" compact="0" outline="0" showAll="0"/>
    <pivotField compact="0" outline="0" showAll="0">
      <items count="5">
        <item x="2"/>
        <item h="1" m="1" x="3"/>
        <item h="1" x="1"/>
        <item h="1" x="0"/>
        <item t="default"/>
      </items>
    </pivotField>
    <pivotField compact="0" outline="0" showAll="0"/>
    <pivotField compact="0" outline="0" showAll="0"/>
    <pivotField compact="0" outline="0" showAll="0"/>
    <pivotField axis="axisRow" compact="0" numFmtId="168" outline="0">
      <items count="8">
        <item x="1"/>
        <item x="2"/>
        <item x="3"/>
        <item x="5"/>
        <item x="4"/>
        <item x="0"/>
        <item x="6"/>
        <item t="default"/>
      </items>
    </pivotField>
    <pivotField compact="0" outline="0" showAll="0" sortType="descending">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autoSortScope>
        <pivotArea dataOnly="0" outline="0" fieldPosition="0">
          <references count="1">
            <reference field="4294967294" count="1" selected="0">
              <x v="0"/>
            </reference>
          </references>
        </pivotArea>
      </autoSortScope>
    </pivotField>
  </pivotFields>
  <rowFields count="1">
    <field x="9"/>
  </rowFields>
  <rowItems count="8">
    <i>
      <x/>
    </i>
    <i>
      <x v="1"/>
    </i>
    <i>
      <x v="2"/>
    </i>
    <i>
      <x v="3"/>
    </i>
    <i>
      <x v="4"/>
    </i>
    <i>
      <x v="5"/>
    </i>
    <i>
      <x v="6"/>
    </i>
    <i t="grand">
      <x/>
    </i>
  </rowItems>
  <colItems count="1">
    <i/>
  </colItems>
  <dataFields count="1">
    <dataField name="Sum of Sales" fld="4" baseField="0" baseItem="0" numFmtId="164"/>
  </dataFields>
  <formats count="15">
    <format dxfId="24">
      <pivotArea field="0" type="button" dataOnly="0" labelOnly="1" outline="0"/>
    </format>
    <format dxfId="23">
      <pivotArea dataOnly="0" labelOnly="1" grandRow="1" outline="0" fieldPosition="0"/>
    </format>
    <format dxfId="22">
      <pivotArea outline="0" collapsedLevelsAreSubtotals="1" fieldPosition="0"/>
    </format>
    <format dxfId="21">
      <pivotArea type="all" dataOnly="0" outline="0" fieldPosition="0"/>
    </format>
    <format dxfId="20">
      <pivotArea outline="0" collapsedLevelsAreSubtotals="1" fieldPosition="0"/>
    </format>
    <format dxfId="19">
      <pivotArea field="9" type="button" dataOnly="0" labelOnly="1" outline="0" axis="axisRow" fieldPosition="0"/>
    </format>
    <format dxfId="18">
      <pivotArea dataOnly="0" labelOnly="1" fieldPosition="0">
        <references count="1">
          <reference field="9" count="0"/>
        </references>
      </pivotArea>
    </format>
    <format dxfId="17">
      <pivotArea dataOnly="0" labelOnly="1" grandRow="1" outline="0" fieldPosition="0"/>
    </format>
    <format dxfId="16">
      <pivotArea dataOnly="0" labelOnly="1" outline="0" axis="axisValues" fieldPosition="0"/>
    </format>
    <format dxfId="15">
      <pivotArea field="9" type="button" dataOnly="0" labelOnly="1" outline="0" axis="axisRow" fieldPosition="0"/>
    </format>
    <format dxfId="14">
      <pivotArea dataOnly="0" labelOnly="1" outline="0" axis="axisValues" fieldPosition="0"/>
    </format>
    <format dxfId="13">
      <pivotArea field="9" type="button" dataOnly="0" labelOnly="1" outline="0" axis="axisRow" fieldPosition="0"/>
    </format>
    <format dxfId="12">
      <pivotArea dataOnly="0" labelOnly="1" outline="0" axis="axisValues" fieldPosition="0"/>
    </format>
    <format dxfId="11">
      <pivotArea field="9" type="button" dataOnly="0" labelOnly="1" outline="0" axis="axisRow" fieldPosition="0"/>
    </format>
    <format dxfId="10">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C751F4C-E44A-4377-8BB3-CCEF76CE9122}" name="PivotTable8"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N3:R7" firstHeaderRow="0" firstDataRow="1" firstDataCol="1"/>
  <pivotFields count="11">
    <pivotField numFmtId="14"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numFmtId="166"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3">
        <item h="1" x="0"/>
        <item x="1"/>
        <item t="default"/>
      </items>
    </pivotField>
    <pivotField showAll="0"/>
    <pivotField dataField="1" showAll="0"/>
    <pivotField axis="axisRow">
      <items count="5">
        <item x="2"/>
        <item h="1" m="1" x="3"/>
        <item x="1"/>
        <item x="0"/>
        <item t="default"/>
      </items>
    </pivotField>
    <pivotField showAll="0"/>
    <pivotField showAll="0"/>
    <pivotField showAll="0"/>
    <pivotField numFmtId="168">
      <items count="8">
        <item h="1" x="1"/>
        <item h="1" x="2"/>
        <item h="1" x="3"/>
        <item h="1" x="5"/>
        <item h="1" x="4"/>
        <item h="1" x="0"/>
        <item x="6"/>
        <item t="default"/>
      </items>
    </pivotField>
    <pivotField showAll="0" sortType="descending">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autoSortScope>
        <pivotArea dataOnly="0" outline="0" fieldPosition="0">
          <references count="1">
            <reference field="4294967294" count="1" selected="0">
              <x v="0"/>
            </reference>
          </references>
        </pivotArea>
      </autoSortScope>
    </pivotField>
  </pivotFields>
  <rowFields count="1">
    <field x="5"/>
  </rowFields>
  <rowItems count="4">
    <i>
      <x/>
    </i>
    <i>
      <x v="2"/>
    </i>
    <i>
      <x v="3"/>
    </i>
    <i t="grand">
      <x/>
    </i>
  </rowItems>
  <colFields count="1">
    <field x="-2"/>
  </colFields>
  <colItems count="4">
    <i>
      <x/>
    </i>
    <i i="1">
      <x v="1"/>
    </i>
    <i i="2">
      <x v="2"/>
    </i>
    <i i="3">
      <x v="3"/>
    </i>
  </colItems>
  <dataFields count="4">
    <dataField name="Count of Sales" fld="4" subtotal="count" baseField="5" baseItem="2" numFmtId="169"/>
    <dataField name="Sum of Sales2" fld="4" showDataAs="percentOfTotal" baseField="0" baseItem="0" numFmtId="10"/>
    <dataField name="Sum of Sales" fld="4" baseField="0" baseItem="0"/>
    <dataField name="Average of Sales3" fld="4" subtotal="average" baseField="5" baseItem="0"/>
  </dataFields>
  <formats count="17">
    <format dxfId="41">
      <pivotArea field="0" type="button" dataOnly="0" labelOnly="1" outline="0"/>
    </format>
    <format dxfId="40">
      <pivotArea dataOnly="0" labelOnly="1" grandRow="1" outline="0" fieldPosition="0"/>
    </format>
    <format dxfId="39">
      <pivotArea outline="0" collapsedLevelsAreSubtotals="1" fieldPosition="0"/>
    </format>
    <format dxfId="38">
      <pivotArea outline="0" fieldPosition="0">
        <references count="1">
          <reference field="4294967294" count="1">
            <x v="1"/>
          </reference>
        </references>
      </pivotArea>
    </format>
    <format dxfId="37">
      <pivotArea outline="0" collapsedLevelsAreSubtotals="1" fieldPosition="0">
        <references count="1">
          <reference field="4294967294" count="1" selected="0">
            <x v="0"/>
          </reference>
        </references>
      </pivotArea>
    </format>
    <format dxfId="36">
      <pivotArea type="all" dataOnly="0" outline="0" fieldPosition="0"/>
    </format>
    <format dxfId="35">
      <pivotArea outline="0" collapsedLevelsAreSubtotals="1" fieldPosition="0"/>
    </format>
    <format dxfId="34">
      <pivotArea field="5" type="button" dataOnly="0" labelOnly="1" outline="0" axis="axisRow" fieldPosition="0"/>
    </format>
    <format dxfId="33">
      <pivotArea dataOnly="0" labelOnly="1" fieldPosition="0">
        <references count="1">
          <reference field="5" count="0"/>
        </references>
      </pivotArea>
    </format>
    <format dxfId="32">
      <pivotArea dataOnly="0" labelOnly="1" grandRow="1" outline="0" fieldPosition="0"/>
    </format>
    <format dxfId="31">
      <pivotArea dataOnly="0" labelOnly="1" outline="0" fieldPosition="0">
        <references count="1">
          <reference field="4294967294" count="4">
            <x v="0"/>
            <x v="1"/>
            <x v="2"/>
            <x v="3"/>
          </reference>
        </references>
      </pivotArea>
    </format>
    <format dxfId="30">
      <pivotArea field="5" type="button" dataOnly="0" labelOnly="1" outline="0" axis="axisRow" fieldPosition="0"/>
    </format>
    <format dxfId="29">
      <pivotArea dataOnly="0" labelOnly="1" outline="0" fieldPosition="0">
        <references count="1">
          <reference field="4294967294" count="4">
            <x v="0"/>
            <x v="1"/>
            <x v="2"/>
            <x v="3"/>
          </reference>
        </references>
      </pivotArea>
    </format>
    <format dxfId="28">
      <pivotArea field="5" type="button" dataOnly="0" labelOnly="1" outline="0" axis="axisRow" fieldPosition="0"/>
    </format>
    <format dxfId="27">
      <pivotArea dataOnly="0" labelOnly="1" outline="0" fieldPosition="0">
        <references count="1">
          <reference field="4294967294" count="4">
            <x v="0"/>
            <x v="1"/>
            <x v="2"/>
            <x v="3"/>
          </reference>
        </references>
      </pivotArea>
    </format>
    <format dxfId="26">
      <pivotArea field="5" type="button" dataOnly="0" labelOnly="1" outline="0" axis="axisRow" fieldPosition="0"/>
    </format>
    <format dxfId="25">
      <pivotArea dataOnly="0" labelOnly="1" outline="0" fieldPosition="0">
        <references count="1">
          <reference field="4294967294" count="4">
            <x v="0"/>
            <x v="1"/>
            <x v="2"/>
            <x v="3"/>
          </reference>
        </references>
      </pivotArea>
    </format>
  </formats>
  <chartFormats count="4">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90869A-C232-4246-8805-65969506A7DF}"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7">
  <location ref="T3:T4" firstHeaderRow="1" firstDataRow="1" firstDataCol="1"/>
  <pivotFields count="11">
    <pivotField numFmtId="14"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numFmtId="166"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3">
        <item h="1" x="0"/>
        <item x="1"/>
        <item t="default"/>
      </items>
    </pivotField>
    <pivotField showAll="0"/>
    <pivotField showAll="0"/>
    <pivotField axis="axisRow" showAll="0">
      <items count="5">
        <item x="2"/>
        <item h="1" m="1" x="3"/>
        <item h="1" x="1"/>
        <item h="1" x="0"/>
        <item t="default"/>
      </items>
    </pivotField>
    <pivotField showAll="0"/>
    <pivotField showAll="0"/>
    <pivotField showAll="0"/>
    <pivotField numFmtId="168"/>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5"/>
  </rowFields>
  <rowItems count="1">
    <i>
      <x/>
    </i>
  </rowItems>
  <colItems count="1">
    <i/>
  </colItems>
  <formats count="9">
    <format dxfId="50">
      <pivotArea field="0" type="button" dataOnly="0" labelOnly="1" outline="0"/>
    </format>
    <format dxfId="49">
      <pivotArea dataOnly="0" labelOnly="1" grandRow="1" outline="0" fieldPosition="0"/>
    </format>
    <format dxfId="48">
      <pivotArea outline="0" collapsedLevelsAreSubtotals="1" fieldPosition="0"/>
    </format>
    <format dxfId="47">
      <pivotArea type="all" dataOnly="0" outline="0" fieldPosition="0"/>
    </format>
    <format dxfId="46">
      <pivotArea field="5" type="button" dataOnly="0" labelOnly="1" outline="0" axis="axisRow" fieldPosition="0"/>
    </format>
    <format dxfId="45">
      <pivotArea dataOnly="0" labelOnly="1" fieldPosition="0">
        <references count="1">
          <reference field="5" count="0"/>
        </references>
      </pivotArea>
    </format>
    <format dxfId="44">
      <pivotArea field="5" type="button" dataOnly="0" labelOnly="1" outline="0" axis="axisRow" fieldPosition="0"/>
    </format>
    <format dxfId="43">
      <pivotArea field="5" type="button" dataOnly="0" labelOnly="1" outline="0" axis="axisRow" fieldPosition="0"/>
    </format>
    <format dxfId="42">
      <pivotArea field="5"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58916D1-1635-434C-B2C8-FA44380BDB6D}" name="PivotTable3"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J3:L6" firstHeaderRow="0" firstDataRow="1" firstDataCol="1"/>
  <pivotFields count="11">
    <pivotField numFmtId="14"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numFmtId="166"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axis="axisRow" showAll="0">
      <items count="3">
        <item x="0"/>
        <item x="1"/>
        <item t="default"/>
      </items>
    </pivotField>
    <pivotField showAll="0"/>
    <pivotField dataField="1" showAll="0"/>
    <pivotField showAll="0">
      <items count="5">
        <item x="2"/>
        <item h="1" m="1" x="3"/>
        <item h="1" x="1"/>
        <item h="1" x="0"/>
        <item t="default"/>
      </items>
    </pivotField>
    <pivotField showAll="0"/>
    <pivotField showAll="0"/>
    <pivotField showAll="0"/>
    <pivotField numFmtId="168">
      <items count="8">
        <item h="1" x="1"/>
        <item h="1" x="2"/>
        <item h="1" x="3"/>
        <item h="1" x="5"/>
        <item h="1" x="4"/>
        <item h="1" x="0"/>
        <item x="6"/>
        <item t="default"/>
      </items>
    </pivotField>
    <pivotField showAll="0" sortType="descending">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autoSortScope>
        <pivotArea dataOnly="0" outline="0" fieldPosition="0">
          <references count="1">
            <reference field="4294967294" count="1" selected="0">
              <x v="0"/>
            </reference>
          </references>
        </pivotArea>
      </autoSortScope>
    </pivotField>
  </pivotFields>
  <rowFields count="1">
    <field x="2"/>
  </rowFields>
  <rowItems count="3">
    <i>
      <x/>
    </i>
    <i>
      <x v="1"/>
    </i>
    <i t="grand">
      <x/>
    </i>
  </rowItems>
  <colFields count="1">
    <field x="-2"/>
  </colFields>
  <colItems count="2">
    <i>
      <x/>
    </i>
    <i i="1">
      <x v="1"/>
    </i>
  </colItems>
  <dataFields count="2">
    <dataField name="Sum of Sales" fld="4" baseField="0" baseItem="0" numFmtId="164"/>
    <dataField name="Sum of Sales2" fld="4" showDataAs="percentOfTotal" baseField="0" baseItem="0" numFmtId="10"/>
  </dataFields>
  <formats count="16">
    <format dxfId="66">
      <pivotArea field="0" type="button" dataOnly="0" labelOnly="1" outline="0"/>
    </format>
    <format dxfId="65">
      <pivotArea dataOnly="0" labelOnly="1" grandRow="1" outline="0" fieldPosition="0"/>
    </format>
    <format dxfId="64">
      <pivotArea outline="0" collapsedLevelsAreSubtotals="1" fieldPosition="0"/>
    </format>
    <format dxfId="63">
      <pivotArea outline="0" fieldPosition="0">
        <references count="1">
          <reference field="4294967294" count="1">
            <x v="1"/>
          </reference>
        </references>
      </pivotArea>
    </format>
    <format dxfId="62">
      <pivotArea type="all" dataOnly="0" outline="0" fieldPosition="0"/>
    </format>
    <format dxfId="61">
      <pivotArea outline="0" collapsedLevelsAreSubtotals="1" fieldPosition="0"/>
    </format>
    <format dxfId="60">
      <pivotArea field="2" type="button" dataOnly="0" labelOnly="1" outline="0" axis="axisRow" fieldPosition="0"/>
    </format>
    <format dxfId="59">
      <pivotArea dataOnly="0" labelOnly="1" fieldPosition="0">
        <references count="1">
          <reference field="2" count="0"/>
        </references>
      </pivotArea>
    </format>
    <format dxfId="58">
      <pivotArea dataOnly="0" labelOnly="1" grandRow="1" outline="0" fieldPosition="0"/>
    </format>
    <format dxfId="57">
      <pivotArea dataOnly="0" labelOnly="1" outline="0" fieldPosition="0">
        <references count="1">
          <reference field="4294967294" count="2">
            <x v="0"/>
            <x v="1"/>
          </reference>
        </references>
      </pivotArea>
    </format>
    <format dxfId="56">
      <pivotArea field="2" type="button" dataOnly="0" labelOnly="1" outline="0" axis="axisRow" fieldPosition="0"/>
    </format>
    <format dxfId="55">
      <pivotArea dataOnly="0" labelOnly="1" outline="0" fieldPosition="0">
        <references count="1">
          <reference field="4294967294" count="2">
            <x v="0"/>
            <x v="1"/>
          </reference>
        </references>
      </pivotArea>
    </format>
    <format dxfId="54">
      <pivotArea field="2" type="button" dataOnly="0" labelOnly="1" outline="0" axis="axisRow" fieldPosition="0"/>
    </format>
    <format dxfId="53">
      <pivotArea dataOnly="0" labelOnly="1" outline="0" fieldPosition="0">
        <references count="1">
          <reference field="4294967294" count="2">
            <x v="0"/>
            <x v="1"/>
          </reference>
        </references>
      </pivotArea>
    </format>
    <format dxfId="52">
      <pivotArea field="2" type="button" dataOnly="0" labelOnly="1" outline="0" axis="axisRow" fieldPosition="0"/>
    </format>
    <format dxfId="51">
      <pivotArea dataOnly="0" labelOnly="1" outline="0" fieldPosition="0">
        <references count="1">
          <reference field="4294967294" count="2">
            <x v="0"/>
            <x v="1"/>
          </reference>
        </references>
      </pivotArea>
    </format>
  </formats>
  <chartFormats count="4">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17317C6-2F72-4265-ABA8-12077D5F9FF0}"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10">
  <location ref="AI3:AJ5" firstHeaderRow="1" firstDataRow="1" firstDataCol="1"/>
  <pivotFields count="11">
    <pivotField axis="axisRow" compact="0" numFmtId="14" outline="0" showAll="0" sortType="descending">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autoSortScope>
        <pivotArea dataOnly="0" outline="0" fieldPosition="0">
          <references count="1">
            <reference field="4294967294" count="1" selected="0">
              <x v="0"/>
            </reference>
          </references>
        </pivotArea>
      </autoSortScope>
    </pivotField>
    <pivotField compact="0" numFmtId="166"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3">
        <item h="1" x="0"/>
        <item x="1"/>
        <item t="default"/>
      </items>
    </pivotField>
    <pivotField compact="0" outline="0" showAll="0"/>
    <pivotField dataField="1" compact="0" outline="0" showAll="0"/>
    <pivotField compact="0" outline="0" showAll="0">
      <items count="5">
        <item x="2"/>
        <item h="1" m="1" x="3"/>
        <item h="1" x="1"/>
        <item h="1" x="0"/>
        <item t="default"/>
      </items>
    </pivotField>
    <pivotField compact="0" outline="0" showAll="0"/>
    <pivotField compact="0" outline="0" showAll="0"/>
    <pivotField compact="0" outline="0" showAll="0"/>
    <pivotField compact="0" numFmtId="168" outline="0">
      <items count="8">
        <item h="1" x="1"/>
        <item h="1" x="2"/>
        <item h="1" x="3"/>
        <item h="1" x="5"/>
        <item h="1" x="4"/>
        <item h="1" x="0"/>
        <item x="6"/>
        <item t="default"/>
      </items>
    </pivotField>
    <pivotField compact="0" outline="0"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2">
    <i>
      <x v="16"/>
    </i>
    <i>
      <x v="9"/>
    </i>
  </rowItems>
  <colItems count="1">
    <i/>
  </colItems>
  <dataFields count="1">
    <dataField name="Sum of Sales" fld="4" baseField="0" baseItem="0"/>
  </dataFields>
  <formats count="14">
    <format dxfId="80">
      <pivotArea field="0" type="button" dataOnly="0" labelOnly="1" outline="0" axis="axisRow" fieldPosition="0"/>
    </format>
    <format dxfId="79">
      <pivotArea dataOnly="0" labelOnly="1" grandRow="1" outline="0" fieldPosition="0"/>
    </format>
    <format dxfId="78">
      <pivotArea outline="0" collapsedLevelsAreSubtotals="1" fieldPosition="0"/>
    </format>
    <format dxfId="77">
      <pivotArea type="all" dataOnly="0" outline="0" fieldPosition="0"/>
    </format>
    <format dxfId="76">
      <pivotArea outline="0" collapsedLevelsAreSubtotals="1" fieldPosition="0"/>
    </format>
    <format dxfId="75">
      <pivotArea field="0" type="button" dataOnly="0" labelOnly="1" outline="0" axis="axisRow" fieldPosition="0"/>
    </format>
    <format dxfId="74">
      <pivotArea dataOnly="0" labelOnly="1" outline="0" fieldPosition="0">
        <references count="1">
          <reference field="0" count="0"/>
        </references>
      </pivotArea>
    </format>
    <format dxfId="73">
      <pivotArea dataOnly="0" labelOnly="1" outline="0" axis="axisValues" fieldPosition="0"/>
    </format>
    <format dxfId="72">
      <pivotArea field="0" type="button" dataOnly="0" labelOnly="1" outline="0" axis="axisRow" fieldPosition="0"/>
    </format>
    <format dxfId="71">
      <pivotArea dataOnly="0" labelOnly="1" outline="0" axis="axisValues" fieldPosition="0"/>
    </format>
    <format dxfId="70">
      <pivotArea field="0" type="button" dataOnly="0" labelOnly="1" outline="0" axis="axisRow" fieldPosition="0"/>
    </format>
    <format dxfId="69">
      <pivotArea dataOnly="0" labelOnly="1" outline="0" axis="axisValues" fieldPosition="0"/>
    </format>
    <format dxfId="68">
      <pivotArea field="0" type="button" dataOnly="0" labelOnly="1" outline="0" axis="axisRow" fieldPosition="0"/>
    </format>
    <format dxfId="6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9828FD9-8E9D-47EC-BABD-5870FB7AC9D7}"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compact="0" compactData="0" multipleFieldFilters="0" chartFormat="10">
  <location ref="W3:X4" firstHeaderRow="1" firstDataRow="1" firstDataCol="1"/>
  <pivotFields count="11">
    <pivotField compact="0" numFmtId="14" outline="0"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compact="0" numFmtId="166"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3">
        <item h="1" x="0"/>
        <item x="1"/>
        <item t="default"/>
      </items>
    </pivotField>
    <pivotField compact="0" outline="0" showAll="0"/>
    <pivotField dataField="1" compact="0" outline="0" showAll="0"/>
    <pivotField compact="0" outline="0" showAll="0">
      <items count="5">
        <item x="2"/>
        <item h="1" m="1" x="3"/>
        <item h="1" x="1"/>
        <item h="1" x="0"/>
        <item t="default"/>
      </items>
    </pivotField>
    <pivotField compact="0" outline="0" showAll="0"/>
    <pivotField compact="0" outline="0" showAll="0"/>
    <pivotField compact="0" outline="0" showAll="0"/>
    <pivotField compact="0" numFmtId="168" outline="0">
      <items count="8">
        <item h="1" x="1"/>
        <item h="1" x="2"/>
        <item h="1" x="3"/>
        <item h="1" x="5"/>
        <item h="1" x="4"/>
        <item h="1" x="0"/>
        <item x="6"/>
        <item t="default"/>
      </items>
    </pivotField>
    <pivotField axis="axisRow" compact="0" outline="0" showAll="0" sortType="descending">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autoSortScope>
        <pivotArea dataOnly="0" outline="0" fieldPosition="0">
          <references count="1">
            <reference field="4294967294" count="1" selected="0">
              <x v="0"/>
            </reference>
          </references>
        </pivotArea>
      </autoSortScope>
    </pivotField>
  </pivotFields>
  <rowFields count="1">
    <field x="10"/>
  </rowFields>
  <rowItems count="1">
    <i>
      <x v="13"/>
    </i>
  </rowItems>
  <colItems count="1">
    <i/>
  </colItems>
  <dataFields count="1">
    <dataField name="Sum of Sales" fld="4" baseField="0" baseItem="0" numFmtId="164"/>
  </dataFields>
  <formats count="14">
    <format dxfId="94">
      <pivotArea field="0" type="button" dataOnly="0" labelOnly="1" outline="0"/>
    </format>
    <format dxfId="93">
      <pivotArea dataOnly="0" labelOnly="1" grandRow="1" outline="0" fieldPosition="0"/>
    </format>
    <format dxfId="92">
      <pivotArea outline="0" collapsedLevelsAreSubtotals="1" fieldPosition="0"/>
    </format>
    <format dxfId="91">
      <pivotArea type="all" dataOnly="0" outline="0" fieldPosition="0"/>
    </format>
    <format dxfId="90">
      <pivotArea outline="0" collapsedLevelsAreSubtotals="1" fieldPosition="0"/>
    </format>
    <format dxfId="89">
      <pivotArea field="10" type="button" dataOnly="0" labelOnly="1" outline="0" axis="axisRow" fieldPosition="0"/>
    </format>
    <format dxfId="88">
      <pivotArea dataOnly="0" labelOnly="1" outline="0" fieldPosition="0">
        <references count="1">
          <reference field="10" count="12">
            <x v="2"/>
            <x v="3"/>
            <x v="4"/>
            <x v="5"/>
            <x v="6"/>
            <x v="7"/>
            <x v="8"/>
            <x v="9"/>
            <x v="10"/>
            <x v="11"/>
            <x v="12"/>
            <x v="13"/>
          </reference>
        </references>
      </pivotArea>
    </format>
    <format dxfId="87">
      <pivotArea dataOnly="0" labelOnly="1" outline="0" axis="axisValues" fieldPosition="0"/>
    </format>
    <format dxfId="86">
      <pivotArea field="10" type="button" dataOnly="0" labelOnly="1" outline="0" axis="axisRow" fieldPosition="0"/>
    </format>
    <format dxfId="85">
      <pivotArea dataOnly="0" labelOnly="1" outline="0" axis="axisValues" fieldPosition="0"/>
    </format>
    <format dxfId="84">
      <pivotArea field="10" type="button" dataOnly="0" labelOnly="1" outline="0" axis="axisRow" fieldPosition="0"/>
    </format>
    <format dxfId="83">
      <pivotArea dataOnly="0" labelOnly="1" outline="0" axis="axisValues" fieldPosition="0"/>
    </format>
    <format dxfId="82">
      <pivotArea field="10" type="button" dataOnly="0" labelOnly="1" outline="0" axis="axisRow" fieldPosition="0"/>
    </format>
    <format dxfId="81">
      <pivotArea dataOnly="0" labelOnly="1" outline="0" axis="axisValues" fieldPosition="0"/>
    </format>
  </formats>
  <chartFormats count="5">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369710-FA48-48DA-9827-5C789FB0733A}"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E3:E4" firstHeaderRow="1" firstDataRow="1" firstDataCol="0"/>
  <pivotFields count="11">
    <pivotField numFmtId="14"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numFmtId="166"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pivotField dataField="1" showAll="0"/>
    <pivotField showAll="0"/>
    <pivotField showAll="0"/>
    <pivotField showAll="0"/>
    <pivotField showAll="0"/>
    <pivotField numFmtId="168"/>
    <pivotField showAll="0" sortType="descending">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autoSortScope>
        <pivotArea dataOnly="0" outline="0" fieldPosition="0">
          <references count="1">
            <reference field="4294967294" count="1" selected="0">
              <x v="0"/>
            </reference>
          </references>
        </pivotArea>
      </autoSortScope>
    </pivotField>
  </pivotFields>
  <rowItems count="1">
    <i/>
  </rowItems>
  <colItems count="1">
    <i/>
  </colItems>
  <dataFields count="1">
    <dataField name="Sum of Sales" fld="4" baseField="0" baseItem="0" numFmtId="164"/>
  </dataFields>
  <formats count="9">
    <format dxfId="103">
      <pivotArea field="0" type="button" dataOnly="0" labelOnly="1" outline="0"/>
    </format>
    <format dxfId="102">
      <pivotArea dataOnly="0" labelOnly="1" grandRow="1" outline="0" fieldPosition="0"/>
    </format>
    <format dxfId="101">
      <pivotArea outline="0" collapsedLevelsAreSubtotals="1" fieldPosition="0"/>
    </format>
    <format dxfId="100">
      <pivotArea type="all" dataOnly="0" outline="0" fieldPosition="0"/>
    </format>
    <format dxfId="99">
      <pivotArea outline="0" collapsedLevelsAreSubtotals="1" fieldPosition="0"/>
    </format>
    <format dxfId="98">
      <pivotArea dataOnly="0" labelOnly="1" outline="0" axis="axisValues" fieldPosition="0"/>
    </format>
    <format dxfId="97">
      <pivotArea dataOnly="0" labelOnly="1" outline="0" axis="axisValues" fieldPosition="0"/>
    </format>
    <format dxfId="96">
      <pivotArea dataOnly="0" labelOnly="1" outline="0" axis="axisValues" fieldPosition="0"/>
    </format>
    <format dxfId="95">
      <pivotArea dataOnly="0" labelOnly="1" outline="0" axis="axisValues" fieldPosition="0"/>
    </format>
  </formats>
  <chartFormats count="3">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3DE1EB3-F448-447F-8F9D-08EDE6ADC60A}"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10">
  <location ref="AE3:AE4" firstHeaderRow="1" firstDataRow="1" firstDataCol="1"/>
  <pivotFields count="11">
    <pivotField compact="0" numFmtId="14" outline="0"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compact="0" numFmtId="166"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axis="axisRow" compact="0" outline="0" showAll="0">
      <items count="3">
        <item h="1" x="0"/>
        <item x="1"/>
        <item t="default"/>
      </items>
    </pivotField>
    <pivotField compact="0" outline="0" showAll="0"/>
    <pivotField compact="0" outline="0" showAll="0"/>
    <pivotField compact="0" outline="0" showAll="0">
      <items count="5">
        <item x="2"/>
        <item h="1" m="1" x="3"/>
        <item h="1" x="1"/>
        <item h="1" x="0"/>
        <item t="default"/>
      </items>
    </pivotField>
    <pivotField compact="0" outline="0" showAll="0"/>
    <pivotField compact="0" outline="0" showAll="0"/>
    <pivotField compact="0" outline="0" showAll="0"/>
    <pivotField compact="0" numFmtId="168" outline="0">
      <items count="8">
        <item h="1" x="1"/>
        <item h="1" x="2"/>
        <item h="1" x="3"/>
        <item h="1" x="5"/>
        <item h="1" x="4"/>
        <item h="1" x="0"/>
        <item x="6"/>
        <item t="default"/>
      </items>
    </pivotField>
    <pivotField compact="0" outline="0"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2"/>
  </rowFields>
  <rowItems count="1">
    <i>
      <x v="1"/>
    </i>
  </rowItems>
  <colItems count="1">
    <i/>
  </colItems>
  <formats count="6">
    <format dxfId="109">
      <pivotArea field="0" type="button" dataOnly="0" labelOnly="1" outline="0"/>
    </format>
    <format dxfId="108">
      <pivotArea dataOnly="0" labelOnly="1" grandRow="1" outline="0" fieldPosition="0"/>
    </format>
    <format dxfId="107">
      <pivotArea outline="0" collapsedLevelsAreSubtotals="1" fieldPosition="0"/>
    </format>
    <format dxfId="106">
      <pivotArea field="2" type="button" dataOnly="0" labelOnly="1" outline="0" axis="axisRow" fieldPosition="0"/>
    </format>
    <format dxfId="105">
      <pivotArea field="2" type="button" dataOnly="0" labelOnly="1" outline="0" axis="axisRow" fieldPosition="0"/>
    </format>
    <format dxfId="104">
      <pivotArea field="2"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36F1D2D-0785-4746-8567-D5805098FB0B}"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10">
  <location ref="AL3:AM5" firstHeaderRow="1" firstDataRow="1" firstDataCol="1"/>
  <pivotFields count="11">
    <pivotField axis="axisRow" compact="0" numFmtId="14" outline="0" showAll="0" sortType="ascending">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autoSortScope>
        <pivotArea dataOnly="0" outline="0" fieldPosition="0">
          <references count="1">
            <reference field="4294967294" count="1" selected="0">
              <x v="0"/>
            </reference>
          </references>
        </pivotArea>
      </autoSortScope>
    </pivotField>
    <pivotField compact="0" numFmtId="166"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3">
        <item h="1" x="0"/>
        <item x="1"/>
        <item t="default"/>
      </items>
    </pivotField>
    <pivotField compact="0" outline="0" showAll="0"/>
    <pivotField dataField="1" compact="0" outline="0" showAll="0"/>
    <pivotField compact="0" outline="0" showAll="0">
      <items count="5">
        <item x="2"/>
        <item h="1" m="1" x="3"/>
        <item h="1" x="1"/>
        <item h="1" x="0"/>
        <item t="default"/>
      </items>
    </pivotField>
    <pivotField compact="0" outline="0" showAll="0"/>
    <pivotField compact="0" outline="0" showAll="0"/>
    <pivotField compact="0" outline="0" showAll="0"/>
    <pivotField compact="0" numFmtId="168" outline="0">
      <items count="8">
        <item h="1" x="1"/>
        <item h="1" x="2"/>
        <item h="1" x="3"/>
        <item h="1" x="5"/>
        <item h="1" x="4"/>
        <item h="1" x="0"/>
        <item x="6"/>
        <item t="default"/>
      </items>
    </pivotField>
    <pivotField compact="0" outline="0"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2">
    <i>
      <x v="9"/>
    </i>
    <i>
      <x v="16"/>
    </i>
  </rowItems>
  <colItems count="1">
    <i/>
  </colItems>
  <dataFields count="1">
    <dataField name="Sum of Sales" fld="4" baseField="0" baseItem="0"/>
  </dataFields>
  <formats count="14">
    <format dxfId="123">
      <pivotArea field="0" type="button" dataOnly="0" labelOnly="1" outline="0" axis="axisRow" fieldPosition="0"/>
    </format>
    <format dxfId="122">
      <pivotArea dataOnly="0" labelOnly="1" grandRow="1" outline="0" fieldPosition="0"/>
    </format>
    <format dxfId="121">
      <pivotArea outline="0" collapsedLevelsAreSubtotals="1" fieldPosition="0"/>
    </format>
    <format dxfId="120">
      <pivotArea type="all" dataOnly="0" outline="0" fieldPosition="0"/>
    </format>
    <format dxfId="119">
      <pivotArea outline="0" collapsedLevelsAreSubtotals="1" fieldPosition="0"/>
    </format>
    <format dxfId="118">
      <pivotArea field="0" type="button" dataOnly="0" labelOnly="1" outline="0" axis="axisRow" fieldPosition="0"/>
    </format>
    <format dxfId="117">
      <pivotArea dataOnly="0" labelOnly="1" outline="0" fieldPosition="0">
        <references count="1">
          <reference field="0" count="0"/>
        </references>
      </pivotArea>
    </format>
    <format dxfId="116">
      <pivotArea dataOnly="0" labelOnly="1" outline="0" axis="axisValues" fieldPosition="0"/>
    </format>
    <format dxfId="115">
      <pivotArea field="0" type="button" dataOnly="0" labelOnly="1" outline="0" axis="axisRow" fieldPosition="0"/>
    </format>
    <format dxfId="114">
      <pivotArea dataOnly="0" labelOnly="1" outline="0" axis="axisValues" fieldPosition="0"/>
    </format>
    <format dxfId="113">
      <pivotArea field="0" type="button" dataOnly="0" labelOnly="1" outline="0" axis="axisRow" fieldPosition="0"/>
    </format>
    <format dxfId="112">
      <pivotArea dataOnly="0" labelOnly="1" outline="0" axis="axisValues" fieldPosition="0"/>
    </format>
    <format dxfId="111">
      <pivotArea field="0" type="button" dataOnly="0" labelOnly="1" outline="0" axis="axisRow" fieldPosition="0"/>
    </format>
    <format dxfId="11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A6B7063-481D-4B02-B06C-16A48DA33793}" name="PivotTable2"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G3:H6" firstHeaderRow="1" firstDataRow="1" firstDataCol="1"/>
  <pivotFields count="11">
    <pivotField numFmtId="14"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numFmtId="166"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3">
        <item h="1" x="0"/>
        <item x="1"/>
        <item t="default"/>
      </items>
    </pivotField>
    <pivotField axis="axisRow" showAll="0">
      <items count="4">
        <item x="0"/>
        <item x="1"/>
        <item x="2"/>
        <item t="default"/>
      </items>
    </pivotField>
    <pivotField dataField="1" showAll="0"/>
    <pivotField showAll="0">
      <items count="5">
        <item x="2"/>
        <item h="1" m="1" x="3"/>
        <item h="1" x="1"/>
        <item h="1" x="0"/>
        <item t="default"/>
      </items>
    </pivotField>
    <pivotField showAll="0"/>
    <pivotField showAll="0"/>
    <pivotField showAll="0"/>
    <pivotField numFmtId="168">
      <items count="8">
        <item h="1" x="1"/>
        <item h="1" x="2"/>
        <item h="1" x="3"/>
        <item h="1" x="5"/>
        <item h="1" x="4"/>
        <item h="1" x="0"/>
        <item x="6"/>
        <item t="default"/>
      </items>
    </pivotField>
    <pivotField showAll="0" sortType="descending">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autoSortScope>
        <pivotArea dataOnly="0" outline="0" fieldPosition="0">
          <references count="1">
            <reference field="4294967294" count="1" selected="0">
              <x v="0"/>
            </reference>
          </references>
        </pivotArea>
      </autoSortScope>
    </pivotField>
  </pivotFields>
  <rowFields count="1">
    <field x="3"/>
  </rowFields>
  <rowItems count="3">
    <i>
      <x/>
    </i>
    <i>
      <x v="2"/>
    </i>
    <i t="grand">
      <x/>
    </i>
  </rowItems>
  <colItems count="1">
    <i/>
  </colItems>
  <dataFields count="1">
    <dataField name="Sum of Sales" fld="4" baseField="0" baseItem="0" numFmtId="164"/>
  </dataFields>
  <formats count="15">
    <format dxfId="138">
      <pivotArea field="0" type="button" dataOnly="0" labelOnly="1" outline="0"/>
    </format>
    <format dxfId="137">
      <pivotArea dataOnly="0" labelOnly="1" grandRow="1" outline="0" fieldPosition="0"/>
    </format>
    <format dxfId="136">
      <pivotArea outline="0" collapsedLevelsAreSubtotals="1" fieldPosition="0"/>
    </format>
    <format dxfId="135">
      <pivotArea type="all" dataOnly="0" outline="0" fieldPosition="0"/>
    </format>
    <format dxfId="134">
      <pivotArea outline="0" collapsedLevelsAreSubtotals="1" fieldPosition="0"/>
    </format>
    <format dxfId="133">
      <pivotArea field="3" type="button" dataOnly="0" labelOnly="1" outline="0" axis="axisRow" fieldPosition="0"/>
    </format>
    <format dxfId="132">
      <pivotArea dataOnly="0" labelOnly="1" fieldPosition="0">
        <references count="1">
          <reference field="3" count="0"/>
        </references>
      </pivotArea>
    </format>
    <format dxfId="131">
      <pivotArea dataOnly="0" labelOnly="1" grandRow="1" outline="0" fieldPosition="0"/>
    </format>
    <format dxfId="130">
      <pivotArea dataOnly="0" labelOnly="1" outline="0" axis="axisValues" fieldPosition="0"/>
    </format>
    <format dxfId="129">
      <pivotArea field="3" type="button" dataOnly="0" labelOnly="1" outline="0" axis="axisRow" fieldPosition="0"/>
    </format>
    <format dxfId="128">
      <pivotArea dataOnly="0" labelOnly="1" outline="0" axis="axisValues" fieldPosition="0"/>
    </format>
    <format dxfId="127">
      <pivotArea field="3" type="button" dataOnly="0" labelOnly="1" outline="0" axis="axisRow" fieldPosition="0"/>
    </format>
    <format dxfId="126">
      <pivotArea dataOnly="0" labelOnly="1" outline="0" axis="axisValues" fieldPosition="0"/>
    </format>
    <format dxfId="125">
      <pivotArea field="3" type="button" dataOnly="0" labelOnly="1" outline="0" axis="axisRow" fieldPosition="0"/>
    </format>
    <format dxfId="124">
      <pivotArea dataOnly="0" labelOnly="1" outline="0" axis="axisValues" fieldPosition="0"/>
    </format>
  </formats>
  <chartFormats count="4">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FCAE318-D7CE-4E8D-9703-BBBB372DFF2F}" name="PivotTable6"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10">
  <location ref="AA3:AB60" firstHeaderRow="1" firstDataRow="1" firstDataCol="1"/>
  <pivotFields count="11">
    <pivotField compact="0" numFmtId="14" outline="0"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compact="0" numFmtId="166"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3">
        <item h="1" x="0"/>
        <item x="1"/>
        <item t="default"/>
      </items>
    </pivotField>
    <pivotField compact="0" outline="0" showAll="0"/>
    <pivotField dataField="1" compact="0" outline="0" showAll="0"/>
    <pivotField compact="0" outline="0" showAll="0">
      <items count="5">
        <item x="2"/>
        <item h="1" m="1" x="3"/>
        <item h="1" x="1"/>
        <item h="1" x="0"/>
        <item t="default"/>
      </items>
    </pivotField>
    <pivotField compact="0" outline="0" showAll="0"/>
    <pivotField compact="0" outline="0" showAll="0"/>
    <pivotField axis="axisRow" compact="0" outline="0" sortType="descending">
      <items count="57">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autoSortScope>
        <pivotArea dataOnly="0" outline="0" fieldPosition="0">
          <references count="1">
            <reference field="4294967294" count="1" selected="0">
              <x v="0"/>
            </reference>
          </references>
        </pivotArea>
      </autoSortScope>
    </pivotField>
    <pivotField compact="0" numFmtId="168" outline="0">
      <items count="8">
        <item h="1" x="1"/>
        <item h="1" x="2"/>
        <item h="1" x="3"/>
        <item h="1" x="5"/>
        <item h="1" x="4"/>
        <item h="1" x="0"/>
        <item x="6"/>
        <item t="default"/>
      </items>
    </pivotField>
    <pivotField compact="0" outline="0"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8"/>
  </rowFields>
  <rowItems count="57">
    <i>
      <x v="55"/>
    </i>
    <i>
      <x v="37"/>
    </i>
    <i>
      <x v="2"/>
    </i>
    <i>
      <x v="1"/>
    </i>
    <i>
      <x v="47"/>
    </i>
    <i>
      <x v="3"/>
    </i>
    <i>
      <x v="31"/>
    </i>
    <i>
      <x v="4"/>
    </i>
    <i>
      <x v="43"/>
    </i>
    <i>
      <x v="5"/>
    </i>
    <i>
      <x v="51"/>
    </i>
    <i>
      <x v="6"/>
    </i>
    <i>
      <x v="29"/>
    </i>
    <i>
      <x v="7"/>
    </i>
    <i>
      <x v="33"/>
    </i>
    <i>
      <x v="35"/>
    </i>
    <i>
      <x v="39"/>
    </i>
    <i>
      <x v="8"/>
    </i>
    <i>
      <x v="41"/>
    </i>
    <i>
      <x v="9"/>
    </i>
    <i>
      <x v="45"/>
    </i>
    <i>
      <x v="10"/>
    </i>
    <i>
      <x v="49"/>
    </i>
    <i>
      <x v="11"/>
    </i>
    <i>
      <x v="53"/>
    </i>
    <i>
      <x v="12"/>
    </i>
    <i>
      <x v="28"/>
    </i>
    <i>
      <x v="13"/>
    </i>
    <i>
      <x v="30"/>
    </i>
    <i>
      <x v="14"/>
    </i>
    <i>
      <x v="32"/>
    </i>
    <i>
      <x v="15"/>
    </i>
    <i>
      <x v="34"/>
    </i>
    <i>
      <x v="16"/>
    </i>
    <i>
      <x v="36"/>
    </i>
    <i>
      <x v="17"/>
    </i>
    <i>
      <x v="38"/>
    </i>
    <i>
      <x v="18"/>
    </i>
    <i>
      <x v="40"/>
    </i>
    <i>
      <x v="19"/>
    </i>
    <i>
      <x v="42"/>
    </i>
    <i>
      <x v="20"/>
    </i>
    <i>
      <x v="44"/>
    </i>
    <i>
      <x v="21"/>
    </i>
    <i>
      <x v="46"/>
    </i>
    <i>
      <x v="22"/>
    </i>
    <i>
      <x v="48"/>
    </i>
    <i>
      <x v="23"/>
    </i>
    <i>
      <x v="50"/>
    </i>
    <i>
      <x v="24"/>
    </i>
    <i>
      <x v="52"/>
    </i>
    <i>
      <x v="25"/>
    </i>
    <i>
      <x v="54"/>
    </i>
    <i>
      <x v="26"/>
    </i>
    <i>
      <x/>
    </i>
    <i>
      <x v="27"/>
    </i>
    <i t="grand">
      <x/>
    </i>
  </rowItems>
  <colItems count="1">
    <i/>
  </colItems>
  <dataFields count="1">
    <dataField name="Sum of Sales" fld="4" baseField="0" baseItem="0"/>
  </dataFields>
  <formats count="16">
    <format dxfId="154">
      <pivotArea field="0" type="button" dataOnly="0" labelOnly="1" outline="0"/>
    </format>
    <format dxfId="153">
      <pivotArea dataOnly="0" labelOnly="1" grandRow="1" outline="0" fieldPosition="0"/>
    </format>
    <format dxfId="152">
      <pivotArea outline="0" collapsedLevelsAreSubtotals="1" fieldPosition="0"/>
    </format>
    <format dxfId="151">
      <pivotArea type="all" dataOnly="0" outline="0" fieldPosition="0"/>
    </format>
    <format dxfId="150">
      <pivotArea outline="0" collapsedLevelsAreSubtotals="1" fieldPosition="0"/>
    </format>
    <format dxfId="149">
      <pivotArea field="8" type="button" dataOnly="0" labelOnly="1" outline="0" axis="axisRow" fieldPosition="0"/>
    </format>
    <format dxfId="148">
      <pivotArea dataOnly="0" labelOnly="1" fieldPosition="0">
        <references count="1">
          <reference field="8" count="50">
            <x v="0"/>
            <x v="1"/>
            <x v="2"/>
            <x v="4"/>
            <x v="6"/>
            <x v="8"/>
            <x v="10"/>
            <x v="11"/>
            <x v="12"/>
            <x v="13"/>
            <x v="14"/>
            <x v="15"/>
            <x v="16"/>
            <x v="17"/>
            <x v="18"/>
            <x v="19"/>
            <x v="20"/>
            <x v="21"/>
            <x v="22"/>
            <x v="23"/>
            <x v="24"/>
            <x v="25"/>
            <x v="26"/>
            <x v="27"/>
            <x v="28"/>
            <x v="29"/>
            <x v="30"/>
            <x v="31"/>
            <x v="32"/>
            <x v="33"/>
            <x v="34"/>
            <x v="35"/>
            <x v="36"/>
            <x v="37"/>
            <x v="38"/>
            <x v="39"/>
            <x v="40"/>
            <x v="41"/>
            <x v="43"/>
            <x v="44"/>
            <x v="45"/>
            <x v="46"/>
            <x v="47"/>
            <x v="48"/>
            <x v="49"/>
            <x v="50"/>
            <x v="51"/>
            <x v="53"/>
            <x v="54"/>
            <x v="55"/>
          </reference>
        </references>
      </pivotArea>
    </format>
    <format dxfId="147">
      <pivotArea dataOnly="0" labelOnly="1" fieldPosition="0">
        <references count="1">
          <reference field="8" count="6">
            <x v="3"/>
            <x v="5"/>
            <x v="7"/>
            <x v="9"/>
            <x v="42"/>
            <x v="52"/>
          </reference>
        </references>
      </pivotArea>
    </format>
    <format dxfId="146">
      <pivotArea dataOnly="0" labelOnly="1" grandRow="1" outline="0" fieldPosition="0"/>
    </format>
    <format dxfId="145">
      <pivotArea dataOnly="0" labelOnly="1" outline="0" axis="axisValues" fieldPosition="0"/>
    </format>
    <format dxfId="144">
      <pivotArea field="8" type="button" dataOnly="0" labelOnly="1" outline="0" axis="axisRow" fieldPosition="0"/>
    </format>
    <format dxfId="143">
      <pivotArea dataOnly="0" labelOnly="1" outline="0" axis="axisValues" fieldPosition="0"/>
    </format>
    <format dxfId="142">
      <pivotArea field="8" type="button" dataOnly="0" labelOnly="1" outline="0" axis="axisRow" fieldPosition="0"/>
    </format>
    <format dxfId="141">
      <pivotArea dataOnly="0" labelOnly="1" outline="0" axis="axisValues" fieldPosition="0"/>
    </format>
    <format dxfId="140">
      <pivotArea field="8" type="button" dataOnly="0" labelOnly="1" outline="0" axis="axisRow" fieldPosition="0"/>
    </format>
    <format dxfId="13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60412A0-FAA3-455A-AA96-8F7E1D9370D3}" autoFormatId="16" applyNumberFormats="0" applyBorderFormats="0" applyFontFormats="0" applyPatternFormats="0" applyAlignmentFormats="0" applyWidthHeightFormats="0">
  <queryTableRefresh nextId="20" unboundColumnsRight="1">
    <queryTableFields count="10">
      <queryTableField id="1" name="Transaction date" tableColumnId="1"/>
      <queryTableField id="13" name="Transaction time.1" tableColumnId="11"/>
      <queryTableField id="18" name="Time range" tableColumnId="4"/>
      <queryTableField id="3" name="Product" tableColumnId="3"/>
      <queryTableField id="9" name="Sales" tableColumnId="9"/>
      <queryTableField id="5" name="Payment_Type" tableColumnId="5"/>
      <queryTableField id="11" name="Buyers name" tableColumnId="10"/>
      <queryTableField id="7" name="City" tableColumnId="7"/>
      <queryTableField id="8" name="Country" tableColumnId="8"/>
      <queryTableField id="17" dataBound="0"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Type" xr10:uid="{71C1349D-E679-45CD-B9D3-D0DAF34828B2}" sourceName="Payment_Type">
  <pivotTables>
    <pivotTable tabId="3" name="PivotTable1"/>
    <pivotTable tabId="3" name="PivotTable2"/>
    <pivotTable tabId="3" name="PivotTable3"/>
    <pivotTable tabId="3" name="PivotTable11"/>
    <pivotTable tabId="3" name="PivotTable5"/>
    <pivotTable tabId="3" name="PivotTable6"/>
    <pivotTable tabId="3" name="PivotTable7"/>
    <pivotTable tabId="3" name="PivotTable9"/>
    <pivotTable tabId="3" name="PivotTable10"/>
  </pivotTables>
  <data>
    <tabular pivotCacheId="385440795">
      <items count="4">
        <i x="2" s="1"/>
        <i x="1"/>
        <i x="0"/>
        <i x="3"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range" xr10:uid="{20F91882-0A45-4A63-A579-038F1CEE5C6E}" sourceName="Time range">
  <pivotTables>
    <pivotTable tabId="3" name="PivotTable1"/>
    <pivotTable tabId="3" name="PivotTable2"/>
    <pivotTable tabId="3" name="PivotTable8"/>
    <pivotTable tabId="3" name="PivotTable11"/>
    <pivotTable tabId="3" name="PivotTable5"/>
    <pivotTable tabId="3" name="PivotTable6"/>
    <pivotTable tabId="3" name="PivotTable7"/>
    <pivotTable tabId="3" name="PivotTable9"/>
    <pivotTable tabId="3" name="PivotTable10"/>
  </pivotTables>
  <data>
    <tabular pivotCacheId="385440795">
      <items count="2">
        <i x="0"/>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s" xr10:uid="{83987E31-C7E1-424A-B610-65415448C188}" sourceName="Weekdays">
  <pivotTables>
    <pivotTable tabId="3" name="PivotTable2"/>
    <pivotTable tabId="3" name="PivotTable3"/>
    <pivotTable tabId="3" name="PivotTable8"/>
    <pivotTable tabId="3" name="PivotTable5"/>
    <pivotTable tabId="3" name="PivotTable6"/>
    <pivotTable tabId="3" name="PivotTable7"/>
    <pivotTable tabId="3" name="PivotTable9"/>
    <pivotTable tabId="3" name="PivotTable10"/>
  </pivotTables>
  <data>
    <tabular pivotCacheId="385440795">
      <items count="7">
        <i x="1"/>
        <i x="2"/>
        <i x="3"/>
        <i x="5"/>
        <i x="4"/>
        <i x="0"/>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_Type" xr10:uid="{0712BD26-49D3-4326-9521-1FC695E1D4B0}" cache="Slicer_Payment_Type" caption="Payment_Type" columnCount="3" showCaption="0" style="SlicerStyleLight1 2" lockedPosition="1" rowHeight="241300"/>
  <slicer name="Time range" xr10:uid="{C77DF9BC-5A82-4129-A6CA-9E650D41A8C1}" cache="Slicer_Time_range" caption="Time range" columnCount="2" showCaption="0" style="SlicerStyleLight1 3" lockedPosition="1" rowHeight="241300"/>
  <slicer name="Weekdays" xr10:uid="{BC24BE2C-6FC9-44AC-93CD-C240AA57C74B}" cache="Slicer_Weekdays" caption="Weekdays" showCaption="0" style="SlicerStyleLight1 4" lockedPosition="1" rowHeight="4572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L999" totalsRowShown="0">
  <autoFilter ref="A1:L999" xr:uid="{00000000-0009-0000-0100-000001000000}"/>
  <tableColumns count="12">
    <tableColumn id="1" xr3:uid="{00000000-0010-0000-0000-000001000000}" name="Transaction_date" dataDxfId="1"/>
    <tableColumn id="2" xr3:uid="{00000000-0010-0000-0000-000002000000}" name="Product"/>
    <tableColumn id="3" xr3:uid="{00000000-0010-0000-0000-000003000000}" name="Sales"/>
    <tableColumn id="4" xr3:uid="{00000000-0010-0000-0000-000004000000}" name="Payment_Type"/>
    <tableColumn id="5" xr3:uid="{00000000-0010-0000-0000-000005000000}" name="Buyers name"/>
    <tableColumn id="6" xr3:uid="{00000000-0010-0000-0000-000006000000}" name="City"/>
    <tableColumn id="7" xr3:uid="{00000000-0010-0000-0000-000007000000}" name="State"/>
    <tableColumn id="8" xr3:uid="{00000000-0010-0000-0000-000008000000}" name="Country"/>
    <tableColumn id="10" xr3:uid="{00000000-0010-0000-0000-00000A000000}" name="Last_Login" dataDxfId="0"/>
    <tableColumn id="11" xr3:uid="{00000000-0010-0000-0000-00000B000000}" name="Latitude"/>
    <tableColumn id="12" xr3:uid="{00000000-0010-0000-0000-00000C000000}" name="Longitude"/>
    <tableColumn id="13" xr3:uid="{00000000-0010-0000-0000-00000D000000}" name="US Zip"/>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0B6AAF-E055-443F-9E0F-D58BC4826994}" name="Table1_2" displayName="Table1_2" ref="A1:J999" tableType="queryTable" totalsRowShown="0">
  <autoFilter ref="A1:J999" xr:uid="{F45F9590-C2FB-4A4F-AE92-31D74374D846}"/>
  <tableColumns count="10">
    <tableColumn id="1" xr3:uid="{86201D4C-6BB1-4BEB-8BE9-5415FBA016B2}" uniqueName="1" name="Transaction date" queryTableFieldId="1" dataDxfId="9"/>
    <tableColumn id="11" xr3:uid="{07C27EC8-0B96-4828-AA76-221689304B35}" uniqueName="11" name="Transaction time.1" queryTableFieldId="13" dataDxfId="8"/>
    <tableColumn id="4" xr3:uid="{E69E9FB7-9B1D-4191-B406-F5E17414FEC2}" uniqueName="4" name="Time range" queryTableFieldId="18" dataDxfId="7"/>
    <tableColumn id="3" xr3:uid="{8CA6A6C5-36DB-47FD-884D-B5E0429423A2}" uniqueName="3" name="Product" queryTableFieldId="3" dataDxfId="6"/>
    <tableColumn id="9" xr3:uid="{1CAB94DF-FD4F-4414-872A-4099A37E7BCF}" uniqueName="9" name="Sales" queryTableFieldId="9"/>
    <tableColumn id="5" xr3:uid="{0A0226FF-DC33-4331-A8E3-079AA6E5BEB9}" uniqueName="5" name="Payment_Type" queryTableFieldId="5" dataDxfId="5"/>
    <tableColumn id="10" xr3:uid="{4BDB2366-2F58-4C34-BD46-5FBB71A47F17}" uniqueName="10" name="Buyers name" queryTableFieldId="11"/>
    <tableColumn id="7" xr3:uid="{372F981E-789B-42D6-86B1-1E1F8D7B1EB5}" uniqueName="7" name="City" queryTableFieldId="7" dataDxfId="4"/>
    <tableColumn id="8" xr3:uid="{BCB65B34-6D06-4926-8809-D3C7B4724C51}" uniqueName="8" name="Country" queryTableFieldId="8" dataDxfId="3"/>
    <tableColumn id="2" xr3:uid="{2EDEC04C-EB6C-4B51-A327-4B5514E78B47}" uniqueName="2" name="Weekdays" queryTableFieldId="17" dataDxfId="2">
      <calculatedColumnFormula>WEEKDAY(Table1_2[[#This Row],[Transaction date]])</calculatedColumnFormula>
    </tableColumn>
  </tableColumns>
  <tableStyleInfo name="TableStyleMedium2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999"/>
  <sheetViews>
    <sheetView tabSelected="1" topLeftCell="B966" workbookViewId="0">
      <selection activeCell="H977" sqref="H977"/>
    </sheetView>
  </sheetViews>
  <sheetFormatPr defaultRowHeight="14.25" x14ac:dyDescent="0.45"/>
  <cols>
    <col min="1" max="1" width="21.73046875" customWidth="1"/>
    <col min="2" max="2" width="10" customWidth="1"/>
    <col min="3" max="3" width="7.59765625" customWidth="1"/>
    <col min="4" max="4" width="16.265625" customWidth="1"/>
    <col min="5" max="5" width="20.86328125" bestFit="1" customWidth="1"/>
    <col min="6" max="6" width="30.86328125" bestFit="1" customWidth="1"/>
    <col min="7" max="7" width="26.3984375" bestFit="1" customWidth="1"/>
    <col min="8" max="8" width="20" bestFit="1" customWidth="1"/>
    <col min="9" max="9" width="14.86328125" bestFit="1" customWidth="1"/>
    <col min="10" max="10" width="11.73046875" bestFit="1" customWidth="1"/>
    <col min="11" max="11" width="12.73046875" bestFit="1" customWidth="1"/>
    <col min="12" max="12" width="8.73046875" customWidth="1"/>
  </cols>
  <sheetData>
    <row r="1" spans="1:12" x14ac:dyDescent="0.45">
      <c r="A1" t="s">
        <v>0</v>
      </c>
      <c r="B1" t="s">
        <v>1</v>
      </c>
      <c r="C1" t="s">
        <v>1734</v>
      </c>
      <c r="D1" t="s">
        <v>2</v>
      </c>
      <c r="E1" t="s">
        <v>1735</v>
      </c>
      <c r="F1" t="s">
        <v>3</v>
      </c>
      <c r="G1" t="s">
        <v>4</v>
      </c>
      <c r="H1" t="s">
        <v>5</v>
      </c>
      <c r="I1" t="s">
        <v>6</v>
      </c>
      <c r="J1" t="s">
        <v>7</v>
      </c>
      <c r="K1" t="s">
        <v>8</v>
      </c>
      <c r="L1" t="s">
        <v>9</v>
      </c>
    </row>
    <row r="2" spans="1:12" x14ac:dyDescent="0.45">
      <c r="A2" s="1">
        <v>39815.203472222223</v>
      </c>
      <c r="B2" t="s">
        <v>10</v>
      </c>
      <c r="C2">
        <v>1200</v>
      </c>
      <c r="D2" t="s">
        <v>11</v>
      </c>
      <c r="E2" t="s">
        <v>12</v>
      </c>
      <c r="F2" t="s">
        <v>13</v>
      </c>
      <c r="G2" t="s">
        <v>14</v>
      </c>
      <c r="H2" t="s">
        <v>15</v>
      </c>
      <c r="I2" s="1">
        <v>39815.325694444444</v>
      </c>
      <c r="J2">
        <v>39.195</v>
      </c>
      <c r="K2">
        <v>-94.681939999999997</v>
      </c>
      <c r="L2">
        <v>64152</v>
      </c>
    </row>
    <row r="3" spans="1:12" x14ac:dyDescent="0.45">
      <c r="A3" s="1">
        <v>39815.547222222223</v>
      </c>
      <c r="B3" t="s">
        <v>10</v>
      </c>
      <c r="C3">
        <v>1200</v>
      </c>
      <c r="D3" t="s">
        <v>16</v>
      </c>
      <c r="E3" t="s">
        <v>17</v>
      </c>
      <c r="F3" t="s">
        <v>18</v>
      </c>
      <c r="G3" t="s">
        <v>19</v>
      </c>
      <c r="H3" t="s">
        <v>15</v>
      </c>
      <c r="I3" s="1">
        <v>39816.522222222222</v>
      </c>
      <c r="J3">
        <v>46.18806</v>
      </c>
      <c r="K3">
        <v>-123.83</v>
      </c>
      <c r="L3">
        <v>97103</v>
      </c>
    </row>
    <row r="4" spans="1:12" x14ac:dyDescent="0.45">
      <c r="A4" s="1">
        <v>39817.538888888892</v>
      </c>
      <c r="B4" t="s">
        <v>20</v>
      </c>
      <c r="C4">
        <v>3600</v>
      </c>
      <c r="D4" t="s">
        <v>11</v>
      </c>
      <c r="E4" t="s">
        <v>21</v>
      </c>
      <c r="F4" t="s">
        <v>22</v>
      </c>
      <c r="G4" t="s">
        <v>23</v>
      </c>
      <c r="H4" t="s">
        <v>15</v>
      </c>
      <c r="I4" s="1">
        <v>39817.53125</v>
      </c>
      <c r="J4">
        <v>33.520560000000003</v>
      </c>
      <c r="K4">
        <v>-86.802499999999995</v>
      </c>
      <c r="L4">
        <v>35243</v>
      </c>
    </row>
    <row r="5" spans="1:12" x14ac:dyDescent="0.45">
      <c r="A5" s="1">
        <v>39818.538888888892</v>
      </c>
      <c r="B5" t="s">
        <v>10</v>
      </c>
      <c r="C5">
        <v>1200</v>
      </c>
      <c r="D5" t="s">
        <v>11</v>
      </c>
      <c r="E5" t="s">
        <v>24</v>
      </c>
      <c r="F5" t="s">
        <v>25</v>
      </c>
      <c r="G5" t="s">
        <v>26</v>
      </c>
      <c r="H5" t="s">
        <v>15</v>
      </c>
      <c r="I5" s="1">
        <v>39817.544444444444</v>
      </c>
      <c r="J5">
        <v>39.79</v>
      </c>
      <c r="K5">
        <v>-75.238060000000004</v>
      </c>
      <c r="L5">
        <v>8056</v>
      </c>
    </row>
    <row r="6" spans="1:12" x14ac:dyDescent="0.45">
      <c r="A6" s="1">
        <v>39819.538888888892</v>
      </c>
      <c r="B6" t="s">
        <v>10</v>
      </c>
      <c r="C6">
        <v>1200</v>
      </c>
      <c r="D6" t="s">
        <v>16</v>
      </c>
      <c r="E6" t="s">
        <v>27</v>
      </c>
      <c r="F6" t="s">
        <v>28</v>
      </c>
      <c r="G6" t="s">
        <v>29</v>
      </c>
      <c r="H6" t="s">
        <v>15</v>
      </c>
      <c r="I6" s="1">
        <v>39817.822916666664</v>
      </c>
      <c r="J6">
        <v>40.69361</v>
      </c>
      <c r="K6">
        <v>-89.588890000000006</v>
      </c>
      <c r="L6">
        <v>61601</v>
      </c>
    </row>
    <row r="7" spans="1:12" x14ac:dyDescent="0.45">
      <c r="A7" s="1">
        <v>39815.839583333334</v>
      </c>
      <c r="B7" t="s">
        <v>10</v>
      </c>
      <c r="C7">
        <v>1200</v>
      </c>
      <c r="D7" t="s">
        <v>16</v>
      </c>
      <c r="E7" t="s">
        <v>30</v>
      </c>
      <c r="F7" t="s">
        <v>31</v>
      </c>
      <c r="G7" t="s">
        <v>32</v>
      </c>
      <c r="H7" t="s">
        <v>15</v>
      </c>
      <c r="I7" s="1">
        <v>39817.834027777775</v>
      </c>
      <c r="J7">
        <v>36.343330000000002</v>
      </c>
      <c r="K7">
        <v>-88.850279999999998</v>
      </c>
      <c r="L7">
        <v>38237</v>
      </c>
    </row>
    <row r="8" spans="1:12" x14ac:dyDescent="0.45">
      <c r="A8" s="1">
        <v>39818.112500000003</v>
      </c>
      <c r="B8" t="s">
        <v>10</v>
      </c>
      <c r="C8">
        <v>1200</v>
      </c>
      <c r="D8" t="s">
        <v>11</v>
      </c>
      <c r="E8" t="s">
        <v>33</v>
      </c>
      <c r="F8" t="s">
        <v>34</v>
      </c>
      <c r="G8" t="s">
        <v>35</v>
      </c>
      <c r="H8" t="s">
        <v>15</v>
      </c>
      <c r="I8" s="1">
        <v>39818.207638888889</v>
      </c>
      <c r="J8">
        <v>40.714170000000003</v>
      </c>
      <c r="K8">
        <v>-74.006389999999996</v>
      </c>
      <c r="L8">
        <v>10002</v>
      </c>
    </row>
    <row r="9" spans="1:12" x14ac:dyDescent="0.45">
      <c r="A9" s="1">
        <v>39815.386111111111</v>
      </c>
      <c r="B9" t="s">
        <v>10</v>
      </c>
      <c r="C9">
        <v>1200</v>
      </c>
      <c r="D9" t="s">
        <v>16</v>
      </c>
      <c r="E9" t="s">
        <v>36</v>
      </c>
      <c r="F9" t="s">
        <v>37</v>
      </c>
      <c r="G9" t="s">
        <v>38</v>
      </c>
      <c r="H9" t="s">
        <v>15</v>
      </c>
      <c r="I9" s="1">
        <v>39818.378472222219</v>
      </c>
      <c r="J9">
        <v>29.42389</v>
      </c>
      <c r="K9">
        <v>-98.49333</v>
      </c>
      <c r="L9">
        <v>78230</v>
      </c>
    </row>
    <row r="10" spans="1:12" x14ac:dyDescent="0.45">
      <c r="A10" s="1">
        <v>39818.422222222223</v>
      </c>
      <c r="B10" t="s">
        <v>10</v>
      </c>
      <c r="C10">
        <v>1200</v>
      </c>
      <c r="D10" t="s">
        <v>11</v>
      </c>
      <c r="E10" t="s">
        <v>39</v>
      </c>
      <c r="F10" t="s">
        <v>40</v>
      </c>
      <c r="G10" t="s">
        <v>41</v>
      </c>
      <c r="H10" t="s">
        <v>15</v>
      </c>
      <c r="I10" s="1">
        <v>39818.420138888891</v>
      </c>
      <c r="J10">
        <v>43.69556</v>
      </c>
      <c r="K10">
        <v>-116.35306</v>
      </c>
      <c r="L10">
        <v>83616</v>
      </c>
    </row>
    <row r="11" spans="1:12" x14ac:dyDescent="0.45">
      <c r="A11" s="1">
        <v>39815.595833333333</v>
      </c>
      <c r="B11" t="s">
        <v>10</v>
      </c>
      <c r="C11">
        <v>1200</v>
      </c>
      <c r="D11" t="s">
        <v>11</v>
      </c>
      <c r="E11" t="s">
        <v>42</v>
      </c>
      <c r="F11" t="s">
        <v>43</v>
      </c>
      <c r="G11" t="s">
        <v>26</v>
      </c>
      <c r="H11" t="s">
        <v>15</v>
      </c>
      <c r="I11" s="1">
        <v>39818.459027777775</v>
      </c>
      <c r="J11">
        <v>40.032220000000002</v>
      </c>
      <c r="K11">
        <v>-74.95778</v>
      </c>
      <c r="L11">
        <v>8075</v>
      </c>
    </row>
    <row r="12" spans="1:12" x14ac:dyDescent="0.45">
      <c r="A12" s="1">
        <v>39815.315972222219</v>
      </c>
      <c r="B12" t="s">
        <v>10</v>
      </c>
      <c r="C12">
        <v>1200</v>
      </c>
      <c r="D12" t="s">
        <v>11</v>
      </c>
      <c r="E12" t="s">
        <v>44</v>
      </c>
      <c r="F12" t="s">
        <v>45</v>
      </c>
      <c r="G12" t="s">
        <v>46</v>
      </c>
      <c r="H12" t="s">
        <v>15</v>
      </c>
      <c r="I12" s="1">
        <v>39819.452777777777</v>
      </c>
      <c r="J12">
        <v>40.760829999999999</v>
      </c>
      <c r="K12">
        <v>-111.89028</v>
      </c>
      <c r="L12">
        <v>84111</v>
      </c>
    </row>
    <row r="13" spans="1:12" x14ac:dyDescent="0.45">
      <c r="A13" s="1">
        <v>39819.304166666669</v>
      </c>
      <c r="B13" t="s">
        <v>10</v>
      </c>
      <c r="C13">
        <v>1200</v>
      </c>
      <c r="D13" t="s">
        <v>11</v>
      </c>
      <c r="E13" t="s">
        <v>47</v>
      </c>
      <c r="F13" t="s">
        <v>48</v>
      </c>
      <c r="G13" t="s">
        <v>49</v>
      </c>
      <c r="H13" t="s">
        <v>15</v>
      </c>
      <c r="I13" s="1">
        <v>39820.297222222223</v>
      </c>
      <c r="J13">
        <v>32.64</v>
      </c>
      <c r="K13">
        <v>-117.08333</v>
      </c>
      <c r="L13">
        <v>91910</v>
      </c>
    </row>
    <row r="14" spans="1:12" x14ac:dyDescent="0.45">
      <c r="A14" s="1">
        <v>39814.1</v>
      </c>
      <c r="B14" t="s">
        <v>10</v>
      </c>
      <c r="C14">
        <v>1200</v>
      </c>
      <c r="D14" t="s">
        <v>11</v>
      </c>
      <c r="E14" t="s">
        <v>50</v>
      </c>
      <c r="F14" t="s">
        <v>51</v>
      </c>
      <c r="G14" t="s">
        <v>38</v>
      </c>
      <c r="H14" t="s">
        <v>15</v>
      </c>
      <c r="I14" s="1">
        <v>39820.452777777777</v>
      </c>
      <c r="J14">
        <v>29.619440000000001</v>
      </c>
      <c r="K14">
        <v>-95.634720000000002</v>
      </c>
      <c r="L14">
        <v>77478</v>
      </c>
    </row>
    <row r="15" spans="1:12" x14ac:dyDescent="0.45">
      <c r="A15" s="1">
        <v>39820.338888888888</v>
      </c>
      <c r="B15" t="s">
        <v>10</v>
      </c>
      <c r="C15">
        <v>1200</v>
      </c>
      <c r="D15" t="s">
        <v>11</v>
      </c>
      <c r="E15" t="s">
        <v>52</v>
      </c>
      <c r="F15" t="s">
        <v>34</v>
      </c>
      <c r="G15" t="s">
        <v>35</v>
      </c>
      <c r="H15" t="s">
        <v>15</v>
      </c>
      <c r="I15" s="1">
        <v>39820.526388888888</v>
      </c>
      <c r="J15">
        <v>40.714170000000003</v>
      </c>
      <c r="K15">
        <v>-74.006389999999996</v>
      </c>
      <c r="L15">
        <v>10007</v>
      </c>
    </row>
    <row r="16" spans="1:12" x14ac:dyDescent="0.45">
      <c r="A16" s="1">
        <v>39814.847916666666</v>
      </c>
      <c r="B16" t="s">
        <v>10</v>
      </c>
      <c r="C16">
        <v>1200</v>
      </c>
      <c r="D16" t="s">
        <v>11</v>
      </c>
      <c r="E16" t="s">
        <v>53</v>
      </c>
      <c r="F16" t="s">
        <v>54</v>
      </c>
      <c r="G16" t="s">
        <v>29</v>
      </c>
      <c r="H16" t="s">
        <v>15</v>
      </c>
      <c r="I16" s="1">
        <v>39820.867361111108</v>
      </c>
      <c r="J16">
        <v>40.612780000000001</v>
      </c>
      <c r="K16">
        <v>-89.45917</v>
      </c>
      <c r="L16">
        <v>61550</v>
      </c>
    </row>
    <row r="17" spans="1:12" x14ac:dyDescent="0.45">
      <c r="A17" s="1">
        <v>39821.029166666667</v>
      </c>
      <c r="B17" t="s">
        <v>10</v>
      </c>
      <c r="C17">
        <v>1200</v>
      </c>
      <c r="D17" t="s">
        <v>11</v>
      </c>
      <c r="E17" t="s">
        <v>55</v>
      </c>
      <c r="F17" t="s">
        <v>56</v>
      </c>
      <c r="G17" t="s">
        <v>49</v>
      </c>
      <c r="H17" t="s">
        <v>15</v>
      </c>
      <c r="I17" s="1">
        <v>39821.152083333334</v>
      </c>
      <c r="J17">
        <v>37.226669999999999</v>
      </c>
      <c r="K17">
        <v>-121.97360999999999</v>
      </c>
      <c r="L17">
        <v>95032</v>
      </c>
    </row>
    <row r="18" spans="1:12" x14ac:dyDescent="0.45">
      <c r="A18" s="1">
        <v>39821.163888888892</v>
      </c>
      <c r="B18" t="s">
        <v>10</v>
      </c>
      <c r="C18">
        <v>1200</v>
      </c>
      <c r="D18" t="s">
        <v>16</v>
      </c>
      <c r="E18" t="s">
        <v>57</v>
      </c>
      <c r="F18" t="s">
        <v>34</v>
      </c>
      <c r="G18" t="s">
        <v>35</v>
      </c>
      <c r="H18" t="s">
        <v>15</v>
      </c>
      <c r="I18" s="1">
        <v>39821.263194444444</v>
      </c>
      <c r="J18">
        <v>40.714170000000003</v>
      </c>
      <c r="K18">
        <v>-74.006389999999996</v>
      </c>
      <c r="L18">
        <v>10007</v>
      </c>
    </row>
    <row r="19" spans="1:12" x14ac:dyDescent="0.45">
      <c r="A19" s="1">
        <v>39821.136111111111</v>
      </c>
      <c r="B19" t="s">
        <v>10</v>
      </c>
      <c r="C19">
        <v>1200</v>
      </c>
      <c r="D19" t="s">
        <v>16</v>
      </c>
      <c r="E19" t="s">
        <v>58</v>
      </c>
      <c r="F19" t="s">
        <v>59</v>
      </c>
      <c r="G19" t="s">
        <v>60</v>
      </c>
      <c r="H19" t="s">
        <v>15</v>
      </c>
      <c r="I19" s="1">
        <v>39821.273611111108</v>
      </c>
      <c r="J19">
        <v>25.773890000000002</v>
      </c>
      <c r="K19">
        <v>-80.193889999999996</v>
      </c>
      <c r="L19">
        <v>33130</v>
      </c>
    </row>
    <row r="20" spans="1:12" x14ac:dyDescent="0.45">
      <c r="A20" s="1">
        <v>39816.377083333333</v>
      </c>
      <c r="B20" t="s">
        <v>10</v>
      </c>
      <c r="C20">
        <v>1200</v>
      </c>
      <c r="D20" t="s">
        <v>11</v>
      </c>
      <c r="E20" t="s">
        <v>61</v>
      </c>
      <c r="F20" t="s">
        <v>62</v>
      </c>
      <c r="G20" t="s">
        <v>35</v>
      </c>
      <c r="H20" t="s">
        <v>15</v>
      </c>
      <c r="I20" s="1">
        <v>39821.443055555559</v>
      </c>
      <c r="J20">
        <v>40.65</v>
      </c>
      <c r="K20">
        <v>-73.95</v>
      </c>
      <c r="L20">
        <v>11226</v>
      </c>
    </row>
    <row r="21" spans="1:12" x14ac:dyDescent="0.45">
      <c r="A21" s="1">
        <v>39819.323611111111</v>
      </c>
      <c r="B21" t="s">
        <v>230</v>
      </c>
      <c r="C21">
        <v>1200</v>
      </c>
      <c r="D21" t="s">
        <v>63</v>
      </c>
      <c r="E21" t="s">
        <v>64</v>
      </c>
      <c r="F21" t="s">
        <v>65</v>
      </c>
      <c r="G21" t="s">
        <v>66</v>
      </c>
      <c r="H21" t="s">
        <v>15</v>
      </c>
      <c r="I21" s="1">
        <v>39821.527777777781</v>
      </c>
      <c r="J21">
        <v>38.968609999999998</v>
      </c>
      <c r="K21">
        <v>-77.341390000000004</v>
      </c>
      <c r="L21">
        <v>20190</v>
      </c>
    </row>
    <row r="22" spans="1:12" x14ac:dyDescent="0.45">
      <c r="A22" s="1">
        <v>39821.683333333334</v>
      </c>
      <c r="B22" t="s">
        <v>10</v>
      </c>
      <c r="C22">
        <v>1200</v>
      </c>
      <c r="D22" t="s">
        <v>11</v>
      </c>
      <c r="E22" t="s">
        <v>67</v>
      </c>
      <c r="F22" t="s">
        <v>68</v>
      </c>
      <c r="G22" t="s">
        <v>69</v>
      </c>
      <c r="H22" t="s">
        <v>15</v>
      </c>
      <c r="I22" s="1">
        <v>39821.770833333336</v>
      </c>
      <c r="J22">
        <v>33.448329999999999</v>
      </c>
      <c r="K22">
        <v>-112.07333</v>
      </c>
      <c r="L22">
        <v>85004</v>
      </c>
    </row>
    <row r="23" spans="1:12" x14ac:dyDescent="0.45">
      <c r="A23" s="1">
        <v>39822.277083333334</v>
      </c>
      <c r="B23" t="s">
        <v>10</v>
      </c>
      <c r="C23">
        <v>1200</v>
      </c>
      <c r="D23" t="s">
        <v>16</v>
      </c>
      <c r="E23" t="s">
        <v>70</v>
      </c>
      <c r="F23" t="s">
        <v>71</v>
      </c>
      <c r="G23" t="s">
        <v>38</v>
      </c>
      <c r="H23" t="s">
        <v>15</v>
      </c>
      <c r="I23" s="1">
        <v>39822.299305555556</v>
      </c>
      <c r="J23">
        <v>29.763059999999999</v>
      </c>
      <c r="K23">
        <v>-95.363060000000004</v>
      </c>
      <c r="L23">
        <v>77002</v>
      </c>
    </row>
    <row r="24" spans="1:12" x14ac:dyDescent="0.45">
      <c r="A24" s="1">
        <v>39819.929861111108</v>
      </c>
      <c r="B24" t="s">
        <v>230</v>
      </c>
      <c r="C24">
        <v>3600</v>
      </c>
      <c r="D24" t="s">
        <v>63</v>
      </c>
      <c r="E24" t="s">
        <v>72</v>
      </c>
      <c r="F24" t="s">
        <v>73</v>
      </c>
      <c r="G24" t="s">
        <v>74</v>
      </c>
      <c r="H24" t="s">
        <v>15</v>
      </c>
      <c r="I24" s="1">
        <v>39822.420138888891</v>
      </c>
      <c r="J24">
        <v>43.772219999999997</v>
      </c>
      <c r="K24">
        <v>-72.813329999999993</v>
      </c>
      <c r="L24">
        <v>5762</v>
      </c>
    </row>
    <row r="25" spans="1:12" x14ac:dyDescent="0.45">
      <c r="A25" s="1">
        <v>39819.958333333336</v>
      </c>
      <c r="B25" t="s">
        <v>230</v>
      </c>
      <c r="C25">
        <v>3600</v>
      </c>
      <c r="D25" t="s">
        <v>63</v>
      </c>
      <c r="E25" t="s">
        <v>75</v>
      </c>
      <c r="F25" t="s">
        <v>73</v>
      </c>
      <c r="G25" t="s">
        <v>74</v>
      </c>
      <c r="H25" t="s">
        <v>15</v>
      </c>
      <c r="I25" s="1">
        <v>39822.420138888891</v>
      </c>
      <c r="J25">
        <v>43.772219999999997</v>
      </c>
      <c r="K25">
        <v>-72.813329999999993</v>
      </c>
      <c r="L25">
        <v>5762</v>
      </c>
    </row>
    <row r="26" spans="1:12" x14ac:dyDescent="0.45">
      <c r="A26" s="1">
        <v>39820.322222222225</v>
      </c>
      <c r="B26" t="s">
        <v>10</v>
      </c>
      <c r="C26">
        <v>1200</v>
      </c>
      <c r="D26" t="s">
        <v>16</v>
      </c>
      <c r="E26" t="s">
        <v>76</v>
      </c>
      <c r="F26" t="s">
        <v>77</v>
      </c>
      <c r="G26" t="s">
        <v>78</v>
      </c>
      <c r="H26" t="s">
        <v>15</v>
      </c>
      <c r="I26" s="1">
        <v>39822.452777777777</v>
      </c>
      <c r="J26">
        <v>34.338059999999999</v>
      </c>
      <c r="K26">
        <v>-84.376670000000004</v>
      </c>
      <c r="L26">
        <v>30107</v>
      </c>
    </row>
    <row r="27" spans="1:12" x14ac:dyDescent="0.45">
      <c r="A27" s="1">
        <v>39820.633333333331</v>
      </c>
      <c r="B27" t="s">
        <v>20</v>
      </c>
      <c r="C27">
        <v>3600</v>
      </c>
      <c r="D27" t="s">
        <v>11</v>
      </c>
      <c r="E27" t="s">
        <v>79</v>
      </c>
      <c r="F27" t="s">
        <v>80</v>
      </c>
      <c r="G27" t="s">
        <v>29</v>
      </c>
      <c r="H27" t="s">
        <v>15</v>
      </c>
      <c r="I27" s="1">
        <v>39822.668749999997</v>
      </c>
      <c r="J27">
        <v>41.54278</v>
      </c>
      <c r="K27">
        <v>-87.684719999999999</v>
      </c>
      <c r="L27">
        <v>60422</v>
      </c>
    </row>
    <row r="28" spans="1:12" x14ac:dyDescent="0.45">
      <c r="A28" s="1">
        <v>39820.84375</v>
      </c>
      <c r="B28" t="s">
        <v>230</v>
      </c>
      <c r="C28">
        <v>1200</v>
      </c>
      <c r="D28" t="s">
        <v>63</v>
      </c>
      <c r="E28" t="s">
        <v>81</v>
      </c>
      <c r="F28" t="s">
        <v>71</v>
      </c>
      <c r="G28" t="s">
        <v>38</v>
      </c>
      <c r="H28" t="s">
        <v>15</v>
      </c>
      <c r="I28" s="1">
        <v>39822.834722222222</v>
      </c>
      <c r="J28">
        <v>29.763059999999999</v>
      </c>
      <c r="K28">
        <v>-95.363060000000004</v>
      </c>
      <c r="L28">
        <v>77002</v>
      </c>
    </row>
    <row r="29" spans="1:12" x14ac:dyDescent="0.45">
      <c r="A29" s="1">
        <v>39816.424305555556</v>
      </c>
      <c r="B29" t="s">
        <v>20</v>
      </c>
      <c r="C29">
        <v>3600</v>
      </c>
      <c r="D29" t="s">
        <v>11</v>
      </c>
      <c r="E29" t="s">
        <v>82</v>
      </c>
      <c r="F29" t="s">
        <v>83</v>
      </c>
      <c r="G29" t="s">
        <v>60</v>
      </c>
      <c r="H29" t="s">
        <v>15</v>
      </c>
      <c r="I29" s="1">
        <v>39823.406944444447</v>
      </c>
      <c r="J29">
        <v>26.461110000000001</v>
      </c>
      <c r="K29">
        <v>-80.073059999999998</v>
      </c>
      <c r="L29">
        <v>33444</v>
      </c>
    </row>
    <row r="30" spans="1:12" x14ac:dyDescent="0.45">
      <c r="A30" s="1">
        <v>39823.539583333331</v>
      </c>
      <c r="B30" t="s">
        <v>230</v>
      </c>
      <c r="C30">
        <v>1200</v>
      </c>
      <c r="D30" t="s">
        <v>63</v>
      </c>
      <c r="E30" t="s">
        <v>84</v>
      </c>
      <c r="F30" t="s">
        <v>85</v>
      </c>
      <c r="G30" t="s">
        <v>78</v>
      </c>
      <c r="H30" t="s">
        <v>15</v>
      </c>
      <c r="I30" s="1">
        <v>39823.589583333334</v>
      </c>
      <c r="J30">
        <v>33.924169999999997</v>
      </c>
      <c r="K30">
        <v>-84.378609999999995</v>
      </c>
      <c r="L30">
        <v>30328</v>
      </c>
    </row>
    <row r="31" spans="1:12" x14ac:dyDescent="0.45">
      <c r="A31" s="1">
        <v>39823.503472222219</v>
      </c>
      <c r="B31" t="s">
        <v>10</v>
      </c>
      <c r="C31">
        <v>1200</v>
      </c>
      <c r="D31" t="s">
        <v>11</v>
      </c>
      <c r="E31" t="s">
        <v>86</v>
      </c>
      <c r="F31" t="s">
        <v>87</v>
      </c>
      <c r="G31" t="s">
        <v>60</v>
      </c>
      <c r="H31" t="s">
        <v>15</v>
      </c>
      <c r="I31" s="1">
        <v>39823.689583333333</v>
      </c>
      <c r="J31">
        <v>26.121939999999999</v>
      </c>
      <c r="K31">
        <v>-80.143609999999995</v>
      </c>
      <c r="L31">
        <v>33301</v>
      </c>
    </row>
    <row r="32" spans="1:12" x14ac:dyDescent="0.45">
      <c r="A32" s="1">
        <v>39823.62222222222</v>
      </c>
      <c r="B32" t="s">
        <v>10</v>
      </c>
      <c r="C32">
        <v>1200</v>
      </c>
      <c r="D32" t="s">
        <v>11</v>
      </c>
      <c r="E32" t="s">
        <v>88</v>
      </c>
      <c r="F32" t="s">
        <v>89</v>
      </c>
      <c r="G32" t="s">
        <v>90</v>
      </c>
      <c r="H32" t="s">
        <v>15</v>
      </c>
      <c r="I32" s="1">
        <v>39823.820138888892</v>
      </c>
      <c r="J32">
        <v>41.72972</v>
      </c>
      <c r="K32">
        <v>-93.605559999999997</v>
      </c>
      <c r="L32">
        <v>50023</v>
      </c>
    </row>
    <row r="33" spans="1:12" x14ac:dyDescent="0.45">
      <c r="A33" s="1">
        <v>39820.417361111111</v>
      </c>
      <c r="B33" t="s">
        <v>10</v>
      </c>
      <c r="C33">
        <v>1200</v>
      </c>
      <c r="D33" t="s">
        <v>11</v>
      </c>
      <c r="E33" t="s">
        <v>91</v>
      </c>
      <c r="F33" t="s">
        <v>92</v>
      </c>
      <c r="G33" t="s">
        <v>93</v>
      </c>
      <c r="H33" t="s">
        <v>15</v>
      </c>
      <c r="I33" s="1">
        <v>39823.834722222222</v>
      </c>
      <c r="J33">
        <v>35.72</v>
      </c>
      <c r="K33">
        <v>-79.177499999999995</v>
      </c>
      <c r="L33">
        <v>27312</v>
      </c>
    </row>
    <row r="34" spans="1:12" x14ac:dyDescent="0.45">
      <c r="A34" s="1">
        <v>39814.05972222222</v>
      </c>
      <c r="B34" t="s">
        <v>10</v>
      </c>
      <c r="C34">
        <v>1200</v>
      </c>
      <c r="D34" t="s">
        <v>16</v>
      </c>
      <c r="E34" t="s">
        <v>94</v>
      </c>
      <c r="F34" t="s">
        <v>95</v>
      </c>
      <c r="G34" t="s">
        <v>35</v>
      </c>
      <c r="H34" t="s">
        <v>15</v>
      </c>
      <c r="I34" s="1">
        <v>39823.896527777775</v>
      </c>
      <c r="J34">
        <v>40.911389999999997</v>
      </c>
      <c r="K34">
        <v>-73.782780000000002</v>
      </c>
      <c r="L34">
        <v>10801</v>
      </c>
    </row>
    <row r="35" spans="1:12" x14ac:dyDescent="0.45">
      <c r="A35" s="1">
        <v>39820.262499999997</v>
      </c>
      <c r="B35" t="s">
        <v>10</v>
      </c>
      <c r="C35">
        <v>1200</v>
      </c>
      <c r="D35" t="s">
        <v>16</v>
      </c>
      <c r="E35" t="s">
        <v>96</v>
      </c>
      <c r="F35" t="s">
        <v>97</v>
      </c>
      <c r="G35" t="s">
        <v>98</v>
      </c>
      <c r="H35" t="s">
        <v>15</v>
      </c>
      <c r="I35" s="1">
        <v>39824.815972222219</v>
      </c>
      <c r="J35">
        <v>41.464440000000003</v>
      </c>
      <c r="K35">
        <v>-81.508889999999994</v>
      </c>
      <c r="L35">
        <v>44122</v>
      </c>
    </row>
    <row r="36" spans="1:12" x14ac:dyDescent="0.45">
      <c r="A36" s="1">
        <v>39825.142361111109</v>
      </c>
      <c r="B36" t="s">
        <v>10</v>
      </c>
      <c r="C36">
        <v>1200</v>
      </c>
      <c r="D36" t="s">
        <v>16</v>
      </c>
      <c r="E36" t="s">
        <v>99</v>
      </c>
      <c r="F36" t="s">
        <v>100</v>
      </c>
      <c r="G36" t="s">
        <v>101</v>
      </c>
      <c r="H36" t="s">
        <v>15</v>
      </c>
      <c r="I36" s="1">
        <v>39825.140277777777</v>
      </c>
      <c r="J36">
        <v>43.649169999999998</v>
      </c>
      <c r="K36">
        <v>-72.310829999999996</v>
      </c>
      <c r="L36">
        <v>3784</v>
      </c>
    </row>
    <row r="37" spans="1:12" x14ac:dyDescent="0.45">
      <c r="A37" s="1">
        <v>39821.636111111111</v>
      </c>
      <c r="B37" t="s">
        <v>10</v>
      </c>
      <c r="C37">
        <v>1200</v>
      </c>
      <c r="D37" t="s">
        <v>11</v>
      </c>
      <c r="E37" t="s">
        <v>102</v>
      </c>
      <c r="F37" t="s">
        <v>103</v>
      </c>
      <c r="G37" t="s">
        <v>104</v>
      </c>
      <c r="H37" t="s">
        <v>15</v>
      </c>
      <c r="I37" s="1">
        <v>39825.395138888889</v>
      </c>
      <c r="J37">
        <v>39.533059999999999</v>
      </c>
      <c r="K37">
        <v>-77.314999999999998</v>
      </c>
      <c r="L37">
        <v>21798</v>
      </c>
    </row>
    <row r="38" spans="1:12" x14ac:dyDescent="0.45">
      <c r="A38" s="1">
        <v>39815.916666666664</v>
      </c>
      <c r="B38" t="s">
        <v>10</v>
      </c>
      <c r="C38">
        <v>1200</v>
      </c>
      <c r="D38" t="s">
        <v>11</v>
      </c>
      <c r="E38" t="s">
        <v>105</v>
      </c>
      <c r="F38" t="s">
        <v>106</v>
      </c>
      <c r="G38" t="s">
        <v>32</v>
      </c>
      <c r="H38" t="s">
        <v>15</v>
      </c>
      <c r="I38" s="1">
        <v>39825.554166666669</v>
      </c>
      <c r="J38">
        <v>35.149439999999998</v>
      </c>
      <c r="K38">
        <v>-90.04889</v>
      </c>
      <c r="L38">
        <v>38103</v>
      </c>
    </row>
    <row r="39" spans="1:12" x14ac:dyDescent="0.45">
      <c r="A39" s="1">
        <v>39824.547222222223</v>
      </c>
      <c r="B39" t="s">
        <v>10</v>
      </c>
      <c r="C39">
        <v>1200</v>
      </c>
      <c r="D39" t="s">
        <v>11</v>
      </c>
      <c r="E39" t="s">
        <v>107</v>
      </c>
      <c r="F39" t="s">
        <v>108</v>
      </c>
      <c r="G39" t="s">
        <v>98</v>
      </c>
      <c r="H39" t="s">
        <v>15</v>
      </c>
      <c r="I39" s="1">
        <v>39825.780555555553</v>
      </c>
      <c r="J39">
        <v>39.161940000000001</v>
      </c>
      <c r="K39">
        <v>-84.456940000000003</v>
      </c>
      <c r="L39">
        <v>45212</v>
      </c>
    </row>
    <row r="40" spans="1:12" x14ac:dyDescent="0.45">
      <c r="A40" s="1">
        <v>39826.259027777778</v>
      </c>
      <c r="B40" t="s">
        <v>10</v>
      </c>
      <c r="C40">
        <v>1200</v>
      </c>
      <c r="D40" t="s">
        <v>11</v>
      </c>
      <c r="E40" t="s">
        <v>109</v>
      </c>
      <c r="F40" t="s">
        <v>110</v>
      </c>
      <c r="G40" t="s">
        <v>35</v>
      </c>
      <c r="H40" t="s">
        <v>15</v>
      </c>
      <c r="I40" s="1">
        <v>39826.314583333333</v>
      </c>
      <c r="J40">
        <v>40.636670000000002</v>
      </c>
      <c r="K40">
        <v>-74.159170000000003</v>
      </c>
      <c r="L40">
        <v>10303</v>
      </c>
    </row>
    <row r="41" spans="1:12" x14ac:dyDescent="0.45">
      <c r="A41" s="1">
        <v>39815.486805555556</v>
      </c>
      <c r="B41" t="s">
        <v>10</v>
      </c>
      <c r="C41">
        <v>1200</v>
      </c>
      <c r="D41" t="s">
        <v>11</v>
      </c>
      <c r="E41" t="s">
        <v>111</v>
      </c>
      <c r="F41" t="s">
        <v>112</v>
      </c>
      <c r="G41" t="s">
        <v>113</v>
      </c>
      <c r="H41" t="s">
        <v>15</v>
      </c>
      <c r="I41" s="1">
        <v>39826.773611111108</v>
      </c>
      <c r="J41">
        <v>42.464440000000003</v>
      </c>
      <c r="K41">
        <v>-83.376390000000001</v>
      </c>
      <c r="L41">
        <v>48336</v>
      </c>
    </row>
    <row r="42" spans="1:12" x14ac:dyDescent="0.45">
      <c r="A42" s="1">
        <v>39820.826388888891</v>
      </c>
      <c r="B42" t="s">
        <v>10</v>
      </c>
      <c r="C42">
        <v>1200</v>
      </c>
      <c r="D42" t="s">
        <v>11</v>
      </c>
      <c r="E42" t="s">
        <v>114</v>
      </c>
      <c r="F42" t="s">
        <v>115</v>
      </c>
      <c r="G42" t="s">
        <v>49</v>
      </c>
      <c r="H42" t="s">
        <v>15</v>
      </c>
      <c r="I42" s="1">
        <v>39826.845138888886</v>
      </c>
      <c r="J42">
        <v>34.019440000000003</v>
      </c>
      <c r="K42">
        <v>-118.49028</v>
      </c>
      <c r="L42">
        <v>90401</v>
      </c>
    </row>
    <row r="43" spans="1:12" x14ac:dyDescent="0.45">
      <c r="A43" s="1">
        <v>39825.127083333333</v>
      </c>
      <c r="B43" t="s">
        <v>20</v>
      </c>
      <c r="C43">
        <v>3600</v>
      </c>
      <c r="D43" t="s">
        <v>16</v>
      </c>
      <c r="E43" t="s">
        <v>116</v>
      </c>
      <c r="F43" t="s">
        <v>117</v>
      </c>
      <c r="G43" t="s">
        <v>49</v>
      </c>
      <c r="H43" t="s">
        <v>15</v>
      </c>
      <c r="I43" s="1">
        <v>39827.046527777777</v>
      </c>
      <c r="J43">
        <v>33.669440000000002</v>
      </c>
      <c r="K43">
        <v>-117.82222</v>
      </c>
      <c r="L43">
        <v>92614</v>
      </c>
    </row>
    <row r="44" spans="1:12" x14ac:dyDescent="0.45">
      <c r="A44" s="1">
        <v>39826.476388888892</v>
      </c>
      <c r="B44" t="s">
        <v>10</v>
      </c>
      <c r="C44">
        <v>1200</v>
      </c>
      <c r="D44" t="s">
        <v>11</v>
      </c>
      <c r="E44" t="s">
        <v>118</v>
      </c>
      <c r="F44" t="s">
        <v>119</v>
      </c>
      <c r="G44" t="s">
        <v>66</v>
      </c>
      <c r="H44" t="s">
        <v>15</v>
      </c>
      <c r="I44" s="1">
        <v>39827.11041666667</v>
      </c>
      <c r="J44">
        <v>37.619169999999997</v>
      </c>
      <c r="K44">
        <v>-75.764169999999993</v>
      </c>
      <c r="L44">
        <v>23401</v>
      </c>
    </row>
    <row r="45" spans="1:12" x14ac:dyDescent="0.45">
      <c r="A45" s="1">
        <v>39827.20416666667</v>
      </c>
      <c r="B45" t="s">
        <v>10</v>
      </c>
      <c r="C45">
        <v>1200</v>
      </c>
      <c r="D45" t="s">
        <v>16</v>
      </c>
      <c r="E45" t="s">
        <v>120</v>
      </c>
      <c r="F45" t="s">
        <v>121</v>
      </c>
      <c r="G45" t="s">
        <v>122</v>
      </c>
      <c r="H45" t="s">
        <v>15</v>
      </c>
      <c r="I45" s="1">
        <v>39827.196527777778</v>
      </c>
      <c r="J45">
        <v>21.306940000000001</v>
      </c>
      <c r="K45">
        <v>-157.85833</v>
      </c>
      <c r="L45">
        <v>96813</v>
      </c>
    </row>
    <row r="46" spans="1:12" x14ac:dyDescent="0.45">
      <c r="A46" s="1">
        <v>39816.580555555556</v>
      </c>
      <c r="B46" t="s">
        <v>10</v>
      </c>
      <c r="C46">
        <v>1200</v>
      </c>
      <c r="D46" t="s">
        <v>11</v>
      </c>
      <c r="E46" t="s">
        <v>123</v>
      </c>
      <c r="F46" t="s">
        <v>124</v>
      </c>
      <c r="G46" t="s">
        <v>60</v>
      </c>
      <c r="H46" t="s">
        <v>15</v>
      </c>
      <c r="I46" s="1">
        <v>39827.543749999997</v>
      </c>
      <c r="J46">
        <v>30.669440000000002</v>
      </c>
      <c r="K46">
        <v>-81.462779999999995</v>
      </c>
      <c r="L46">
        <v>32034</v>
      </c>
    </row>
    <row r="47" spans="1:12" x14ac:dyDescent="0.45">
      <c r="A47" s="1">
        <v>39826.99722222222</v>
      </c>
      <c r="B47" t="s">
        <v>10</v>
      </c>
      <c r="C47">
        <v>1200</v>
      </c>
      <c r="D47" t="s">
        <v>16</v>
      </c>
      <c r="E47" t="s">
        <v>125</v>
      </c>
      <c r="F47" t="s">
        <v>126</v>
      </c>
      <c r="G47" t="s">
        <v>60</v>
      </c>
      <c r="H47" t="s">
        <v>15</v>
      </c>
      <c r="I47" s="1">
        <v>39827.636805555558</v>
      </c>
      <c r="J47">
        <v>25.721109999999999</v>
      </c>
      <c r="K47">
        <v>-80.268609999999995</v>
      </c>
      <c r="L47">
        <v>33146</v>
      </c>
    </row>
    <row r="48" spans="1:12" x14ac:dyDescent="0.45">
      <c r="A48" s="1">
        <v>39827.813888888886</v>
      </c>
      <c r="B48" t="s">
        <v>10</v>
      </c>
      <c r="C48">
        <v>1200</v>
      </c>
      <c r="D48" t="s">
        <v>11</v>
      </c>
      <c r="E48" t="s">
        <v>127</v>
      </c>
      <c r="F48" t="s">
        <v>59</v>
      </c>
      <c r="G48" t="s">
        <v>60</v>
      </c>
      <c r="H48" t="s">
        <v>15</v>
      </c>
      <c r="I48" s="1">
        <v>39827.811111111114</v>
      </c>
      <c r="J48">
        <v>25.773890000000002</v>
      </c>
      <c r="K48">
        <v>-80.193889999999996</v>
      </c>
      <c r="L48">
        <v>33130</v>
      </c>
    </row>
    <row r="49" spans="1:12" x14ac:dyDescent="0.45">
      <c r="A49" s="1">
        <v>39826.818749999999</v>
      </c>
      <c r="B49" t="s">
        <v>10</v>
      </c>
      <c r="C49">
        <v>1200</v>
      </c>
      <c r="D49" t="s">
        <v>11</v>
      </c>
      <c r="E49" t="s">
        <v>128</v>
      </c>
      <c r="F49" t="s">
        <v>129</v>
      </c>
      <c r="G49" t="s">
        <v>130</v>
      </c>
      <c r="H49" t="s">
        <v>15</v>
      </c>
      <c r="I49" s="1">
        <v>39827.918055555558</v>
      </c>
      <c r="J49">
        <v>39.647779999999997</v>
      </c>
      <c r="K49">
        <v>-104.98721999999999</v>
      </c>
      <c r="L49">
        <v>80113</v>
      </c>
    </row>
    <row r="50" spans="1:12" x14ac:dyDescent="0.45">
      <c r="A50" s="1">
        <v>39828.111111111109</v>
      </c>
      <c r="B50" t="s">
        <v>10</v>
      </c>
      <c r="C50">
        <v>1200</v>
      </c>
      <c r="D50" t="s">
        <v>16</v>
      </c>
      <c r="E50" t="s">
        <v>131</v>
      </c>
      <c r="F50" t="s">
        <v>132</v>
      </c>
      <c r="G50" t="s">
        <v>29</v>
      </c>
      <c r="H50" t="s">
        <v>15</v>
      </c>
      <c r="I50" s="1">
        <v>39828.086111111108</v>
      </c>
      <c r="J50">
        <v>42.09722</v>
      </c>
      <c r="K50">
        <v>-88.692779999999999</v>
      </c>
      <c r="L50">
        <v>60135</v>
      </c>
    </row>
    <row r="51" spans="1:12" x14ac:dyDescent="0.45">
      <c r="A51" s="1">
        <v>39818.652083333334</v>
      </c>
      <c r="B51" t="s">
        <v>10</v>
      </c>
      <c r="C51">
        <v>1200</v>
      </c>
      <c r="D51" t="s">
        <v>11</v>
      </c>
      <c r="E51" t="s">
        <v>133</v>
      </c>
      <c r="F51" t="s">
        <v>134</v>
      </c>
      <c r="G51" t="s">
        <v>60</v>
      </c>
      <c r="H51" t="s">
        <v>15</v>
      </c>
      <c r="I51" s="1">
        <v>39828.250694444447</v>
      </c>
      <c r="J51">
        <v>26.309719999999999</v>
      </c>
      <c r="K51">
        <v>-80.237499999999997</v>
      </c>
      <c r="L51">
        <v>33067</v>
      </c>
    </row>
    <row r="52" spans="1:12" x14ac:dyDescent="0.45">
      <c r="A52" s="1">
        <v>39823.222916666666</v>
      </c>
      <c r="B52" t="s">
        <v>10</v>
      </c>
      <c r="C52">
        <v>1200</v>
      </c>
      <c r="D52" t="s">
        <v>63</v>
      </c>
      <c r="E52" t="s">
        <v>135</v>
      </c>
      <c r="F52" t="s">
        <v>136</v>
      </c>
      <c r="G52" t="s">
        <v>49</v>
      </c>
      <c r="H52" t="s">
        <v>15</v>
      </c>
      <c r="I52" s="1">
        <v>39828.267361111109</v>
      </c>
      <c r="J52">
        <v>37.774999999999999</v>
      </c>
      <c r="K52">
        <v>-122.41833</v>
      </c>
      <c r="L52">
        <v>94103</v>
      </c>
    </row>
    <row r="53" spans="1:12" x14ac:dyDescent="0.45">
      <c r="A53" s="1">
        <v>39828.175000000003</v>
      </c>
      <c r="B53" t="s">
        <v>10</v>
      </c>
      <c r="C53">
        <v>1200</v>
      </c>
      <c r="D53" t="s">
        <v>16</v>
      </c>
      <c r="E53" t="s">
        <v>137</v>
      </c>
      <c r="F53" t="s">
        <v>119</v>
      </c>
      <c r="G53" t="s">
        <v>66</v>
      </c>
      <c r="H53" t="s">
        <v>15</v>
      </c>
      <c r="I53" s="1">
        <v>39828.290972222225</v>
      </c>
      <c r="J53">
        <v>37.619169999999997</v>
      </c>
      <c r="K53">
        <v>-75.764169999999993</v>
      </c>
      <c r="L53">
        <v>23401</v>
      </c>
    </row>
    <row r="54" spans="1:12" x14ac:dyDescent="0.45">
      <c r="A54" s="1">
        <v>39819.449999999997</v>
      </c>
      <c r="B54" t="s">
        <v>10</v>
      </c>
      <c r="C54">
        <v>1200</v>
      </c>
      <c r="D54" t="s">
        <v>16</v>
      </c>
      <c r="E54" t="s">
        <v>138</v>
      </c>
      <c r="F54" t="s">
        <v>139</v>
      </c>
      <c r="G54" t="s">
        <v>26</v>
      </c>
      <c r="H54" t="s">
        <v>15</v>
      </c>
      <c r="I54" s="1">
        <v>39828.397222222222</v>
      </c>
      <c r="J54">
        <v>40.636670000000002</v>
      </c>
      <c r="K54">
        <v>-74.91028</v>
      </c>
      <c r="L54">
        <v>8809</v>
      </c>
    </row>
    <row r="55" spans="1:12" x14ac:dyDescent="0.45">
      <c r="A55" s="1">
        <v>39827.381944444445</v>
      </c>
      <c r="B55" t="s">
        <v>10</v>
      </c>
      <c r="C55">
        <v>1200</v>
      </c>
      <c r="D55" t="s">
        <v>16</v>
      </c>
      <c r="E55" t="s">
        <v>140</v>
      </c>
      <c r="F55" t="s">
        <v>141</v>
      </c>
      <c r="G55" t="s">
        <v>142</v>
      </c>
      <c r="H55" t="s">
        <v>15</v>
      </c>
      <c r="I55" s="1">
        <v>39828.402777777781</v>
      </c>
      <c r="J55">
        <v>37.774169999999998</v>
      </c>
      <c r="K55">
        <v>-87.113330000000005</v>
      </c>
      <c r="L55">
        <v>42303</v>
      </c>
    </row>
    <row r="56" spans="1:12" x14ac:dyDescent="0.45">
      <c r="A56" s="1">
        <v>39827.947222222225</v>
      </c>
      <c r="B56" t="s">
        <v>10</v>
      </c>
      <c r="C56">
        <v>1200</v>
      </c>
      <c r="D56" t="s">
        <v>11</v>
      </c>
      <c r="E56" t="s">
        <v>143</v>
      </c>
      <c r="F56" t="s">
        <v>144</v>
      </c>
      <c r="G56" t="s">
        <v>38</v>
      </c>
      <c r="H56" t="s">
        <v>15</v>
      </c>
      <c r="I56" s="1">
        <v>39828.409722222219</v>
      </c>
      <c r="J56">
        <v>33.142499999999998</v>
      </c>
      <c r="K56">
        <v>-96.969170000000005</v>
      </c>
      <c r="L56">
        <v>75068</v>
      </c>
    </row>
    <row r="57" spans="1:12" x14ac:dyDescent="0.45">
      <c r="A57" s="1">
        <v>39828.522916666669</v>
      </c>
      <c r="B57" t="s">
        <v>10</v>
      </c>
      <c r="C57">
        <v>1200</v>
      </c>
      <c r="D57" t="s">
        <v>11</v>
      </c>
      <c r="E57" t="s">
        <v>145</v>
      </c>
      <c r="F57" t="s">
        <v>146</v>
      </c>
      <c r="G57" t="s">
        <v>104</v>
      </c>
      <c r="H57" t="s">
        <v>15</v>
      </c>
      <c r="I57" s="1">
        <v>39828.561111111114</v>
      </c>
      <c r="J57">
        <v>38.980559999999997</v>
      </c>
      <c r="K57">
        <v>-76.937219999999996</v>
      </c>
      <c r="L57">
        <v>20740</v>
      </c>
    </row>
    <row r="58" spans="1:12" x14ac:dyDescent="0.45">
      <c r="A58" s="1">
        <v>39827.482638888891</v>
      </c>
      <c r="B58" t="s">
        <v>10</v>
      </c>
      <c r="C58">
        <v>1200</v>
      </c>
      <c r="D58" t="s">
        <v>11</v>
      </c>
      <c r="E58" t="s">
        <v>147</v>
      </c>
      <c r="F58" t="s">
        <v>148</v>
      </c>
      <c r="G58" t="s">
        <v>122</v>
      </c>
      <c r="H58" t="s">
        <v>15</v>
      </c>
      <c r="I58" s="1">
        <v>39828.646527777775</v>
      </c>
      <c r="J58">
        <v>19.7349</v>
      </c>
      <c r="K58">
        <v>-155.90029999999999</v>
      </c>
      <c r="L58">
        <v>96740</v>
      </c>
    </row>
    <row r="59" spans="1:12" x14ac:dyDescent="0.45">
      <c r="A59" s="1">
        <v>39827.652777777781</v>
      </c>
      <c r="B59" t="s">
        <v>10</v>
      </c>
      <c r="C59">
        <v>1200</v>
      </c>
      <c r="D59" t="s">
        <v>63</v>
      </c>
      <c r="E59" t="s">
        <v>149</v>
      </c>
      <c r="F59" t="s">
        <v>150</v>
      </c>
      <c r="G59" t="s">
        <v>49</v>
      </c>
      <c r="H59" t="s">
        <v>15</v>
      </c>
      <c r="I59" s="1">
        <v>39828.65625</v>
      </c>
      <c r="J59">
        <v>33.849170000000001</v>
      </c>
      <c r="K59">
        <v>-118.3875</v>
      </c>
      <c r="L59">
        <v>90277</v>
      </c>
    </row>
    <row r="60" spans="1:12" x14ac:dyDescent="0.45">
      <c r="A60" s="1">
        <v>39816.463888888888</v>
      </c>
      <c r="B60" t="s">
        <v>10</v>
      </c>
      <c r="C60">
        <v>1200</v>
      </c>
      <c r="D60" t="s">
        <v>63</v>
      </c>
      <c r="E60" t="s">
        <v>151</v>
      </c>
      <c r="F60" t="s">
        <v>152</v>
      </c>
      <c r="G60" t="s">
        <v>69</v>
      </c>
      <c r="H60" t="s">
        <v>15</v>
      </c>
      <c r="I60" s="1">
        <v>39828.692361111112</v>
      </c>
      <c r="J60">
        <v>33.611669999999997</v>
      </c>
      <c r="K60">
        <v>-111.71666999999999</v>
      </c>
      <c r="L60">
        <v>85268</v>
      </c>
    </row>
    <row r="61" spans="1:12" x14ac:dyDescent="0.45">
      <c r="A61" s="1">
        <v>39829.306250000001</v>
      </c>
      <c r="B61" t="s">
        <v>10</v>
      </c>
      <c r="C61">
        <v>2100</v>
      </c>
      <c r="D61" t="s">
        <v>16</v>
      </c>
      <c r="E61" t="s">
        <v>153</v>
      </c>
      <c r="F61" t="s">
        <v>154</v>
      </c>
      <c r="G61" t="s">
        <v>35</v>
      </c>
      <c r="H61" t="s">
        <v>15</v>
      </c>
      <c r="I61" s="1">
        <v>39829.255555555559</v>
      </c>
      <c r="J61">
        <v>41.372219999999999</v>
      </c>
      <c r="K61">
        <v>-73.733890000000002</v>
      </c>
      <c r="L61">
        <v>10541</v>
      </c>
    </row>
    <row r="62" spans="1:12" x14ac:dyDescent="0.45">
      <c r="A62" s="1">
        <v>39816.413888888892</v>
      </c>
      <c r="B62" t="s">
        <v>10</v>
      </c>
      <c r="C62">
        <v>1200</v>
      </c>
      <c r="D62" t="s">
        <v>11</v>
      </c>
      <c r="E62" t="s">
        <v>155</v>
      </c>
      <c r="F62" t="s">
        <v>156</v>
      </c>
      <c r="G62" t="s">
        <v>29</v>
      </c>
      <c r="H62" t="s">
        <v>15</v>
      </c>
      <c r="I62" s="1">
        <v>39829.571527777778</v>
      </c>
      <c r="J62">
        <v>41.85</v>
      </c>
      <c r="K62">
        <v>-87.65</v>
      </c>
      <c r="L62">
        <v>60608</v>
      </c>
    </row>
    <row r="63" spans="1:12" x14ac:dyDescent="0.45">
      <c r="A63" s="1">
        <v>39829.736805555556</v>
      </c>
      <c r="B63" t="s">
        <v>10</v>
      </c>
      <c r="C63">
        <v>1200</v>
      </c>
      <c r="D63" t="s">
        <v>11</v>
      </c>
      <c r="E63" t="s">
        <v>157</v>
      </c>
      <c r="F63" t="s">
        <v>158</v>
      </c>
      <c r="G63" t="s">
        <v>38</v>
      </c>
      <c r="H63" t="s">
        <v>15</v>
      </c>
      <c r="I63" s="1">
        <v>39829.74722222222</v>
      </c>
      <c r="J63">
        <v>30.079719999999998</v>
      </c>
      <c r="K63">
        <v>-95.416939999999997</v>
      </c>
      <c r="L63">
        <v>77373</v>
      </c>
    </row>
    <row r="64" spans="1:12" x14ac:dyDescent="0.45">
      <c r="A64" s="1">
        <v>39818.231249999997</v>
      </c>
      <c r="B64" t="s">
        <v>10</v>
      </c>
      <c r="C64">
        <v>1200</v>
      </c>
      <c r="D64" t="s">
        <v>11</v>
      </c>
      <c r="E64" t="s">
        <v>159</v>
      </c>
      <c r="F64" t="s">
        <v>160</v>
      </c>
      <c r="G64" t="s">
        <v>49</v>
      </c>
      <c r="H64" t="s">
        <v>15</v>
      </c>
      <c r="I64" s="1">
        <v>39830.024305555555</v>
      </c>
      <c r="J64">
        <v>33.119169999999997</v>
      </c>
      <c r="K64">
        <v>-117.08556</v>
      </c>
      <c r="L64">
        <v>92025</v>
      </c>
    </row>
    <row r="65" spans="1:12" x14ac:dyDescent="0.45">
      <c r="A65" s="1">
        <v>39824.374305555553</v>
      </c>
      <c r="B65" t="s">
        <v>10</v>
      </c>
      <c r="C65">
        <v>1200</v>
      </c>
      <c r="D65" t="s">
        <v>11</v>
      </c>
      <c r="E65" t="s">
        <v>161</v>
      </c>
      <c r="F65" t="s">
        <v>162</v>
      </c>
      <c r="G65" t="s">
        <v>66</v>
      </c>
      <c r="H65" t="s">
        <v>15</v>
      </c>
      <c r="I65" s="1">
        <v>39830.370833333334</v>
      </c>
      <c r="J65">
        <v>39.043610000000001</v>
      </c>
      <c r="K65">
        <v>-77.487780000000001</v>
      </c>
      <c r="L65">
        <v>20147</v>
      </c>
    </row>
    <row r="66" spans="1:12" x14ac:dyDescent="0.45">
      <c r="A66" s="1">
        <v>39828.663888888892</v>
      </c>
      <c r="B66" t="s">
        <v>10</v>
      </c>
      <c r="C66">
        <v>1200</v>
      </c>
      <c r="D66" t="s">
        <v>63</v>
      </c>
      <c r="E66" t="s">
        <v>163</v>
      </c>
      <c r="F66" t="s">
        <v>164</v>
      </c>
      <c r="G66" t="s">
        <v>49</v>
      </c>
      <c r="H66" t="s">
        <v>15</v>
      </c>
      <c r="I66" s="1">
        <v>39830.45416666667</v>
      </c>
      <c r="J66">
        <v>34.052219999999998</v>
      </c>
      <c r="K66">
        <v>-118.24278</v>
      </c>
      <c r="L66">
        <v>90012</v>
      </c>
    </row>
    <row r="67" spans="1:12" x14ac:dyDescent="0.45">
      <c r="A67" s="1">
        <v>39814.513194444444</v>
      </c>
      <c r="B67" t="s">
        <v>10</v>
      </c>
      <c r="C67">
        <v>1200</v>
      </c>
      <c r="D67" t="s">
        <v>11</v>
      </c>
      <c r="E67" t="s">
        <v>165</v>
      </c>
      <c r="F67" t="s">
        <v>166</v>
      </c>
      <c r="G67" t="s">
        <v>167</v>
      </c>
      <c r="H67" t="s">
        <v>15</v>
      </c>
      <c r="I67" s="1">
        <v>39830.484722222223</v>
      </c>
      <c r="J67">
        <v>47.250279999999997</v>
      </c>
      <c r="K67">
        <v>-122.2925</v>
      </c>
      <c r="L67">
        <v>98372</v>
      </c>
    </row>
    <row r="68" spans="1:12" x14ac:dyDescent="0.45">
      <c r="A68" s="1">
        <v>39819.585416666669</v>
      </c>
      <c r="B68" t="s">
        <v>10</v>
      </c>
      <c r="C68">
        <v>1200</v>
      </c>
      <c r="D68" t="s">
        <v>11</v>
      </c>
      <c r="E68" t="s">
        <v>168</v>
      </c>
      <c r="F68" t="s">
        <v>34</v>
      </c>
      <c r="G68" t="s">
        <v>35</v>
      </c>
      <c r="H68" t="s">
        <v>15</v>
      </c>
      <c r="I68" s="1">
        <v>39830.488888888889</v>
      </c>
      <c r="J68">
        <v>40.714170000000003</v>
      </c>
      <c r="K68">
        <v>-74.006389999999996</v>
      </c>
      <c r="L68">
        <v>10007</v>
      </c>
    </row>
    <row r="69" spans="1:12" x14ac:dyDescent="0.45">
      <c r="A69" s="1">
        <v>39825.525694444441</v>
      </c>
      <c r="B69" t="s">
        <v>10</v>
      </c>
      <c r="C69">
        <v>1200</v>
      </c>
      <c r="D69" t="s">
        <v>11</v>
      </c>
      <c r="E69" t="s">
        <v>169</v>
      </c>
      <c r="F69" t="s">
        <v>170</v>
      </c>
      <c r="G69" t="s">
        <v>78</v>
      </c>
      <c r="H69" t="s">
        <v>15</v>
      </c>
      <c r="I69" s="1">
        <v>39830.678472222222</v>
      </c>
      <c r="J69">
        <v>33.952500000000001</v>
      </c>
      <c r="K69">
        <v>-84.55</v>
      </c>
      <c r="L69">
        <v>30060</v>
      </c>
    </row>
    <row r="70" spans="1:12" x14ac:dyDescent="0.45">
      <c r="A70" s="1">
        <v>39817.321527777778</v>
      </c>
      <c r="B70" t="s">
        <v>10</v>
      </c>
      <c r="C70">
        <v>1200</v>
      </c>
      <c r="D70" t="s">
        <v>16</v>
      </c>
      <c r="E70" t="s">
        <v>171</v>
      </c>
      <c r="F70" t="s">
        <v>71</v>
      </c>
      <c r="G70" t="s">
        <v>38</v>
      </c>
      <c r="H70" t="s">
        <v>15</v>
      </c>
      <c r="I70" s="1">
        <v>39830.729861111111</v>
      </c>
      <c r="J70">
        <v>29.763059999999999</v>
      </c>
      <c r="K70">
        <v>-95.363060000000004</v>
      </c>
      <c r="L70">
        <v>77002</v>
      </c>
    </row>
    <row r="71" spans="1:12" x14ac:dyDescent="0.45">
      <c r="A71" s="1">
        <v>39830.681944444441</v>
      </c>
      <c r="B71" t="s">
        <v>10</v>
      </c>
      <c r="C71">
        <v>1200</v>
      </c>
      <c r="D71" t="s">
        <v>11</v>
      </c>
      <c r="E71" t="s">
        <v>172</v>
      </c>
      <c r="F71" t="s">
        <v>173</v>
      </c>
      <c r="G71" t="s">
        <v>26</v>
      </c>
      <c r="H71" t="s">
        <v>15</v>
      </c>
      <c r="I71" s="1">
        <v>39830.779166666667</v>
      </c>
      <c r="J71">
        <v>40.798609999999996</v>
      </c>
      <c r="K71">
        <v>-74.239440000000002</v>
      </c>
      <c r="L71">
        <v>7052</v>
      </c>
    </row>
    <row r="72" spans="1:12" x14ac:dyDescent="0.45">
      <c r="A72" s="1">
        <v>39831.227083333331</v>
      </c>
      <c r="B72" t="s">
        <v>10</v>
      </c>
      <c r="C72">
        <v>1200</v>
      </c>
      <c r="D72" t="s">
        <v>11</v>
      </c>
      <c r="E72" t="s">
        <v>174</v>
      </c>
      <c r="F72" t="s">
        <v>175</v>
      </c>
      <c r="G72" t="s">
        <v>49</v>
      </c>
      <c r="H72" t="s">
        <v>15</v>
      </c>
      <c r="I72" s="1">
        <v>39831.195833333331</v>
      </c>
      <c r="J72">
        <v>33.94</v>
      </c>
      <c r="K72">
        <v>-118.13167</v>
      </c>
      <c r="L72">
        <v>90241</v>
      </c>
    </row>
    <row r="73" spans="1:12" x14ac:dyDescent="0.45">
      <c r="A73" s="1">
        <v>39817.709722222222</v>
      </c>
      <c r="B73" t="s">
        <v>10</v>
      </c>
      <c r="C73">
        <v>1200</v>
      </c>
      <c r="D73" t="s">
        <v>16</v>
      </c>
      <c r="E73" t="s">
        <v>118</v>
      </c>
      <c r="F73" t="s">
        <v>176</v>
      </c>
      <c r="G73" t="s">
        <v>49</v>
      </c>
      <c r="H73" t="s">
        <v>15</v>
      </c>
      <c r="I73" s="1">
        <v>39831.363194444442</v>
      </c>
      <c r="J73">
        <v>37.885829999999999</v>
      </c>
      <c r="K73">
        <v>-122.11694</v>
      </c>
      <c r="L73">
        <v>94549</v>
      </c>
    </row>
    <row r="74" spans="1:12" x14ac:dyDescent="0.45">
      <c r="A74" s="1">
        <v>39831.094444444447</v>
      </c>
      <c r="B74" t="s">
        <v>10</v>
      </c>
      <c r="C74">
        <v>1200</v>
      </c>
      <c r="D74" t="s">
        <v>11</v>
      </c>
      <c r="E74" t="s">
        <v>177</v>
      </c>
      <c r="F74" t="s">
        <v>178</v>
      </c>
      <c r="G74" t="s">
        <v>179</v>
      </c>
      <c r="H74" t="s">
        <v>15</v>
      </c>
      <c r="I74" s="1">
        <v>39831.384027777778</v>
      </c>
      <c r="J74">
        <v>33.94556</v>
      </c>
      <c r="K74">
        <v>-93.846940000000004</v>
      </c>
      <c r="L74">
        <v>71852</v>
      </c>
    </row>
    <row r="75" spans="1:12" x14ac:dyDescent="0.45">
      <c r="A75" s="1">
        <v>39831.495138888888</v>
      </c>
      <c r="B75" t="s">
        <v>10</v>
      </c>
      <c r="C75">
        <v>1200</v>
      </c>
      <c r="D75" t="s">
        <v>11</v>
      </c>
      <c r="E75" t="s">
        <v>180</v>
      </c>
      <c r="F75" t="s">
        <v>181</v>
      </c>
      <c r="G75" t="s">
        <v>104</v>
      </c>
      <c r="H75" t="s">
        <v>15</v>
      </c>
      <c r="I75" s="1">
        <v>39831.515972222223</v>
      </c>
      <c r="J75">
        <v>39.433610000000002</v>
      </c>
      <c r="K75">
        <v>-76.358059999999995</v>
      </c>
      <c r="L75">
        <v>21085</v>
      </c>
    </row>
    <row r="76" spans="1:12" x14ac:dyDescent="0.45">
      <c r="A76" s="1">
        <v>39831.50277777778</v>
      </c>
      <c r="B76" t="s">
        <v>10</v>
      </c>
      <c r="C76">
        <v>1200</v>
      </c>
      <c r="D76" t="s">
        <v>11</v>
      </c>
      <c r="E76" t="s">
        <v>182</v>
      </c>
      <c r="F76" t="s">
        <v>181</v>
      </c>
      <c r="G76" t="s">
        <v>104</v>
      </c>
      <c r="H76" t="s">
        <v>15</v>
      </c>
      <c r="I76" s="1">
        <v>39831.515972222223</v>
      </c>
      <c r="J76">
        <v>39.433610000000002</v>
      </c>
      <c r="K76">
        <v>-76.358059999999995</v>
      </c>
      <c r="L76">
        <v>21085</v>
      </c>
    </row>
    <row r="77" spans="1:12" x14ac:dyDescent="0.45">
      <c r="A77" s="1">
        <v>39826.82916666667</v>
      </c>
      <c r="B77" t="s">
        <v>10</v>
      </c>
      <c r="C77">
        <v>1200</v>
      </c>
      <c r="D77" t="s">
        <v>11</v>
      </c>
      <c r="E77" t="s">
        <v>183</v>
      </c>
      <c r="F77" t="s">
        <v>184</v>
      </c>
      <c r="G77" t="s">
        <v>26</v>
      </c>
      <c r="H77" t="s">
        <v>15</v>
      </c>
      <c r="I77" s="1">
        <v>39831.535416666666</v>
      </c>
      <c r="J77">
        <v>40.706940000000003</v>
      </c>
      <c r="K77">
        <v>-74.956389999999999</v>
      </c>
      <c r="L77">
        <v>8827</v>
      </c>
    </row>
    <row r="78" spans="1:12" x14ac:dyDescent="0.45">
      <c r="A78" s="1">
        <v>39818.879166666666</v>
      </c>
      <c r="B78" t="s">
        <v>10</v>
      </c>
      <c r="C78">
        <v>1200</v>
      </c>
      <c r="D78" t="s">
        <v>16</v>
      </c>
      <c r="E78" t="s">
        <v>185</v>
      </c>
      <c r="F78" t="s">
        <v>186</v>
      </c>
      <c r="G78" t="s">
        <v>142</v>
      </c>
      <c r="H78" t="s">
        <v>15</v>
      </c>
      <c r="I78" s="1">
        <v>39831.581944444442</v>
      </c>
      <c r="J78">
        <v>38.254170000000002</v>
      </c>
      <c r="K78">
        <v>-85.759439999999998</v>
      </c>
      <c r="L78">
        <v>40202</v>
      </c>
    </row>
    <row r="79" spans="1:12" x14ac:dyDescent="0.45">
      <c r="A79" s="1">
        <v>39827.272222222222</v>
      </c>
      <c r="B79" t="s">
        <v>10</v>
      </c>
      <c r="C79">
        <v>1200</v>
      </c>
      <c r="D79" t="s">
        <v>11</v>
      </c>
      <c r="E79" t="s">
        <v>187</v>
      </c>
      <c r="F79" t="s">
        <v>188</v>
      </c>
      <c r="G79" t="s">
        <v>66</v>
      </c>
      <c r="H79" t="s">
        <v>15</v>
      </c>
      <c r="I79" s="1">
        <v>39831.586111111108</v>
      </c>
      <c r="J79">
        <v>39.043610000000001</v>
      </c>
      <c r="K79">
        <v>-77.487780000000001</v>
      </c>
      <c r="L79">
        <v>20147</v>
      </c>
    </row>
    <row r="80" spans="1:12" x14ac:dyDescent="0.45">
      <c r="A80" s="1">
        <v>39831.688888888886</v>
      </c>
      <c r="B80" t="s">
        <v>20</v>
      </c>
      <c r="C80">
        <v>3600</v>
      </c>
      <c r="D80" t="s">
        <v>11</v>
      </c>
      <c r="E80" t="s">
        <v>189</v>
      </c>
      <c r="F80" t="s">
        <v>164</v>
      </c>
      <c r="G80" t="s">
        <v>49</v>
      </c>
      <c r="H80" t="s">
        <v>15</v>
      </c>
      <c r="I80" s="1">
        <v>39831.70416666667</v>
      </c>
      <c r="J80">
        <v>34.052219999999998</v>
      </c>
      <c r="K80">
        <v>-118.24278</v>
      </c>
      <c r="L80">
        <v>90012</v>
      </c>
    </row>
    <row r="81" spans="1:12" x14ac:dyDescent="0.45">
      <c r="A81" s="1">
        <v>39831.711111111108</v>
      </c>
      <c r="B81" t="s">
        <v>20</v>
      </c>
      <c r="C81">
        <v>3600</v>
      </c>
      <c r="D81" t="s">
        <v>11</v>
      </c>
      <c r="E81" t="s">
        <v>190</v>
      </c>
      <c r="F81" t="s">
        <v>34</v>
      </c>
      <c r="G81" t="s">
        <v>35</v>
      </c>
      <c r="H81" t="s">
        <v>15</v>
      </c>
      <c r="I81" s="1">
        <v>39831.706944444442</v>
      </c>
      <c r="J81">
        <v>40.714170000000003</v>
      </c>
      <c r="K81">
        <v>-74.006389999999996</v>
      </c>
      <c r="L81">
        <v>10007</v>
      </c>
    </row>
    <row r="82" spans="1:12" x14ac:dyDescent="0.45">
      <c r="A82" s="1">
        <v>39831.722222222219</v>
      </c>
      <c r="B82" t="s">
        <v>20</v>
      </c>
      <c r="C82">
        <v>3600</v>
      </c>
      <c r="D82" t="s">
        <v>11</v>
      </c>
      <c r="E82" t="s">
        <v>191</v>
      </c>
      <c r="F82" t="s">
        <v>192</v>
      </c>
      <c r="G82" t="s">
        <v>193</v>
      </c>
      <c r="H82" t="s">
        <v>15</v>
      </c>
      <c r="I82" s="1">
        <v>39831.719444444447</v>
      </c>
      <c r="J82">
        <v>44.94444</v>
      </c>
      <c r="K82">
        <v>-93.093059999999994</v>
      </c>
      <c r="L82">
        <v>55101</v>
      </c>
    </row>
    <row r="83" spans="1:12" x14ac:dyDescent="0.45">
      <c r="A83" s="1">
        <v>39831.73541666667</v>
      </c>
      <c r="B83" t="s">
        <v>20</v>
      </c>
      <c r="C83">
        <v>3600</v>
      </c>
      <c r="D83" t="s">
        <v>11</v>
      </c>
      <c r="E83" t="s">
        <v>194</v>
      </c>
      <c r="F83" t="s">
        <v>34</v>
      </c>
      <c r="G83" t="s">
        <v>35</v>
      </c>
      <c r="H83" t="s">
        <v>15</v>
      </c>
      <c r="I83" s="1">
        <v>39831.731944444444</v>
      </c>
      <c r="J83">
        <v>40.714170000000003</v>
      </c>
      <c r="K83">
        <v>-74.006389999999996</v>
      </c>
      <c r="L83">
        <v>10007</v>
      </c>
    </row>
    <row r="84" spans="1:12" x14ac:dyDescent="0.45">
      <c r="A84" s="1">
        <v>39824.472222222219</v>
      </c>
      <c r="B84" t="s">
        <v>10</v>
      </c>
      <c r="C84">
        <v>1200</v>
      </c>
      <c r="D84" t="s">
        <v>11</v>
      </c>
      <c r="E84" t="s">
        <v>195</v>
      </c>
      <c r="F84" t="s">
        <v>196</v>
      </c>
      <c r="G84" t="s">
        <v>193</v>
      </c>
      <c r="H84" t="s">
        <v>15</v>
      </c>
      <c r="I84" s="1">
        <v>39831.738194444442</v>
      </c>
      <c r="J84">
        <v>45.107779999999998</v>
      </c>
      <c r="K84">
        <v>-93.237780000000001</v>
      </c>
      <c r="L84">
        <v>55432</v>
      </c>
    </row>
    <row r="85" spans="1:12" x14ac:dyDescent="0.45">
      <c r="A85" s="1">
        <v>39825.701388888891</v>
      </c>
      <c r="B85" t="s">
        <v>10</v>
      </c>
      <c r="C85">
        <v>1200</v>
      </c>
      <c r="D85" t="s">
        <v>11</v>
      </c>
      <c r="E85" t="s">
        <v>197</v>
      </c>
      <c r="F85" t="s">
        <v>198</v>
      </c>
      <c r="G85" t="s">
        <v>167</v>
      </c>
      <c r="H85" t="s">
        <v>15</v>
      </c>
      <c r="I85" s="1">
        <v>39832.056944444441</v>
      </c>
      <c r="J85">
        <v>47.606389999999998</v>
      </c>
      <c r="K85">
        <v>-122.33083000000001</v>
      </c>
      <c r="L85">
        <v>98104</v>
      </c>
    </row>
    <row r="86" spans="1:12" x14ac:dyDescent="0.45">
      <c r="A86" s="1">
        <v>39825.633333333331</v>
      </c>
      <c r="B86" t="s">
        <v>10</v>
      </c>
      <c r="C86">
        <v>1200</v>
      </c>
      <c r="D86" t="s">
        <v>16</v>
      </c>
      <c r="E86" t="s">
        <v>199</v>
      </c>
      <c r="F86" t="s">
        <v>200</v>
      </c>
      <c r="G86" t="s">
        <v>26</v>
      </c>
      <c r="H86" t="s">
        <v>15</v>
      </c>
      <c r="I86" s="1">
        <v>39832.157638888886</v>
      </c>
      <c r="J86">
        <v>39.838059999999999</v>
      </c>
      <c r="K86">
        <v>-75.153059999999996</v>
      </c>
      <c r="L86">
        <v>8096</v>
      </c>
    </row>
    <row r="87" spans="1:12" x14ac:dyDescent="0.45">
      <c r="A87" s="1">
        <v>39822.786111111112</v>
      </c>
      <c r="B87" t="s">
        <v>10</v>
      </c>
      <c r="C87">
        <v>1200</v>
      </c>
      <c r="D87" t="s">
        <v>11</v>
      </c>
      <c r="E87" t="s">
        <v>199</v>
      </c>
      <c r="F87" t="s">
        <v>201</v>
      </c>
      <c r="G87" t="s">
        <v>78</v>
      </c>
      <c r="H87" t="s">
        <v>15</v>
      </c>
      <c r="I87" s="1">
        <v>39832.258333333331</v>
      </c>
      <c r="J87">
        <v>34.075279999999999</v>
      </c>
      <c r="K87">
        <v>-84.294169999999994</v>
      </c>
      <c r="L87">
        <v>30009</v>
      </c>
    </row>
    <row r="88" spans="1:12" x14ac:dyDescent="0.45">
      <c r="A88" s="1">
        <v>39831.970138888886</v>
      </c>
      <c r="B88" t="s">
        <v>10</v>
      </c>
      <c r="C88">
        <v>1200</v>
      </c>
      <c r="D88" t="s">
        <v>11</v>
      </c>
      <c r="E88" t="s">
        <v>202</v>
      </c>
      <c r="F88" t="s">
        <v>203</v>
      </c>
      <c r="G88" t="s">
        <v>204</v>
      </c>
      <c r="H88" t="s">
        <v>15</v>
      </c>
      <c r="I88" s="1">
        <v>39832.259027777778</v>
      </c>
      <c r="J88">
        <v>38.895000000000003</v>
      </c>
      <c r="K88">
        <v>-77.036670000000001</v>
      </c>
      <c r="L88">
        <v>20004</v>
      </c>
    </row>
    <row r="89" spans="1:12" x14ac:dyDescent="0.45">
      <c r="A89" s="1">
        <v>39818.817361111112</v>
      </c>
      <c r="B89" t="s">
        <v>10</v>
      </c>
      <c r="C89">
        <v>1200</v>
      </c>
      <c r="D89" t="s">
        <v>63</v>
      </c>
      <c r="E89" t="s">
        <v>205</v>
      </c>
      <c r="F89" t="s">
        <v>203</v>
      </c>
      <c r="G89" t="s">
        <v>204</v>
      </c>
      <c r="H89" t="s">
        <v>15</v>
      </c>
      <c r="I89" s="1">
        <v>39832.320833333331</v>
      </c>
      <c r="J89">
        <v>38.895000000000003</v>
      </c>
      <c r="K89">
        <v>-77.036670000000001</v>
      </c>
      <c r="L89">
        <v>20004</v>
      </c>
    </row>
    <row r="90" spans="1:12" x14ac:dyDescent="0.45">
      <c r="A90" s="1">
        <v>39827.76458333333</v>
      </c>
      <c r="B90" t="s">
        <v>10</v>
      </c>
      <c r="C90">
        <v>1200</v>
      </c>
      <c r="D90" t="s">
        <v>11</v>
      </c>
      <c r="E90" t="s">
        <v>206</v>
      </c>
      <c r="F90" t="s">
        <v>207</v>
      </c>
      <c r="G90" t="s">
        <v>78</v>
      </c>
      <c r="H90" t="s">
        <v>15</v>
      </c>
      <c r="I90" s="1">
        <v>39832.472916666666</v>
      </c>
      <c r="J90">
        <v>33.960830000000001</v>
      </c>
      <c r="K90">
        <v>-83.378060000000005</v>
      </c>
      <c r="L90">
        <v>30601</v>
      </c>
    </row>
    <row r="91" spans="1:12" x14ac:dyDescent="0.45">
      <c r="A91" s="1">
        <v>39824.792361111111</v>
      </c>
      <c r="B91" t="s">
        <v>10</v>
      </c>
      <c r="C91">
        <v>1200</v>
      </c>
      <c r="D91" t="s">
        <v>11</v>
      </c>
      <c r="E91" t="s">
        <v>208</v>
      </c>
      <c r="F91" t="s">
        <v>209</v>
      </c>
      <c r="G91" t="s">
        <v>78</v>
      </c>
      <c r="H91" t="s">
        <v>15</v>
      </c>
      <c r="I91" s="1">
        <v>39832.532638888886</v>
      </c>
      <c r="J91">
        <v>34.09639</v>
      </c>
      <c r="K91">
        <v>-83.761390000000006</v>
      </c>
      <c r="L91">
        <v>30548</v>
      </c>
    </row>
    <row r="92" spans="1:12" x14ac:dyDescent="0.45">
      <c r="A92" s="1">
        <v>39828.338194444441</v>
      </c>
      <c r="B92" t="s">
        <v>10</v>
      </c>
      <c r="C92">
        <v>1200</v>
      </c>
      <c r="D92" t="s">
        <v>11</v>
      </c>
      <c r="E92" t="s">
        <v>210</v>
      </c>
      <c r="F92" t="s">
        <v>211</v>
      </c>
      <c r="G92" t="s">
        <v>113</v>
      </c>
      <c r="H92" t="s">
        <v>15</v>
      </c>
      <c r="I92" s="1">
        <v>39832.624305555553</v>
      </c>
      <c r="J92">
        <v>42.489440000000002</v>
      </c>
      <c r="K92">
        <v>-83.144720000000007</v>
      </c>
      <c r="L92">
        <v>48067</v>
      </c>
    </row>
    <row r="93" spans="1:12" x14ac:dyDescent="0.45">
      <c r="A93" s="1">
        <v>39828.340277777781</v>
      </c>
      <c r="B93" t="s">
        <v>10</v>
      </c>
      <c r="C93">
        <v>1200</v>
      </c>
      <c r="D93" t="s">
        <v>11</v>
      </c>
      <c r="E93" t="s">
        <v>212</v>
      </c>
      <c r="F93" t="s">
        <v>211</v>
      </c>
      <c r="G93" t="s">
        <v>113</v>
      </c>
      <c r="H93" t="s">
        <v>15</v>
      </c>
      <c r="I93" s="1">
        <v>39832.624305555553</v>
      </c>
      <c r="J93">
        <v>42.489440000000002</v>
      </c>
      <c r="K93">
        <v>-83.144720000000007</v>
      </c>
      <c r="L93">
        <v>48067</v>
      </c>
    </row>
    <row r="94" spans="1:12" x14ac:dyDescent="0.45">
      <c r="A94" s="1">
        <v>39815.739583333336</v>
      </c>
      <c r="B94" t="s">
        <v>10</v>
      </c>
      <c r="C94">
        <v>1200</v>
      </c>
      <c r="D94" t="s">
        <v>16</v>
      </c>
      <c r="E94" t="s">
        <v>213</v>
      </c>
      <c r="F94" t="s">
        <v>214</v>
      </c>
      <c r="G94" t="s">
        <v>215</v>
      </c>
      <c r="H94" t="s">
        <v>15</v>
      </c>
      <c r="I94" s="1">
        <v>39832.65</v>
      </c>
      <c r="J94">
        <v>42.395829999999997</v>
      </c>
      <c r="K94">
        <v>-71.179169999999999</v>
      </c>
      <c r="L94">
        <v>2478</v>
      </c>
    </row>
    <row r="95" spans="1:12" x14ac:dyDescent="0.45">
      <c r="A95" s="1">
        <v>39832.673611111109</v>
      </c>
      <c r="B95" t="s">
        <v>10</v>
      </c>
      <c r="C95">
        <v>1200</v>
      </c>
      <c r="D95" t="s">
        <v>16</v>
      </c>
      <c r="E95" t="s">
        <v>216</v>
      </c>
      <c r="F95" t="s">
        <v>217</v>
      </c>
      <c r="G95" t="s">
        <v>218</v>
      </c>
      <c r="H95" t="s">
        <v>15</v>
      </c>
      <c r="I95" s="1">
        <v>39832.666666666664</v>
      </c>
      <c r="J95">
        <v>41.022779999999997</v>
      </c>
      <c r="K95">
        <v>-73.565280000000001</v>
      </c>
      <c r="L95">
        <v>6870</v>
      </c>
    </row>
    <row r="96" spans="1:12" x14ac:dyDescent="0.45">
      <c r="A96" s="1">
        <v>39832.704861111109</v>
      </c>
      <c r="B96" t="s">
        <v>10</v>
      </c>
      <c r="C96">
        <v>1200</v>
      </c>
      <c r="D96" t="s">
        <v>16</v>
      </c>
      <c r="E96" t="s">
        <v>219</v>
      </c>
      <c r="F96" t="s">
        <v>220</v>
      </c>
      <c r="G96" t="s">
        <v>60</v>
      </c>
      <c r="H96" t="s">
        <v>15</v>
      </c>
      <c r="I96" s="1">
        <v>39832.679166666669</v>
      </c>
      <c r="J96">
        <v>25.712219999999999</v>
      </c>
      <c r="K96">
        <v>-80.257220000000004</v>
      </c>
      <c r="L96">
        <v>33133</v>
      </c>
    </row>
    <row r="97" spans="1:12" x14ac:dyDescent="0.45">
      <c r="A97" s="1">
        <v>39823.736805555556</v>
      </c>
      <c r="B97" t="s">
        <v>10</v>
      </c>
      <c r="C97">
        <v>1200</v>
      </c>
      <c r="D97" t="s">
        <v>11</v>
      </c>
      <c r="E97" t="s">
        <v>221</v>
      </c>
      <c r="F97" t="s">
        <v>222</v>
      </c>
      <c r="G97" t="s">
        <v>66</v>
      </c>
      <c r="H97" t="s">
        <v>15</v>
      </c>
      <c r="I97" s="1">
        <v>39832.744444444441</v>
      </c>
      <c r="J97">
        <v>38.901110000000003</v>
      </c>
      <c r="K97">
        <v>-77.265559999999994</v>
      </c>
      <c r="L97">
        <v>22180</v>
      </c>
    </row>
    <row r="98" spans="1:12" x14ac:dyDescent="0.45">
      <c r="A98" s="1">
        <v>39831.575694444444</v>
      </c>
      <c r="B98" t="s">
        <v>20</v>
      </c>
      <c r="C98">
        <v>3600</v>
      </c>
      <c r="D98" t="s">
        <v>11</v>
      </c>
      <c r="E98" t="s">
        <v>223</v>
      </c>
      <c r="F98" t="s">
        <v>224</v>
      </c>
      <c r="G98" t="s">
        <v>49</v>
      </c>
      <c r="H98" t="s">
        <v>15</v>
      </c>
      <c r="I98" s="1">
        <v>39832.754861111112</v>
      </c>
      <c r="J98">
        <v>37.78</v>
      </c>
      <c r="K98">
        <v>-121.97694</v>
      </c>
      <c r="L98">
        <v>94526</v>
      </c>
    </row>
    <row r="99" spans="1:12" x14ac:dyDescent="0.45">
      <c r="A99" s="1">
        <v>39828.240972222222</v>
      </c>
      <c r="B99" t="s">
        <v>10</v>
      </c>
      <c r="C99">
        <v>1200</v>
      </c>
      <c r="D99" t="s">
        <v>11</v>
      </c>
      <c r="E99" t="s">
        <v>225</v>
      </c>
      <c r="F99" t="s">
        <v>226</v>
      </c>
      <c r="G99" t="s">
        <v>66</v>
      </c>
      <c r="H99" t="s">
        <v>15</v>
      </c>
      <c r="I99" s="1">
        <v>39832.949999999997</v>
      </c>
      <c r="J99">
        <v>36.846670000000003</v>
      </c>
      <c r="K99">
        <v>-76.285560000000004</v>
      </c>
      <c r="L99">
        <v>23510</v>
      </c>
    </row>
    <row r="100" spans="1:12" x14ac:dyDescent="0.45">
      <c r="A100" s="1">
        <v>39832.962500000001</v>
      </c>
      <c r="B100" t="s">
        <v>10</v>
      </c>
      <c r="C100">
        <v>1200</v>
      </c>
      <c r="D100" t="s">
        <v>16</v>
      </c>
      <c r="E100" t="s">
        <v>227</v>
      </c>
      <c r="F100" t="s">
        <v>226</v>
      </c>
      <c r="G100" t="s">
        <v>66</v>
      </c>
      <c r="H100" t="s">
        <v>15</v>
      </c>
      <c r="I100" s="1">
        <v>39832.953472222223</v>
      </c>
      <c r="J100">
        <v>36.846670000000003</v>
      </c>
      <c r="K100">
        <v>-76.285560000000004</v>
      </c>
      <c r="L100">
        <v>23510</v>
      </c>
    </row>
    <row r="101" spans="1:12" x14ac:dyDescent="0.45">
      <c r="A101" s="1">
        <v>39816.452777777777</v>
      </c>
      <c r="B101" t="s">
        <v>10</v>
      </c>
      <c r="C101">
        <v>1200</v>
      </c>
      <c r="D101" t="s">
        <v>11</v>
      </c>
      <c r="E101" t="s">
        <v>228</v>
      </c>
      <c r="F101" t="s">
        <v>229</v>
      </c>
      <c r="G101" t="s">
        <v>104</v>
      </c>
      <c r="H101" t="s">
        <v>15</v>
      </c>
      <c r="I101" s="1">
        <v>39833.282638888886</v>
      </c>
      <c r="J101">
        <v>39.018059999999998</v>
      </c>
      <c r="K101">
        <v>-77.208889999999997</v>
      </c>
      <c r="L101">
        <v>20854</v>
      </c>
    </row>
    <row r="102" spans="1:12" x14ac:dyDescent="0.45">
      <c r="A102" s="1">
        <v>39833.224999999999</v>
      </c>
      <c r="B102" t="s">
        <v>230</v>
      </c>
      <c r="C102">
        <v>7500</v>
      </c>
      <c r="D102" t="s">
        <v>16</v>
      </c>
      <c r="E102" t="s">
        <v>231</v>
      </c>
      <c r="F102" t="s">
        <v>232</v>
      </c>
      <c r="G102" t="s">
        <v>233</v>
      </c>
      <c r="H102" t="s">
        <v>15</v>
      </c>
      <c r="I102" s="1">
        <v>39833.302083333336</v>
      </c>
      <c r="J102">
        <v>32.524999999999999</v>
      </c>
      <c r="K102">
        <v>-93.75</v>
      </c>
      <c r="L102">
        <v>71107</v>
      </c>
    </row>
    <row r="103" spans="1:12" x14ac:dyDescent="0.45">
      <c r="A103" s="1">
        <v>39833.252083333333</v>
      </c>
      <c r="B103" t="s">
        <v>10</v>
      </c>
      <c r="C103">
        <v>1200</v>
      </c>
      <c r="D103" t="s">
        <v>16</v>
      </c>
      <c r="E103" t="s">
        <v>234</v>
      </c>
      <c r="F103" t="s">
        <v>232</v>
      </c>
      <c r="G103" t="s">
        <v>233</v>
      </c>
      <c r="H103" t="s">
        <v>15</v>
      </c>
      <c r="I103" s="1">
        <v>39833.302083333336</v>
      </c>
      <c r="J103">
        <v>32.524999999999999</v>
      </c>
      <c r="K103">
        <v>-93.75</v>
      </c>
      <c r="L103">
        <v>71107</v>
      </c>
    </row>
    <row r="104" spans="1:12" x14ac:dyDescent="0.45">
      <c r="A104" s="1">
        <v>39823.484027777777</v>
      </c>
      <c r="B104" t="s">
        <v>10</v>
      </c>
      <c r="C104">
        <v>1200</v>
      </c>
      <c r="D104" t="s">
        <v>63</v>
      </c>
      <c r="E104" t="s">
        <v>235</v>
      </c>
      <c r="F104" t="s">
        <v>236</v>
      </c>
      <c r="G104" t="s">
        <v>26</v>
      </c>
      <c r="H104" t="s">
        <v>15</v>
      </c>
      <c r="I104" s="1">
        <v>39833.320833333331</v>
      </c>
      <c r="J104">
        <v>40.336669999999998</v>
      </c>
      <c r="K104">
        <v>-74.047499999999999</v>
      </c>
      <c r="L104">
        <v>7739</v>
      </c>
    </row>
    <row r="105" spans="1:12" x14ac:dyDescent="0.45">
      <c r="A105" s="1">
        <v>39832.688888888886</v>
      </c>
      <c r="B105" t="s">
        <v>10</v>
      </c>
      <c r="C105">
        <v>1200</v>
      </c>
      <c r="D105" t="s">
        <v>63</v>
      </c>
      <c r="E105" t="s">
        <v>237</v>
      </c>
      <c r="F105" t="s">
        <v>238</v>
      </c>
      <c r="G105" t="s">
        <v>239</v>
      </c>
      <c r="H105" t="s">
        <v>15</v>
      </c>
      <c r="I105" s="1">
        <v>39833.42291666667</v>
      </c>
      <c r="J105">
        <v>39.952219999999997</v>
      </c>
      <c r="K105">
        <v>-75.164169999999999</v>
      </c>
      <c r="L105">
        <v>19107</v>
      </c>
    </row>
    <row r="106" spans="1:12" x14ac:dyDescent="0.45">
      <c r="A106" s="1">
        <v>39831.445833333331</v>
      </c>
      <c r="B106" t="s">
        <v>10</v>
      </c>
      <c r="C106">
        <v>1200</v>
      </c>
      <c r="D106" t="s">
        <v>11</v>
      </c>
      <c r="E106" t="s">
        <v>240</v>
      </c>
      <c r="F106" t="s">
        <v>241</v>
      </c>
      <c r="G106" t="s">
        <v>78</v>
      </c>
      <c r="H106" t="s">
        <v>15</v>
      </c>
      <c r="I106" s="1">
        <v>39833.464583333334</v>
      </c>
      <c r="J106">
        <v>33.748890000000003</v>
      </c>
      <c r="K106">
        <v>-84.388059999999996</v>
      </c>
      <c r="L106">
        <v>30334</v>
      </c>
    </row>
    <row r="107" spans="1:12" x14ac:dyDescent="0.45">
      <c r="A107" s="1">
        <v>39833.523611111108</v>
      </c>
      <c r="B107" t="s">
        <v>10</v>
      </c>
      <c r="C107">
        <v>1200</v>
      </c>
      <c r="D107" t="s">
        <v>16</v>
      </c>
      <c r="E107" t="s">
        <v>242</v>
      </c>
      <c r="F107" t="s">
        <v>243</v>
      </c>
      <c r="G107" t="s">
        <v>35</v>
      </c>
      <c r="H107" t="s">
        <v>15</v>
      </c>
      <c r="I107" s="1">
        <v>39833.538194444445</v>
      </c>
      <c r="J107">
        <v>40.714170000000003</v>
      </c>
      <c r="K107">
        <v>-74.006389999999996</v>
      </c>
      <c r="L107">
        <v>10007</v>
      </c>
    </row>
    <row r="108" spans="1:12" x14ac:dyDescent="0.45">
      <c r="A108" s="1">
        <v>39828.476388888892</v>
      </c>
      <c r="B108" t="s">
        <v>10</v>
      </c>
      <c r="C108">
        <v>1200</v>
      </c>
      <c r="D108" t="s">
        <v>11</v>
      </c>
      <c r="E108" t="s">
        <v>81</v>
      </c>
      <c r="F108" t="s">
        <v>244</v>
      </c>
      <c r="G108" t="s">
        <v>215</v>
      </c>
      <c r="H108" t="s">
        <v>15</v>
      </c>
      <c r="I108" s="1">
        <v>39833.584027777775</v>
      </c>
      <c r="J108">
        <v>42.331670000000003</v>
      </c>
      <c r="K108">
        <v>-71.121669999999995</v>
      </c>
      <c r="L108">
        <v>2445</v>
      </c>
    </row>
    <row r="109" spans="1:12" x14ac:dyDescent="0.45">
      <c r="A109" s="1">
        <v>39825.824305555558</v>
      </c>
      <c r="B109" t="s">
        <v>10</v>
      </c>
      <c r="C109">
        <v>1200</v>
      </c>
      <c r="D109" t="s">
        <v>16</v>
      </c>
      <c r="E109" t="s">
        <v>245</v>
      </c>
      <c r="F109" t="s">
        <v>246</v>
      </c>
      <c r="G109" t="s">
        <v>38</v>
      </c>
      <c r="H109" t="s">
        <v>15</v>
      </c>
      <c r="I109" s="1">
        <v>39833.751388888886</v>
      </c>
      <c r="J109">
        <v>32.813890000000001</v>
      </c>
      <c r="K109">
        <v>-96.948610000000002</v>
      </c>
      <c r="L109">
        <v>75060</v>
      </c>
    </row>
    <row r="110" spans="1:12" x14ac:dyDescent="0.45">
      <c r="A110" s="1">
        <v>39817.805555555555</v>
      </c>
      <c r="B110" t="s">
        <v>10</v>
      </c>
      <c r="C110">
        <v>1200</v>
      </c>
      <c r="D110" t="s">
        <v>63</v>
      </c>
      <c r="E110" t="s">
        <v>247</v>
      </c>
      <c r="F110" t="s">
        <v>248</v>
      </c>
      <c r="G110" t="s">
        <v>98</v>
      </c>
      <c r="H110" t="s">
        <v>15</v>
      </c>
      <c r="I110" s="1">
        <v>39833.752083333333</v>
      </c>
      <c r="J110">
        <v>41.664169999999999</v>
      </c>
      <c r="K110">
        <v>-83.643330000000006</v>
      </c>
      <c r="L110">
        <v>43606</v>
      </c>
    </row>
    <row r="111" spans="1:12" x14ac:dyDescent="0.45">
      <c r="A111" s="1">
        <v>39823.356249999997</v>
      </c>
      <c r="B111" t="s">
        <v>20</v>
      </c>
      <c r="C111">
        <v>3600</v>
      </c>
      <c r="D111" t="s">
        <v>16</v>
      </c>
      <c r="E111" t="s">
        <v>249</v>
      </c>
      <c r="F111" t="s">
        <v>250</v>
      </c>
      <c r="G111" t="s">
        <v>49</v>
      </c>
      <c r="H111" t="s">
        <v>15</v>
      </c>
      <c r="I111" s="1">
        <v>39833.92083333333</v>
      </c>
      <c r="J111">
        <v>37.384169999999997</v>
      </c>
      <c r="K111">
        <v>-122.23417000000001</v>
      </c>
      <c r="L111">
        <v>94028</v>
      </c>
    </row>
    <row r="112" spans="1:12" x14ac:dyDescent="0.45">
      <c r="A112" s="1">
        <v>39829.111805555556</v>
      </c>
      <c r="B112" t="s">
        <v>230</v>
      </c>
      <c r="C112">
        <v>7500</v>
      </c>
      <c r="D112" t="s">
        <v>11</v>
      </c>
      <c r="E112" t="s">
        <v>251</v>
      </c>
      <c r="F112" t="s">
        <v>252</v>
      </c>
      <c r="G112" t="s">
        <v>46</v>
      </c>
      <c r="H112" t="s">
        <v>15</v>
      </c>
      <c r="I112" s="1">
        <v>39834.043055555558</v>
      </c>
      <c r="J112">
        <v>40.659999999999997</v>
      </c>
      <c r="K112">
        <v>-111.99556</v>
      </c>
      <c r="L112">
        <v>84118</v>
      </c>
    </row>
    <row r="113" spans="1:12" x14ac:dyDescent="0.45">
      <c r="A113" s="1">
        <v>39833.340277777781</v>
      </c>
      <c r="B113" t="s">
        <v>10</v>
      </c>
      <c r="C113">
        <v>1200</v>
      </c>
      <c r="D113" t="s">
        <v>63</v>
      </c>
      <c r="E113" t="s">
        <v>253</v>
      </c>
      <c r="F113" t="s">
        <v>62</v>
      </c>
      <c r="G113" t="s">
        <v>35</v>
      </c>
      <c r="H113" t="s">
        <v>15</v>
      </c>
      <c r="I113" s="1">
        <v>39834.219444444447</v>
      </c>
      <c r="J113">
        <v>40.65</v>
      </c>
      <c r="K113">
        <v>-73.95</v>
      </c>
      <c r="L113">
        <v>11226</v>
      </c>
    </row>
    <row r="114" spans="1:12" x14ac:dyDescent="0.45">
      <c r="A114" s="1">
        <v>39819.53125</v>
      </c>
      <c r="B114" t="s">
        <v>230</v>
      </c>
      <c r="C114">
        <v>3600</v>
      </c>
      <c r="D114" t="s">
        <v>63</v>
      </c>
      <c r="E114" t="s">
        <v>254</v>
      </c>
      <c r="F114" t="s">
        <v>255</v>
      </c>
      <c r="G114" t="s">
        <v>49</v>
      </c>
      <c r="H114" t="s">
        <v>15</v>
      </c>
      <c r="I114" s="1">
        <v>39834.470833333333</v>
      </c>
      <c r="J114">
        <v>38.299720000000001</v>
      </c>
      <c r="K114">
        <v>-122.66556</v>
      </c>
      <c r="L114">
        <v>94951</v>
      </c>
    </row>
    <row r="115" spans="1:12" x14ac:dyDescent="0.45">
      <c r="A115" s="1">
        <v>39823.342361111114</v>
      </c>
      <c r="B115" t="s">
        <v>10</v>
      </c>
      <c r="C115">
        <v>1200</v>
      </c>
      <c r="D115" t="s">
        <v>11</v>
      </c>
      <c r="E115" t="s">
        <v>256</v>
      </c>
      <c r="F115" t="s">
        <v>257</v>
      </c>
      <c r="G115" t="s">
        <v>29</v>
      </c>
      <c r="H115" t="s">
        <v>15</v>
      </c>
      <c r="I115" s="1">
        <v>39834.482638888891</v>
      </c>
      <c r="J115">
        <v>41.673609999999996</v>
      </c>
      <c r="K115">
        <v>-88.001670000000004</v>
      </c>
      <c r="L115">
        <v>60439</v>
      </c>
    </row>
    <row r="116" spans="1:12" x14ac:dyDescent="0.45">
      <c r="A116" s="1">
        <v>39820.59375</v>
      </c>
      <c r="B116" t="s">
        <v>10</v>
      </c>
      <c r="C116">
        <v>1200</v>
      </c>
      <c r="D116" t="s">
        <v>16</v>
      </c>
      <c r="E116" t="s">
        <v>258</v>
      </c>
      <c r="F116" t="s">
        <v>259</v>
      </c>
      <c r="G116" t="s">
        <v>49</v>
      </c>
      <c r="H116" t="s">
        <v>15</v>
      </c>
      <c r="I116" s="1">
        <v>39834.5</v>
      </c>
      <c r="J116">
        <v>37.507219999999997</v>
      </c>
      <c r="K116">
        <v>-122.25944</v>
      </c>
      <c r="L116">
        <v>94070</v>
      </c>
    </row>
    <row r="117" spans="1:12" x14ac:dyDescent="0.45">
      <c r="A117" s="1">
        <v>39821.643750000003</v>
      </c>
      <c r="B117" t="s">
        <v>10</v>
      </c>
      <c r="C117">
        <v>1200</v>
      </c>
      <c r="D117" t="s">
        <v>16</v>
      </c>
      <c r="E117" t="s">
        <v>260</v>
      </c>
      <c r="F117" t="s">
        <v>156</v>
      </c>
      <c r="G117" t="s">
        <v>29</v>
      </c>
      <c r="H117" t="s">
        <v>15</v>
      </c>
      <c r="I117" s="1">
        <v>39834.561111111114</v>
      </c>
      <c r="J117">
        <v>41.85</v>
      </c>
      <c r="K117">
        <v>-87.65</v>
      </c>
      <c r="L117">
        <v>60608</v>
      </c>
    </row>
    <row r="118" spans="1:12" x14ac:dyDescent="0.45">
      <c r="A118" s="1">
        <v>39834.587500000001</v>
      </c>
      <c r="B118" t="s">
        <v>10</v>
      </c>
      <c r="C118">
        <v>1200</v>
      </c>
      <c r="D118" t="s">
        <v>11</v>
      </c>
      <c r="E118" t="s">
        <v>36</v>
      </c>
      <c r="F118" t="s">
        <v>261</v>
      </c>
      <c r="G118" t="s">
        <v>35</v>
      </c>
      <c r="H118" t="s">
        <v>15</v>
      </c>
      <c r="I118" s="1">
        <v>39834.587500000001</v>
      </c>
      <c r="J118">
        <v>40.683610000000002</v>
      </c>
      <c r="K118">
        <v>-73.510559999999998</v>
      </c>
      <c r="L118">
        <v>11793</v>
      </c>
    </row>
    <row r="119" spans="1:12" x14ac:dyDescent="0.45">
      <c r="A119" s="1">
        <v>39832.796527777777</v>
      </c>
      <c r="B119" t="s">
        <v>10</v>
      </c>
      <c r="C119">
        <v>1200</v>
      </c>
      <c r="D119" t="s">
        <v>11</v>
      </c>
      <c r="E119" t="s">
        <v>262</v>
      </c>
      <c r="F119" t="s">
        <v>263</v>
      </c>
      <c r="G119" t="s">
        <v>78</v>
      </c>
      <c r="H119" t="s">
        <v>15</v>
      </c>
      <c r="I119" s="1">
        <v>39834.709722222222</v>
      </c>
      <c r="J119">
        <v>34.948889999999999</v>
      </c>
      <c r="K119">
        <v>-85.25694</v>
      </c>
      <c r="L119">
        <v>30742</v>
      </c>
    </row>
    <row r="120" spans="1:12" x14ac:dyDescent="0.45">
      <c r="A120" s="1">
        <v>39831.268750000003</v>
      </c>
      <c r="B120" t="s">
        <v>10</v>
      </c>
      <c r="C120">
        <v>1200</v>
      </c>
      <c r="D120" t="s">
        <v>16</v>
      </c>
      <c r="E120" t="s">
        <v>264</v>
      </c>
      <c r="F120" t="s">
        <v>265</v>
      </c>
      <c r="G120" t="s">
        <v>26</v>
      </c>
      <c r="H120" t="s">
        <v>15</v>
      </c>
      <c r="I120" s="1">
        <v>39834.715277777781</v>
      </c>
      <c r="J120">
        <v>39.241669999999999</v>
      </c>
      <c r="K120">
        <v>-74.815560000000005</v>
      </c>
      <c r="L120">
        <v>8270</v>
      </c>
    </row>
    <row r="121" spans="1:12" x14ac:dyDescent="0.45">
      <c r="A121" s="1">
        <v>39833.498611111114</v>
      </c>
      <c r="B121" t="s">
        <v>10</v>
      </c>
      <c r="C121">
        <v>1200</v>
      </c>
      <c r="D121" t="s">
        <v>16</v>
      </c>
      <c r="E121" t="s">
        <v>266</v>
      </c>
      <c r="F121" t="s">
        <v>267</v>
      </c>
      <c r="G121" t="s">
        <v>49</v>
      </c>
      <c r="H121" t="s">
        <v>15</v>
      </c>
      <c r="I121" s="1">
        <v>39834.725694444445</v>
      </c>
      <c r="J121">
        <v>32.857219999999998</v>
      </c>
      <c r="K121">
        <v>-116.92139</v>
      </c>
      <c r="L121">
        <v>92040</v>
      </c>
    </row>
    <row r="122" spans="1:12" x14ac:dyDescent="0.45">
      <c r="A122" s="1">
        <v>39833.688888888886</v>
      </c>
      <c r="B122" t="s">
        <v>10</v>
      </c>
      <c r="C122">
        <v>1200</v>
      </c>
      <c r="D122" t="s">
        <v>11</v>
      </c>
      <c r="E122" t="s">
        <v>268</v>
      </c>
      <c r="F122" t="s">
        <v>269</v>
      </c>
      <c r="G122" t="s">
        <v>60</v>
      </c>
      <c r="H122" t="s">
        <v>15</v>
      </c>
      <c r="I122" s="1">
        <v>39834.795138888891</v>
      </c>
      <c r="J122">
        <v>26.309719999999999</v>
      </c>
      <c r="K122">
        <v>-80.237499999999997</v>
      </c>
      <c r="L122">
        <v>33067</v>
      </c>
    </row>
    <row r="123" spans="1:12" x14ac:dyDescent="0.45">
      <c r="A123" s="1">
        <v>39814.29791666667</v>
      </c>
      <c r="B123" t="s">
        <v>10</v>
      </c>
      <c r="C123">
        <v>1200</v>
      </c>
      <c r="D123" t="s">
        <v>63</v>
      </c>
      <c r="E123" t="s">
        <v>270</v>
      </c>
      <c r="F123" t="s">
        <v>271</v>
      </c>
      <c r="G123" t="s">
        <v>60</v>
      </c>
      <c r="H123" t="s">
        <v>15</v>
      </c>
      <c r="I123" s="1">
        <v>39834.801388888889</v>
      </c>
      <c r="J123">
        <v>26.705279999999998</v>
      </c>
      <c r="K123">
        <v>-80.036670000000001</v>
      </c>
      <c r="L123">
        <v>33480</v>
      </c>
    </row>
    <row r="124" spans="1:12" x14ac:dyDescent="0.45">
      <c r="A124" s="1">
        <v>39834.621527777781</v>
      </c>
      <c r="B124" t="s">
        <v>10</v>
      </c>
      <c r="C124">
        <v>1200</v>
      </c>
      <c r="D124" t="s">
        <v>11</v>
      </c>
      <c r="E124" t="s">
        <v>272</v>
      </c>
      <c r="F124" t="s">
        <v>34</v>
      </c>
      <c r="G124" t="s">
        <v>35</v>
      </c>
      <c r="H124" t="s">
        <v>15</v>
      </c>
      <c r="I124" s="1">
        <v>39834.856944444444</v>
      </c>
      <c r="J124">
        <v>40.714170000000003</v>
      </c>
      <c r="K124">
        <v>-74.006389999999996</v>
      </c>
      <c r="L124">
        <v>10007</v>
      </c>
    </row>
    <row r="125" spans="1:12" x14ac:dyDescent="0.45">
      <c r="A125" s="1">
        <v>39820.936805555553</v>
      </c>
      <c r="B125" t="s">
        <v>10</v>
      </c>
      <c r="C125">
        <v>1200</v>
      </c>
      <c r="D125" t="s">
        <v>16</v>
      </c>
      <c r="E125" t="s">
        <v>273</v>
      </c>
      <c r="F125" t="s">
        <v>274</v>
      </c>
      <c r="G125" t="s">
        <v>275</v>
      </c>
      <c r="H125" t="s">
        <v>15</v>
      </c>
      <c r="I125" s="1">
        <v>39834.9375</v>
      </c>
      <c r="J125">
        <v>61.218060000000001</v>
      </c>
      <c r="K125">
        <v>-149.90028000000001</v>
      </c>
      <c r="L125">
        <v>99501</v>
      </c>
    </row>
    <row r="126" spans="1:12" x14ac:dyDescent="0.45">
      <c r="A126" s="1">
        <v>39831.701388888891</v>
      </c>
      <c r="B126" t="s">
        <v>10</v>
      </c>
      <c r="C126">
        <v>1200</v>
      </c>
      <c r="D126" t="s">
        <v>11</v>
      </c>
      <c r="E126" t="s">
        <v>276</v>
      </c>
      <c r="F126" t="s">
        <v>277</v>
      </c>
      <c r="G126" t="s">
        <v>26</v>
      </c>
      <c r="H126" t="s">
        <v>15</v>
      </c>
      <c r="I126" s="1">
        <v>39835.053472222222</v>
      </c>
      <c r="J126">
        <v>40.4497</v>
      </c>
      <c r="K126">
        <v>-74.481999999999999</v>
      </c>
      <c r="L126">
        <v>8902</v>
      </c>
    </row>
    <row r="127" spans="1:12" x14ac:dyDescent="0.45">
      <c r="A127" s="1">
        <v>39834.505555555559</v>
      </c>
      <c r="B127" t="s">
        <v>20</v>
      </c>
      <c r="C127">
        <v>3600</v>
      </c>
      <c r="D127" t="s">
        <v>11</v>
      </c>
      <c r="E127" t="s">
        <v>278</v>
      </c>
      <c r="F127" t="s">
        <v>279</v>
      </c>
      <c r="G127" t="s">
        <v>60</v>
      </c>
      <c r="H127" t="s">
        <v>15</v>
      </c>
      <c r="I127" s="1">
        <v>39835.259027777778</v>
      </c>
      <c r="J127">
        <v>30.331939999999999</v>
      </c>
      <c r="K127">
        <v>-81.655829999999995</v>
      </c>
      <c r="L127">
        <v>32202</v>
      </c>
    </row>
    <row r="128" spans="1:12" x14ac:dyDescent="0.45">
      <c r="A128" s="1">
        <v>39835.27847222222</v>
      </c>
      <c r="B128" t="s">
        <v>10</v>
      </c>
      <c r="C128">
        <v>1200</v>
      </c>
      <c r="D128" t="s">
        <v>11</v>
      </c>
      <c r="E128" t="s">
        <v>280</v>
      </c>
      <c r="F128" t="s">
        <v>281</v>
      </c>
      <c r="G128" t="s">
        <v>38</v>
      </c>
      <c r="H128" t="s">
        <v>15</v>
      </c>
      <c r="I128" s="1">
        <v>39835.287499999999</v>
      </c>
      <c r="J128">
        <v>29.735279999999999</v>
      </c>
      <c r="K128">
        <v>-94.977220000000003</v>
      </c>
      <c r="L128">
        <v>77520</v>
      </c>
    </row>
    <row r="129" spans="1:12" x14ac:dyDescent="0.45">
      <c r="A129" s="1">
        <v>39825.390972222223</v>
      </c>
      <c r="B129" t="s">
        <v>10</v>
      </c>
      <c r="C129">
        <v>1200</v>
      </c>
      <c r="D129" t="s">
        <v>16</v>
      </c>
      <c r="E129" t="s">
        <v>282</v>
      </c>
      <c r="F129" t="s">
        <v>283</v>
      </c>
      <c r="G129" t="s">
        <v>60</v>
      </c>
      <c r="H129" t="s">
        <v>15</v>
      </c>
      <c r="I129" s="1">
        <v>39835.332638888889</v>
      </c>
      <c r="J129">
        <v>28.021940000000001</v>
      </c>
      <c r="K129">
        <v>-81.733059999999995</v>
      </c>
      <c r="L129">
        <v>33880</v>
      </c>
    </row>
    <row r="130" spans="1:12" x14ac:dyDescent="0.45">
      <c r="A130" s="1">
        <v>39835.349305555559</v>
      </c>
      <c r="B130" t="s">
        <v>10</v>
      </c>
      <c r="C130">
        <v>1200</v>
      </c>
      <c r="D130" t="s">
        <v>11</v>
      </c>
      <c r="E130" t="s">
        <v>284</v>
      </c>
      <c r="F130" t="s">
        <v>285</v>
      </c>
      <c r="G130" t="s">
        <v>167</v>
      </c>
      <c r="H130" t="s">
        <v>15</v>
      </c>
      <c r="I130" s="1">
        <v>39835.343055555553</v>
      </c>
      <c r="J130">
        <v>47.65889</v>
      </c>
      <c r="K130">
        <v>-117.425</v>
      </c>
      <c r="L130">
        <v>99201</v>
      </c>
    </row>
    <row r="131" spans="1:12" x14ac:dyDescent="0.45">
      <c r="A131" s="1">
        <v>39833.368750000001</v>
      </c>
      <c r="B131" t="s">
        <v>10</v>
      </c>
      <c r="C131">
        <v>1200</v>
      </c>
      <c r="D131" t="s">
        <v>11</v>
      </c>
      <c r="E131" t="s">
        <v>76</v>
      </c>
      <c r="F131" t="s">
        <v>286</v>
      </c>
      <c r="G131" t="s">
        <v>215</v>
      </c>
      <c r="H131" t="s">
        <v>15</v>
      </c>
      <c r="I131" s="1">
        <v>39835.755555555559</v>
      </c>
      <c r="J131">
        <v>42.452219999999997</v>
      </c>
      <c r="K131">
        <v>-71.137500000000003</v>
      </c>
      <c r="L131">
        <v>1890</v>
      </c>
    </row>
    <row r="132" spans="1:12" x14ac:dyDescent="0.45">
      <c r="A132" s="1">
        <v>39819.356944444444</v>
      </c>
      <c r="B132" t="s">
        <v>10</v>
      </c>
      <c r="C132">
        <v>1200</v>
      </c>
      <c r="D132" t="s">
        <v>11</v>
      </c>
      <c r="E132" t="s">
        <v>287</v>
      </c>
      <c r="F132" t="s">
        <v>288</v>
      </c>
      <c r="G132" t="s">
        <v>38</v>
      </c>
      <c r="H132" t="s">
        <v>15</v>
      </c>
      <c r="I132" s="1">
        <v>39835.90347222222</v>
      </c>
      <c r="J132">
        <v>32.783329999999999</v>
      </c>
      <c r="K132">
        <v>-96.8</v>
      </c>
      <c r="L132">
        <v>75201</v>
      </c>
    </row>
    <row r="133" spans="1:12" x14ac:dyDescent="0.45">
      <c r="A133" s="1">
        <v>39836.147916666669</v>
      </c>
      <c r="B133" t="s">
        <v>20</v>
      </c>
      <c r="C133">
        <v>3600</v>
      </c>
      <c r="D133" t="s">
        <v>16</v>
      </c>
      <c r="E133" t="s">
        <v>289</v>
      </c>
      <c r="F133" t="s">
        <v>192</v>
      </c>
      <c r="G133" t="s">
        <v>193</v>
      </c>
      <c r="H133" t="s">
        <v>15</v>
      </c>
      <c r="I133" s="1">
        <v>39836.125</v>
      </c>
      <c r="J133">
        <v>44.94444</v>
      </c>
      <c r="K133">
        <v>-93.093059999999994</v>
      </c>
      <c r="L133">
        <v>55101</v>
      </c>
    </row>
    <row r="134" spans="1:12" x14ac:dyDescent="0.45">
      <c r="A134" s="1">
        <v>39834.59375</v>
      </c>
      <c r="B134" t="s">
        <v>10</v>
      </c>
      <c r="C134">
        <v>1200</v>
      </c>
      <c r="D134" t="s">
        <v>63</v>
      </c>
      <c r="E134" t="s">
        <v>290</v>
      </c>
      <c r="F134" t="s">
        <v>291</v>
      </c>
      <c r="G134" t="s">
        <v>292</v>
      </c>
      <c r="H134" t="s">
        <v>15</v>
      </c>
      <c r="I134" s="1">
        <v>39836.440972222219</v>
      </c>
      <c r="J134">
        <v>39.247500000000002</v>
      </c>
      <c r="K134">
        <v>-114.88778000000001</v>
      </c>
      <c r="L134">
        <v>89301</v>
      </c>
    </row>
    <row r="135" spans="1:12" x14ac:dyDescent="0.45">
      <c r="A135" s="1">
        <v>39834.277083333334</v>
      </c>
      <c r="B135" t="s">
        <v>10</v>
      </c>
      <c r="C135">
        <v>1200</v>
      </c>
      <c r="D135" t="s">
        <v>63</v>
      </c>
      <c r="E135" t="s">
        <v>293</v>
      </c>
      <c r="F135" t="s">
        <v>226</v>
      </c>
      <c r="G135" t="s">
        <v>66</v>
      </c>
      <c r="H135" t="s">
        <v>15</v>
      </c>
      <c r="I135" s="1">
        <v>39836.533333333333</v>
      </c>
      <c r="J135">
        <v>36.846670000000003</v>
      </c>
      <c r="K135">
        <v>-76.285560000000004</v>
      </c>
      <c r="L135">
        <v>23510</v>
      </c>
    </row>
    <row r="136" spans="1:12" x14ac:dyDescent="0.45">
      <c r="A136" s="1">
        <v>39832.343055555553</v>
      </c>
      <c r="B136" t="s">
        <v>10</v>
      </c>
      <c r="C136">
        <v>1200</v>
      </c>
      <c r="D136" t="s">
        <v>11</v>
      </c>
      <c r="E136" t="s">
        <v>294</v>
      </c>
      <c r="F136" t="s">
        <v>71</v>
      </c>
      <c r="G136" t="s">
        <v>38</v>
      </c>
      <c r="H136" t="s">
        <v>15</v>
      </c>
      <c r="I136" s="1">
        <v>39836.536111111112</v>
      </c>
      <c r="J136">
        <v>29.763059999999999</v>
      </c>
      <c r="K136">
        <v>-95.363060000000004</v>
      </c>
      <c r="L136">
        <v>77002</v>
      </c>
    </row>
    <row r="137" spans="1:12" x14ac:dyDescent="0.45">
      <c r="A137" s="1">
        <v>39835.982638888891</v>
      </c>
      <c r="B137" t="s">
        <v>10</v>
      </c>
      <c r="C137">
        <v>1200</v>
      </c>
      <c r="D137" t="s">
        <v>16</v>
      </c>
      <c r="E137" t="s">
        <v>295</v>
      </c>
      <c r="F137" t="s">
        <v>296</v>
      </c>
      <c r="G137" t="s">
        <v>29</v>
      </c>
      <c r="H137" t="s">
        <v>15</v>
      </c>
      <c r="I137" s="1">
        <v>39836.920138888891</v>
      </c>
      <c r="J137">
        <v>41.981110000000001</v>
      </c>
      <c r="K137">
        <v>-89.594999999999999</v>
      </c>
      <c r="L137">
        <v>61064</v>
      </c>
    </row>
    <row r="138" spans="1:12" x14ac:dyDescent="0.45">
      <c r="A138" s="1">
        <v>39834.332638888889</v>
      </c>
      <c r="B138" t="s">
        <v>10</v>
      </c>
      <c r="C138">
        <v>1200</v>
      </c>
      <c r="D138" t="s">
        <v>11</v>
      </c>
      <c r="E138" t="s">
        <v>297</v>
      </c>
      <c r="F138" t="s">
        <v>298</v>
      </c>
      <c r="G138" t="s">
        <v>239</v>
      </c>
      <c r="H138" t="s">
        <v>15</v>
      </c>
      <c r="I138" s="1">
        <v>39837.250694444447</v>
      </c>
      <c r="J138">
        <v>39.896940000000001</v>
      </c>
      <c r="K138">
        <v>-76.163889999999995</v>
      </c>
      <c r="L138">
        <v>17566</v>
      </c>
    </row>
    <row r="139" spans="1:12" x14ac:dyDescent="0.45">
      <c r="A139" s="1">
        <v>39836.317361111112</v>
      </c>
      <c r="B139" t="s">
        <v>230</v>
      </c>
      <c r="C139">
        <v>3600</v>
      </c>
      <c r="D139" t="s">
        <v>63</v>
      </c>
      <c r="E139" t="s">
        <v>299</v>
      </c>
      <c r="F139" t="s">
        <v>59</v>
      </c>
      <c r="G139" t="s">
        <v>60</v>
      </c>
      <c r="H139" t="s">
        <v>15</v>
      </c>
      <c r="I139" s="1">
        <v>39837.287499999999</v>
      </c>
      <c r="J139">
        <v>25.773890000000002</v>
      </c>
      <c r="K139">
        <v>-80.193889999999996</v>
      </c>
      <c r="L139">
        <v>33130</v>
      </c>
    </row>
    <row r="140" spans="1:12" x14ac:dyDescent="0.45">
      <c r="A140" s="1">
        <v>39831.61041666667</v>
      </c>
      <c r="B140" t="s">
        <v>10</v>
      </c>
      <c r="C140">
        <v>1200</v>
      </c>
      <c r="D140" t="s">
        <v>11</v>
      </c>
      <c r="E140" t="s">
        <v>300</v>
      </c>
      <c r="F140" t="s">
        <v>301</v>
      </c>
      <c r="G140" t="s">
        <v>104</v>
      </c>
      <c r="H140" t="s">
        <v>15</v>
      </c>
      <c r="I140" s="1">
        <v>39837.313194444447</v>
      </c>
      <c r="J140">
        <v>38.990560000000002</v>
      </c>
      <c r="K140">
        <v>-77.026390000000006</v>
      </c>
      <c r="L140">
        <v>20910</v>
      </c>
    </row>
    <row r="141" spans="1:12" x14ac:dyDescent="0.45">
      <c r="A141" s="1">
        <v>39830.307638888888</v>
      </c>
      <c r="B141" t="s">
        <v>10</v>
      </c>
      <c r="C141">
        <v>1200</v>
      </c>
      <c r="D141" t="s">
        <v>11</v>
      </c>
      <c r="E141" t="s">
        <v>302</v>
      </c>
      <c r="F141" t="s">
        <v>303</v>
      </c>
      <c r="G141" t="s">
        <v>19</v>
      </c>
      <c r="H141" t="s">
        <v>15</v>
      </c>
      <c r="I141" s="1">
        <v>39837.370833333334</v>
      </c>
      <c r="J141">
        <v>45.523609999999998</v>
      </c>
      <c r="K141">
        <v>-122.675</v>
      </c>
      <c r="L141">
        <v>97209</v>
      </c>
    </row>
    <row r="142" spans="1:12" x14ac:dyDescent="0.45">
      <c r="A142" s="1">
        <v>39836.484027777777</v>
      </c>
      <c r="B142" t="s">
        <v>10</v>
      </c>
      <c r="C142">
        <v>1200</v>
      </c>
      <c r="D142" t="s">
        <v>11</v>
      </c>
      <c r="E142" t="s">
        <v>304</v>
      </c>
      <c r="F142" t="s">
        <v>110</v>
      </c>
      <c r="G142" t="s">
        <v>35</v>
      </c>
      <c r="H142" t="s">
        <v>15</v>
      </c>
      <c r="I142" s="1">
        <v>39837.374305555553</v>
      </c>
      <c r="J142">
        <v>40.564720000000001</v>
      </c>
      <c r="K142">
        <v>-74.127499999999998</v>
      </c>
      <c r="L142">
        <v>10306</v>
      </c>
    </row>
    <row r="143" spans="1:12" x14ac:dyDescent="0.45">
      <c r="A143" s="1">
        <v>39832.626388888886</v>
      </c>
      <c r="B143" t="s">
        <v>10</v>
      </c>
      <c r="C143">
        <v>1200</v>
      </c>
      <c r="D143" t="s">
        <v>16</v>
      </c>
      <c r="E143" t="s">
        <v>305</v>
      </c>
      <c r="F143" t="s">
        <v>306</v>
      </c>
      <c r="G143" t="s">
        <v>38</v>
      </c>
      <c r="H143" t="s">
        <v>15</v>
      </c>
      <c r="I143" s="1">
        <v>39837.43472222222</v>
      </c>
      <c r="J143">
        <v>29.42389</v>
      </c>
      <c r="K143">
        <v>-98.49333</v>
      </c>
      <c r="L143">
        <v>78205</v>
      </c>
    </row>
    <row r="144" spans="1:12" x14ac:dyDescent="0.45">
      <c r="A144" s="1">
        <v>39820.793749999997</v>
      </c>
      <c r="B144" t="s">
        <v>20</v>
      </c>
      <c r="C144">
        <v>3600</v>
      </c>
      <c r="D144" t="s">
        <v>16</v>
      </c>
      <c r="E144" t="s">
        <v>307</v>
      </c>
      <c r="F144" t="s">
        <v>129</v>
      </c>
      <c r="G144" t="s">
        <v>130</v>
      </c>
      <c r="H144" t="s">
        <v>15</v>
      </c>
      <c r="I144" s="1">
        <v>39837.804861111108</v>
      </c>
      <c r="J144">
        <v>39.647779999999997</v>
      </c>
      <c r="K144">
        <v>-104.98721999999999</v>
      </c>
      <c r="L144">
        <v>80113</v>
      </c>
    </row>
    <row r="145" spans="1:12" x14ac:dyDescent="0.45">
      <c r="A145" s="1">
        <v>39830.584722222222</v>
      </c>
      <c r="B145" t="s">
        <v>10</v>
      </c>
      <c r="C145">
        <v>1200</v>
      </c>
      <c r="D145" t="s">
        <v>11</v>
      </c>
      <c r="E145" t="s">
        <v>308</v>
      </c>
      <c r="F145" t="s">
        <v>306</v>
      </c>
      <c r="G145" t="s">
        <v>38</v>
      </c>
      <c r="H145" t="s">
        <v>15</v>
      </c>
      <c r="I145" s="1">
        <v>39837.895138888889</v>
      </c>
      <c r="J145">
        <v>29.42389</v>
      </c>
      <c r="K145">
        <v>-98.49333</v>
      </c>
      <c r="L145">
        <v>78205</v>
      </c>
    </row>
    <row r="146" spans="1:12" x14ac:dyDescent="0.45">
      <c r="A146" s="1">
        <v>39838.006249999999</v>
      </c>
      <c r="B146" t="s">
        <v>10</v>
      </c>
      <c r="C146">
        <v>1200</v>
      </c>
      <c r="D146" t="s">
        <v>11</v>
      </c>
      <c r="E146" t="s">
        <v>309</v>
      </c>
      <c r="F146" t="s">
        <v>310</v>
      </c>
      <c r="G146" t="s">
        <v>122</v>
      </c>
      <c r="H146" t="s">
        <v>15</v>
      </c>
      <c r="I146" s="1">
        <v>39838.008333333331</v>
      </c>
      <c r="J146">
        <v>22.223610000000001</v>
      </c>
      <c r="K146">
        <v>-159.48527999999999</v>
      </c>
      <c r="L146">
        <v>96722</v>
      </c>
    </row>
    <row r="147" spans="1:12" x14ac:dyDescent="0.45">
      <c r="A147" s="1">
        <v>39819.411111111112</v>
      </c>
      <c r="B147" t="s">
        <v>10</v>
      </c>
      <c r="C147">
        <v>1200</v>
      </c>
      <c r="D147" t="s">
        <v>16</v>
      </c>
      <c r="E147" t="s">
        <v>174</v>
      </c>
      <c r="F147" t="s">
        <v>176</v>
      </c>
      <c r="G147" t="s">
        <v>49</v>
      </c>
      <c r="H147" t="s">
        <v>15</v>
      </c>
      <c r="I147" s="1">
        <v>39838.429861111108</v>
      </c>
      <c r="J147">
        <v>37.885829999999999</v>
      </c>
      <c r="K147">
        <v>-122.11694</v>
      </c>
      <c r="L147">
        <v>94549</v>
      </c>
    </row>
    <row r="148" spans="1:12" x14ac:dyDescent="0.45">
      <c r="A148" s="1">
        <v>39826.620138888888</v>
      </c>
      <c r="B148" t="s">
        <v>10</v>
      </c>
      <c r="C148">
        <v>1200</v>
      </c>
      <c r="D148" t="s">
        <v>11</v>
      </c>
      <c r="E148" t="s">
        <v>311</v>
      </c>
      <c r="F148" t="s">
        <v>312</v>
      </c>
      <c r="G148" t="s">
        <v>35</v>
      </c>
      <c r="H148" t="s">
        <v>15</v>
      </c>
      <c r="I148" s="1">
        <v>39838.481249999997</v>
      </c>
      <c r="J148">
        <v>42.683610000000002</v>
      </c>
      <c r="K148">
        <v>-78.338059999999999</v>
      </c>
      <c r="L148">
        <v>14113</v>
      </c>
    </row>
    <row r="149" spans="1:12" x14ac:dyDescent="0.45">
      <c r="A149" s="1">
        <v>39819.692361111112</v>
      </c>
      <c r="B149" t="s">
        <v>10</v>
      </c>
      <c r="C149">
        <v>1200</v>
      </c>
      <c r="D149" t="s">
        <v>11</v>
      </c>
      <c r="E149" t="s">
        <v>313</v>
      </c>
      <c r="F149" t="s">
        <v>314</v>
      </c>
      <c r="G149" t="s">
        <v>38</v>
      </c>
      <c r="H149" t="s">
        <v>15</v>
      </c>
      <c r="I149" s="1">
        <v>39838.511805555558</v>
      </c>
      <c r="J149">
        <v>30.266940000000002</v>
      </c>
      <c r="K149">
        <v>-97.742779999999996</v>
      </c>
      <c r="L149">
        <v>78701</v>
      </c>
    </row>
    <row r="150" spans="1:12" x14ac:dyDescent="0.45">
      <c r="A150" s="1">
        <v>39831.722916666666</v>
      </c>
      <c r="B150" t="s">
        <v>10</v>
      </c>
      <c r="C150">
        <v>1200</v>
      </c>
      <c r="D150" t="s">
        <v>16</v>
      </c>
      <c r="E150" t="s">
        <v>315</v>
      </c>
      <c r="F150" t="s">
        <v>316</v>
      </c>
      <c r="G150" t="s">
        <v>26</v>
      </c>
      <c r="H150" t="s">
        <v>15</v>
      </c>
      <c r="I150" s="1">
        <v>39838.583333333336</v>
      </c>
      <c r="J150">
        <v>40.989170000000001</v>
      </c>
      <c r="K150">
        <v>-74.141109999999998</v>
      </c>
      <c r="L150">
        <v>7432</v>
      </c>
    </row>
    <row r="151" spans="1:12" x14ac:dyDescent="0.45">
      <c r="A151" s="1">
        <v>39826.637499999997</v>
      </c>
      <c r="B151" t="s">
        <v>10</v>
      </c>
      <c r="C151">
        <v>1200</v>
      </c>
      <c r="D151" t="s">
        <v>63</v>
      </c>
      <c r="E151" t="s">
        <v>317</v>
      </c>
      <c r="F151" t="s">
        <v>318</v>
      </c>
      <c r="G151" t="s">
        <v>35</v>
      </c>
      <c r="H151" t="s">
        <v>15</v>
      </c>
      <c r="I151" s="1">
        <v>39838.584027777775</v>
      </c>
      <c r="J151">
        <v>40.885280000000002</v>
      </c>
      <c r="K151">
        <v>-73.376670000000004</v>
      </c>
      <c r="L151">
        <v>11721</v>
      </c>
    </row>
    <row r="152" spans="1:12" x14ac:dyDescent="0.45">
      <c r="A152" s="1">
        <v>39831.54583333333</v>
      </c>
      <c r="B152" t="s">
        <v>10</v>
      </c>
      <c r="C152">
        <v>1200</v>
      </c>
      <c r="D152" t="s">
        <v>11</v>
      </c>
      <c r="E152" t="s">
        <v>319</v>
      </c>
      <c r="F152" t="s">
        <v>320</v>
      </c>
      <c r="G152" t="s">
        <v>193</v>
      </c>
      <c r="H152" t="s">
        <v>15</v>
      </c>
      <c r="I152" s="1">
        <v>39838.617361111108</v>
      </c>
      <c r="J152">
        <v>44.903329999999997</v>
      </c>
      <c r="K152">
        <v>-93.566109999999995</v>
      </c>
      <c r="L152">
        <v>55331</v>
      </c>
    </row>
    <row r="153" spans="1:12" x14ac:dyDescent="0.45">
      <c r="A153" s="1">
        <v>39835.780555555553</v>
      </c>
      <c r="B153" t="s">
        <v>10</v>
      </c>
      <c r="C153">
        <v>1200</v>
      </c>
      <c r="D153" t="s">
        <v>11</v>
      </c>
      <c r="E153" t="s">
        <v>105</v>
      </c>
      <c r="F153" t="s">
        <v>321</v>
      </c>
      <c r="G153" t="s">
        <v>38</v>
      </c>
      <c r="H153" t="s">
        <v>15</v>
      </c>
      <c r="I153" s="1">
        <v>39838.626388888886</v>
      </c>
      <c r="J153">
        <v>32.941110000000002</v>
      </c>
      <c r="K153">
        <v>-97.133889999999994</v>
      </c>
      <c r="L153">
        <v>76092</v>
      </c>
    </row>
    <row r="154" spans="1:12" x14ac:dyDescent="0.45">
      <c r="A154" s="1">
        <v>39821.373611111114</v>
      </c>
      <c r="B154" t="s">
        <v>10</v>
      </c>
      <c r="C154">
        <v>1200</v>
      </c>
      <c r="D154" t="s">
        <v>16</v>
      </c>
      <c r="E154" t="s">
        <v>322</v>
      </c>
      <c r="F154" t="s">
        <v>323</v>
      </c>
      <c r="G154" t="s">
        <v>35</v>
      </c>
      <c r="H154" t="s">
        <v>15</v>
      </c>
      <c r="I154" s="1">
        <v>39838.73541666667</v>
      </c>
      <c r="J154">
        <v>40.86806</v>
      </c>
      <c r="K154">
        <v>-73.426109999999994</v>
      </c>
      <c r="L154">
        <v>11743</v>
      </c>
    </row>
    <row r="155" spans="1:12" x14ac:dyDescent="0.45">
      <c r="A155" s="1">
        <v>39817.412499999999</v>
      </c>
      <c r="B155" t="s">
        <v>10</v>
      </c>
      <c r="C155">
        <v>1200</v>
      </c>
      <c r="D155" t="s">
        <v>16</v>
      </c>
      <c r="E155" t="s">
        <v>324</v>
      </c>
      <c r="F155" t="s">
        <v>325</v>
      </c>
      <c r="G155" t="s">
        <v>38</v>
      </c>
      <c r="H155" t="s">
        <v>15</v>
      </c>
      <c r="I155" s="1">
        <v>39838.765972222223</v>
      </c>
      <c r="J155">
        <v>30.157779999999999</v>
      </c>
      <c r="K155">
        <v>-95.489170000000001</v>
      </c>
      <c r="L155">
        <v>77381</v>
      </c>
    </row>
    <row r="156" spans="1:12" x14ac:dyDescent="0.45">
      <c r="A156" s="1">
        <v>39822.431944444441</v>
      </c>
      <c r="B156" t="s">
        <v>10</v>
      </c>
      <c r="C156">
        <v>1200</v>
      </c>
      <c r="D156" t="s">
        <v>16</v>
      </c>
      <c r="E156" t="s">
        <v>326</v>
      </c>
      <c r="F156" t="s">
        <v>327</v>
      </c>
      <c r="G156" t="s">
        <v>32</v>
      </c>
      <c r="H156" t="s">
        <v>15</v>
      </c>
      <c r="I156" s="1">
        <v>39838.815972222219</v>
      </c>
      <c r="J156">
        <v>36.470280000000002</v>
      </c>
      <c r="K156">
        <v>-86.651390000000006</v>
      </c>
      <c r="L156">
        <v>37188</v>
      </c>
    </row>
    <row r="157" spans="1:12" x14ac:dyDescent="0.45">
      <c r="A157" s="1">
        <v>39839.154861111114</v>
      </c>
      <c r="B157" t="s">
        <v>10</v>
      </c>
      <c r="C157">
        <v>1200</v>
      </c>
      <c r="D157" t="s">
        <v>16</v>
      </c>
      <c r="E157" t="s">
        <v>328</v>
      </c>
      <c r="F157" t="s">
        <v>329</v>
      </c>
      <c r="G157" t="s">
        <v>35</v>
      </c>
      <c r="H157" t="s">
        <v>15</v>
      </c>
      <c r="I157" s="1">
        <v>39839.131944444445</v>
      </c>
      <c r="J157">
        <v>41.372219999999999</v>
      </c>
      <c r="K157">
        <v>-73.733890000000002</v>
      </c>
      <c r="L157">
        <v>10541</v>
      </c>
    </row>
    <row r="158" spans="1:12" x14ac:dyDescent="0.45">
      <c r="A158" s="1">
        <v>39824.552777777775</v>
      </c>
      <c r="B158" t="s">
        <v>20</v>
      </c>
      <c r="C158">
        <v>3600</v>
      </c>
      <c r="D158" t="s">
        <v>11</v>
      </c>
      <c r="E158" t="s">
        <v>330</v>
      </c>
      <c r="F158" t="s">
        <v>331</v>
      </c>
      <c r="G158" t="s">
        <v>60</v>
      </c>
      <c r="H158" t="s">
        <v>15</v>
      </c>
      <c r="I158" s="1">
        <v>39839.154166666667</v>
      </c>
      <c r="J158">
        <v>26.121939999999999</v>
      </c>
      <c r="K158">
        <v>-80.143609999999995</v>
      </c>
      <c r="L158">
        <v>33301</v>
      </c>
    </row>
    <row r="159" spans="1:12" x14ac:dyDescent="0.45">
      <c r="A159" s="1">
        <v>39834.477777777778</v>
      </c>
      <c r="B159" t="s">
        <v>230</v>
      </c>
      <c r="C159">
        <v>800</v>
      </c>
      <c r="D159" t="s">
        <v>63</v>
      </c>
      <c r="E159" t="s">
        <v>332</v>
      </c>
      <c r="F159" t="s">
        <v>333</v>
      </c>
      <c r="G159" t="s">
        <v>66</v>
      </c>
      <c r="H159" t="s">
        <v>15</v>
      </c>
      <c r="I159" s="1">
        <v>39839.265972222223</v>
      </c>
      <c r="J159">
        <v>38.890279999999997</v>
      </c>
      <c r="K159">
        <v>-77.084440000000001</v>
      </c>
      <c r="L159">
        <v>22201</v>
      </c>
    </row>
    <row r="160" spans="1:12" x14ac:dyDescent="0.45">
      <c r="A160" s="1">
        <v>39839.1875</v>
      </c>
      <c r="B160" t="s">
        <v>10</v>
      </c>
      <c r="C160">
        <v>1200</v>
      </c>
      <c r="D160" t="s">
        <v>11</v>
      </c>
      <c r="E160" t="s">
        <v>334</v>
      </c>
      <c r="F160" t="s">
        <v>335</v>
      </c>
      <c r="G160" t="s">
        <v>336</v>
      </c>
      <c r="H160" t="s">
        <v>15</v>
      </c>
      <c r="I160" s="1">
        <v>39839.324999999997</v>
      </c>
      <c r="J160">
        <v>38.998060000000002</v>
      </c>
      <c r="K160">
        <v>-77.288610000000006</v>
      </c>
      <c r="L160">
        <v>22066</v>
      </c>
    </row>
    <row r="161" spans="1:12" x14ac:dyDescent="0.45">
      <c r="A161" s="1">
        <v>39820.743750000001</v>
      </c>
      <c r="B161" t="s">
        <v>10</v>
      </c>
      <c r="C161">
        <v>1200</v>
      </c>
      <c r="D161" t="s">
        <v>11</v>
      </c>
      <c r="E161" t="s">
        <v>76</v>
      </c>
      <c r="F161" t="s">
        <v>337</v>
      </c>
      <c r="G161" t="s">
        <v>104</v>
      </c>
      <c r="H161" t="s">
        <v>15</v>
      </c>
      <c r="I161" s="1">
        <v>39839.482638888891</v>
      </c>
      <c r="J161">
        <v>39.22</v>
      </c>
      <c r="K161">
        <v>-77.424440000000004</v>
      </c>
      <c r="L161">
        <v>20842</v>
      </c>
    </row>
    <row r="162" spans="1:12" x14ac:dyDescent="0.45">
      <c r="A162" s="1">
        <v>39831.844444444447</v>
      </c>
      <c r="B162" t="s">
        <v>10</v>
      </c>
      <c r="C162">
        <v>1200</v>
      </c>
      <c r="D162" t="s">
        <v>16</v>
      </c>
      <c r="E162" t="s">
        <v>50</v>
      </c>
      <c r="F162" t="s">
        <v>338</v>
      </c>
      <c r="G162" t="s">
        <v>26</v>
      </c>
      <c r="H162" t="s">
        <v>15</v>
      </c>
      <c r="I162" s="1">
        <v>39839.546527777777</v>
      </c>
      <c r="J162">
        <v>40.348610000000001</v>
      </c>
      <c r="K162">
        <v>-74.659440000000004</v>
      </c>
      <c r="L162">
        <v>8542</v>
      </c>
    </row>
    <row r="163" spans="1:12" x14ac:dyDescent="0.45">
      <c r="A163" s="1">
        <v>39837.779861111114</v>
      </c>
      <c r="B163" t="s">
        <v>10</v>
      </c>
      <c r="C163">
        <v>1200</v>
      </c>
      <c r="D163" t="s">
        <v>11</v>
      </c>
      <c r="E163" t="s">
        <v>339</v>
      </c>
      <c r="F163" t="s">
        <v>340</v>
      </c>
      <c r="G163" t="s">
        <v>49</v>
      </c>
      <c r="H163" t="s">
        <v>15</v>
      </c>
      <c r="I163" s="1">
        <v>39839.895138888889</v>
      </c>
      <c r="J163">
        <v>33.76444</v>
      </c>
      <c r="K163">
        <v>-117.79306</v>
      </c>
      <c r="L163">
        <v>92705</v>
      </c>
    </row>
    <row r="164" spans="1:12" x14ac:dyDescent="0.45">
      <c r="A164" s="1">
        <v>39839.267361111109</v>
      </c>
      <c r="B164" t="s">
        <v>10</v>
      </c>
      <c r="C164">
        <v>1200</v>
      </c>
      <c r="D164" t="s">
        <v>11</v>
      </c>
      <c r="E164" t="s">
        <v>341</v>
      </c>
      <c r="F164" t="s">
        <v>342</v>
      </c>
      <c r="G164" t="s">
        <v>239</v>
      </c>
      <c r="H164" t="s">
        <v>15</v>
      </c>
      <c r="I164" s="1">
        <v>39840.165277777778</v>
      </c>
      <c r="J164">
        <v>40.040559999999999</v>
      </c>
      <c r="K164">
        <v>-75.279439999999994</v>
      </c>
      <c r="L164">
        <v>19035</v>
      </c>
    </row>
    <row r="165" spans="1:12" x14ac:dyDescent="0.45">
      <c r="A165" s="1">
        <v>39834.706250000003</v>
      </c>
      <c r="B165" t="s">
        <v>10</v>
      </c>
      <c r="C165">
        <v>1200</v>
      </c>
      <c r="D165" t="s">
        <v>16</v>
      </c>
      <c r="E165" t="s">
        <v>343</v>
      </c>
      <c r="F165" t="s">
        <v>71</v>
      </c>
      <c r="G165" t="s">
        <v>38</v>
      </c>
      <c r="H165" t="s">
        <v>15</v>
      </c>
      <c r="I165" s="1">
        <v>39840.196527777778</v>
      </c>
      <c r="J165">
        <v>29.763059999999999</v>
      </c>
      <c r="K165">
        <v>-95.363060000000004</v>
      </c>
      <c r="L165">
        <v>77002</v>
      </c>
    </row>
    <row r="166" spans="1:12" x14ac:dyDescent="0.45">
      <c r="A166" s="1">
        <v>39833.297222222223</v>
      </c>
      <c r="B166" t="s">
        <v>20</v>
      </c>
      <c r="C166">
        <v>3600</v>
      </c>
      <c r="D166" t="s">
        <v>11</v>
      </c>
      <c r="E166" t="s">
        <v>344</v>
      </c>
      <c r="F166" t="s">
        <v>345</v>
      </c>
      <c r="G166" t="s">
        <v>239</v>
      </c>
      <c r="H166" t="s">
        <v>15</v>
      </c>
      <c r="I166" s="1">
        <v>39840.276388888888</v>
      </c>
      <c r="J166">
        <v>40.006390000000003</v>
      </c>
      <c r="K166">
        <v>-75.703609999999998</v>
      </c>
      <c r="L166">
        <v>19335</v>
      </c>
    </row>
    <row r="167" spans="1:12" x14ac:dyDescent="0.45">
      <c r="A167" s="1">
        <v>39840.101388888892</v>
      </c>
      <c r="B167" t="s">
        <v>10</v>
      </c>
      <c r="C167">
        <v>1200</v>
      </c>
      <c r="D167" t="s">
        <v>11</v>
      </c>
      <c r="E167" t="s">
        <v>346</v>
      </c>
      <c r="F167" t="s">
        <v>347</v>
      </c>
      <c r="G167" t="s">
        <v>38</v>
      </c>
      <c r="H167" t="s">
        <v>15</v>
      </c>
      <c r="I167" s="1">
        <v>39840.27847222222</v>
      </c>
      <c r="J167">
        <v>33.156669999999998</v>
      </c>
      <c r="K167">
        <v>-94.968059999999994</v>
      </c>
      <c r="L167">
        <v>75455</v>
      </c>
    </row>
    <row r="168" spans="1:12" x14ac:dyDescent="0.45">
      <c r="A168" s="1">
        <v>39826.34097222222</v>
      </c>
      <c r="B168" t="s">
        <v>20</v>
      </c>
      <c r="C168">
        <v>3600</v>
      </c>
      <c r="D168" t="s">
        <v>11</v>
      </c>
      <c r="E168" t="s">
        <v>348</v>
      </c>
      <c r="F168" t="s">
        <v>349</v>
      </c>
      <c r="G168" t="s">
        <v>38</v>
      </c>
      <c r="H168" t="s">
        <v>15</v>
      </c>
      <c r="I168" s="1">
        <v>39840.325694444444</v>
      </c>
      <c r="J168">
        <v>29.78556</v>
      </c>
      <c r="K168">
        <v>-95.824169999999995</v>
      </c>
      <c r="L168">
        <v>77494</v>
      </c>
    </row>
    <row r="169" spans="1:12" x14ac:dyDescent="0.45">
      <c r="A169" s="1">
        <v>39821.786111111112</v>
      </c>
      <c r="B169" t="s">
        <v>10</v>
      </c>
      <c r="C169">
        <v>1200</v>
      </c>
      <c r="D169" t="s">
        <v>11</v>
      </c>
      <c r="E169" t="s">
        <v>350</v>
      </c>
      <c r="F169" t="s">
        <v>351</v>
      </c>
      <c r="G169" t="s">
        <v>352</v>
      </c>
      <c r="H169" t="s">
        <v>15</v>
      </c>
      <c r="I169" s="1">
        <v>39840.402777777781</v>
      </c>
      <c r="J169">
        <v>45.776110000000003</v>
      </c>
      <c r="K169">
        <v>-111.17610999999999</v>
      </c>
      <c r="L169">
        <v>59714</v>
      </c>
    </row>
    <row r="170" spans="1:12" x14ac:dyDescent="0.45">
      <c r="A170" s="1">
        <v>39840.644444444442</v>
      </c>
      <c r="B170" t="s">
        <v>10</v>
      </c>
      <c r="C170">
        <v>1200</v>
      </c>
      <c r="D170" t="s">
        <v>11</v>
      </c>
      <c r="E170" t="s">
        <v>57</v>
      </c>
      <c r="F170" t="s">
        <v>353</v>
      </c>
      <c r="G170" t="s">
        <v>354</v>
      </c>
      <c r="H170" t="s">
        <v>15</v>
      </c>
      <c r="I170" s="1">
        <v>39840.636805555558</v>
      </c>
      <c r="J170">
        <v>35.237780000000001</v>
      </c>
      <c r="K170">
        <v>-106.60611</v>
      </c>
      <c r="L170">
        <v>87048</v>
      </c>
    </row>
    <row r="171" spans="1:12" x14ac:dyDescent="0.45">
      <c r="A171" s="1">
        <v>39821.77847222222</v>
      </c>
      <c r="B171" t="s">
        <v>10</v>
      </c>
      <c r="C171">
        <v>1200</v>
      </c>
      <c r="D171" t="s">
        <v>11</v>
      </c>
      <c r="E171" t="s">
        <v>355</v>
      </c>
      <c r="F171" t="s">
        <v>356</v>
      </c>
      <c r="G171" t="s">
        <v>26</v>
      </c>
      <c r="H171" t="s">
        <v>15</v>
      </c>
      <c r="I171" s="1">
        <v>39840.758333333331</v>
      </c>
      <c r="J171">
        <v>40.925280000000001</v>
      </c>
      <c r="K171">
        <v>-73.963329999999999</v>
      </c>
      <c r="L171">
        <v>7670</v>
      </c>
    </row>
    <row r="172" spans="1:12" x14ac:dyDescent="0.45">
      <c r="A172" s="1">
        <v>39817.773611111108</v>
      </c>
      <c r="B172" t="s">
        <v>10</v>
      </c>
      <c r="C172">
        <v>1200</v>
      </c>
      <c r="D172" t="s">
        <v>11</v>
      </c>
      <c r="E172" t="s">
        <v>357</v>
      </c>
      <c r="F172" t="s">
        <v>358</v>
      </c>
      <c r="G172" t="s">
        <v>66</v>
      </c>
      <c r="H172" t="s">
        <v>15</v>
      </c>
      <c r="I172" s="1">
        <v>39840.775694444441</v>
      </c>
      <c r="J172">
        <v>39.115560000000002</v>
      </c>
      <c r="K172">
        <v>-77.563890000000001</v>
      </c>
      <c r="L172">
        <v>20176</v>
      </c>
    </row>
    <row r="173" spans="1:12" x14ac:dyDescent="0.45">
      <c r="A173" s="1">
        <v>39841.027777777781</v>
      </c>
      <c r="B173" t="s">
        <v>10</v>
      </c>
      <c r="C173">
        <v>1200</v>
      </c>
      <c r="D173" t="s">
        <v>16</v>
      </c>
      <c r="E173" t="s">
        <v>359</v>
      </c>
      <c r="F173" t="s">
        <v>360</v>
      </c>
      <c r="G173" t="s">
        <v>60</v>
      </c>
      <c r="H173" t="s">
        <v>15</v>
      </c>
      <c r="I173" s="1">
        <v>39841.000694444447</v>
      </c>
      <c r="J173">
        <v>30.384440000000001</v>
      </c>
      <c r="K173">
        <v>-81.938890000000001</v>
      </c>
      <c r="L173">
        <v>32009</v>
      </c>
    </row>
    <row r="174" spans="1:12" x14ac:dyDescent="0.45">
      <c r="A174" s="1">
        <v>39841.313194444447</v>
      </c>
      <c r="B174" t="s">
        <v>10</v>
      </c>
      <c r="C174">
        <v>1200</v>
      </c>
      <c r="D174" t="s">
        <v>11</v>
      </c>
      <c r="E174" t="s">
        <v>361</v>
      </c>
      <c r="F174" t="s">
        <v>362</v>
      </c>
      <c r="G174" t="s">
        <v>66</v>
      </c>
      <c r="H174" t="s">
        <v>15</v>
      </c>
      <c r="I174" s="1">
        <v>39841.31527777778</v>
      </c>
      <c r="J174">
        <v>36.777500000000003</v>
      </c>
      <c r="K174">
        <v>-82.941670000000002</v>
      </c>
      <c r="L174">
        <v>24243</v>
      </c>
    </row>
    <row r="175" spans="1:12" x14ac:dyDescent="0.45">
      <c r="A175" s="1">
        <v>39841.325694444444</v>
      </c>
      <c r="B175" t="s">
        <v>10</v>
      </c>
      <c r="C175">
        <v>1200</v>
      </c>
      <c r="D175" t="s">
        <v>11</v>
      </c>
      <c r="E175" t="s">
        <v>363</v>
      </c>
      <c r="F175" t="s">
        <v>364</v>
      </c>
      <c r="G175" t="s">
        <v>93</v>
      </c>
      <c r="H175" t="s">
        <v>15</v>
      </c>
      <c r="I175" s="1">
        <v>39841.324305555558</v>
      </c>
      <c r="J175">
        <v>35.052500000000002</v>
      </c>
      <c r="K175">
        <v>-78.878609999999995</v>
      </c>
      <c r="L175">
        <v>28301</v>
      </c>
    </row>
    <row r="176" spans="1:12" x14ac:dyDescent="0.45">
      <c r="A176" s="1">
        <v>39819.470138888886</v>
      </c>
      <c r="B176" t="s">
        <v>20</v>
      </c>
      <c r="C176">
        <v>3600</v>
      </c>
      <c r="D176" t="s">
        <v>11</v>
      </c>
      <c r="E176" t="s">
        <v>365</v>
      </c>
      <c r="F176" t="s">
        <v>366</v>
      </c>
      <c r="G176" t="s">
        <v>367</v>
      </c>
      <c r="H176" t="s">
        <v>15</v>
      </c>
      <c r="I176" s="1">
        <v>39841.390972222223</v>
      </c>
      <c r="J176">
        <v>38.982219999999998</v>
      </c>
      <c r="K176">
        <v>-94.670559999999995</v>
      </c>
      <c r="L176">
        <v>66204</v>
      </c>
    </row>
    <row r="177" spans="1:12" x14ac:dyDescent="0.45">
      <c r="A177" s="1">
        <v>39822.440972222219</v>
      </c>
      <c r="B177" t="s">
        <v>20</v>
      </c>
      <c r="C177">
        <v>3600</v>
      </c>
      <c r="D177" t="s">
        <v>11</v>
      </c>
      <c r="E177" t="s">
        <v>368</v>
      </c>
      <c r="F177" t="s">
        <v>369</v>
      </c>
      <c r="G177" t="s">
        <v>370</v>
      </c>
      <c r="H177" t="s">
        <v>15</v>
      </c>
      <c r="I177" s="1">
        <v>39841.463888888888</v>
      </c>
      <c r="J177">
        <v>34.6175</v>
      </c>
      <c r="K177">
        <v>-89.968609999999998</v>
      </c>
      <c r="L177">
        <v>38668</v>
      </c>
    </row>
    <row r="178" spans="1:12" x14ac:dyDescent="0.45">
      <c r="A178" s="1">
        <v>39815.511111111111</v>
      </c>
      <c r="B178" t="s">
        <v>10</v>
      </c>
      <c r="C178">
        <v>1200</v>
      </c>
      <c r="D178" t="s">
        <v>16</v>
      </c>
      <c r="E178" t="s">
        <v>371</v>
      </c>
      <c r="F178" t="s">
        <v>372</v>
      </c>
      <c r="G178" t="s">
        <v>104</v>
      </c>
      <c r="H178" t="s">
        <v>15</v>
      </c>
      <c r="I178" s="1">
        <v>39841.504861111112</v>
      </c>
      <c r="J178">
        <v>38.62444</v>
      </c>
      <c r="K178">
        <v>-76.939440000000005</v>
      </c>
      <c r="L178">
        <v>20603</v>
      </c>
    </row>
    <row r="179" spans="1:12" x14ac:dyDescent="0.45">
      <c r="A179" s="1">
        <v>39841.521527777775</v>
      </c>
      <c r="B179" t="s">
        <v>10</v>
      </c>
      <c r="C179">
        <v>1200</v>
      </c>
      <c r="D179" t="s">
        <v>11</v>
      </c>
      <c r="E179" t="s">
        <v>373</v>
      </c>
      <c r="F179" t="s">
        <v>62</v>
      </c>
      <c r="G179" t="s">
        <v>35</v>
      </c>
      <c r="H179" t="s">
        <v>15</v>
      </c>
      <c r="I179" s="1">
        <v>39841.520833333336</v>
      </c>
      <c r="J179">
        <v>40.65</v>
      </c>
      <c r="K179">
        <v>-73.95</v>
      </c>
      <c r="L179">
        <v>11226</v>
      </c>
    </row>
    <row r="180" spans="1:12" x14ac:dyDescent="0.45">
      <c r="A180" s="1">
        <v>39827.504861111112</v>
      </c>
      <c r="B180" t="s">
        <v>10</v>
      </c>
      <c r="C180">
        <v>1200</v>
      </c>
      <c r="D180" t="s">
        <v>16</v>
      </c>
      <c r="E180" t="s">
        <v>374</v>
      </c>
      <c r="F180" t="s">
        <v>375</v>
      </c>
      <c r="G180" t="s">
        <v>193</v>
      </c>
      <c r="H180" t="s">
        <v>15</v>
      </c>
      <c r="I180" s="1">
        <v>39841.525694444441</v>
      </c>
      <c r="J180">
        <v>44.649720000000002</v>
      </c>
      <c r="K180">
        <v>-93.242500000000007</v>
      </c>
      <c r="L180">
        <v>55044</v>
      </c>
    </row>
    <row r="181" spans="1:12" x14ac:dyDescent="0.45">
      <c r="A181" s="1">
        <v>39820.538194444445</v>
      </c>
      <c r="B181" t="s">
        <v>10</v>
      </c>
      <c r="C181">
        <v>1200</v>
      </c>
      <c r="D181" t="s">
        <v>63</v>
      </c>
      <c r="E181" t="s">
        <v>376</v>
      </c>
      <c r="F181" t="s">
        <v>377</v>
      </c>
      <c r="G181" t="s">
        <v>218</v>
      </c>
      <c r="H181" t="s">
        <v>15</v>
      </c>
      <c r="I181" s="1">
        <v>39841.558333333334</v>
      </c>
      <c r="J181">
        <v>41.053330000000003</v>
      </c>
      <c r="K181">
        <v>-73.539169999999999</v>
      </c>
      <c r="L181">
        <v>6901</v>
      </c>
    </row>
    <row r="182" spans="1:12" x14ac:dyDescent="0.45">
      <c r="A182" s="1">
        <v>39831.37222222222</v>
      </c>
      <c r="B182" t="s">
        <v>10</v>
      </c>
      <c r="C182">
        <v>1200</v>
      </c>
      <c r="D182" t="s">
        <v>16</v>
      </c>
      <c r="E182" t="s">
        <v>378</v>
      </c>
      <c r="F182" t="s">
        <v>379</v>
      </c>
      <c r="G182" t="s">
        <v>113</v>
      </c>
      <c r="H182" t="s">
        <v>15</v>
      </c>
      <c r="I182" s="1">
        <v>39841.609027777777</v>
      </c>
      <c r="J182">
        <v>42.607219999999998</v>
      </c>
      <c r="K182">
        <v>-83.92944</v>
      </c>
      <c r="L182">
        <v>48843</v>
      </c>
    </row>
    <row r="183" spans="1:12" x14ac:dyDescent="0.45">
      <c r="A183" s="1">
        <v>39817.745833333334</v>
      </c>
      <c r="B183" t="s">
        <v>10</v>
      </c>
      <c r="C183">
        <v>1200</v>
      </c>
      <c r="D183" t="s">
        <v>63</v>
      </c>
      <c r="E183" t="s">
        <v>380</v>
      </c>
      <c r="F183" t="s">
        <v>381</v>
      </c>
      <c r="G183" t="s">
        <v>49</v>
      </c>
      <c r="H183" t="s">
        <v>15</v>
      </c>
      <c r="I183" s="1">
        <v>39841.634027777778</v>
      </c>
      <c r="J183">
        <v>33.036940000000001</v>
      </c>
      <c r="K183">
        <v>-117.29111</v>
      </c>
      <c r="L183">
        <v>92024</v>
      </c>
    </row>
    <row r="184" spans="1:12" x14ac:dyDescent="0.45">
      <c r="A184" s="1">
        <v>39818.573611111111</v>
      </c>
      <c r="B184" t="s">
        <v>10</v>
      </c>
      <c r="C184">
        <v>1200</v>
      </c>
      <c r="D184" t="s">
        <v>11</v>
      </c>
      <c r="E184" t="s">
        <v>382</v>
      </c>
      <c r="F184" t="s">
        <v>383</v>
      </c>
      <c r="G184" t="s">
        <v>367</v>
      </c>
      <c r="H184" t="s">
        <v>15</v>
      </c>
      <c r="I184" s="1">
        <v>39841.715277777781</v>
      </c>
      <c r="J184">
        <v>39.56306</v>
      </c>
      <c r="K184">
        <v>-95.121390000000005</v>
      </c>
      <c r="L184">
        <v>66002</v>
      </c>
    </row>
    <row r="185" spans="1:12" x14ac:dyDescent="0.45">
      <c r="A185" s="1">
        <v>39818.450694444444</v>
      </c>
      <c r="B185" t="s">
        <v>230</v>
      </c>
      <c r="C185">
        <v>3600</v>
      </c>
      <c r="D185" t="s">
        <v>63</v>
      </c>
      <c r="E185" t="s">
        <v>382</v>
      </c>
      <c r="F185" t="s">
        <v>384</v>
      </c>
      <c r="G185" t="s">
        <v>122</v>
      </c>
      <c r="H185" t="s">
        <v>15</v>
      </c>
      <c r="I185" s="1">
        <v>39841.759027777778</v>
      </c>
      <c r="J185">
        <v>21.425560000000001</v>
      </c>
      <c r="K185">
        <v>-157.96082999999999</v>
      </c>
      <c r="L185">
        <v>96782</v>
      </c>
    </row>
    <row r="186" spans="1:12" x14ac:dyDescent="0.45">
      <c r="A186" s="1">
        <v>39825.76666666667</v>
      </c>
      <c r="B186" t="s">
        <v>10</v>
      </c>
      <c r="C186">
        <v>1200</v>
      </c>
      <c r="D186" t="s">
        <v>11</v>
      </c>
      <c r="E186" t="s">
        <v>385</v>
      </c>
      <c r="F186" t="s">
        <v>386</v>
      </c>
      <c r="G186" t="s">
        <v>35</v>
      </c>
      <c r="H186" t="s">
        <v>15</v>
      </c>
      <c r="I186" s="1">
        <v>39841.763194444444</v>
      </c>
      <c r="J186">
        <v>42.982500000000002</v>
      </c>
      <c r="K186">
        <v>-77.409170000000003</v>
      </c>
      <c r="L186">
        <v>14564</v>
      </c>
    </row>
    <row r="187" spans="1:12" x14ac:dyDescent="0.45">
      <c r="A187" s="1">
        <v>39831.167361111111</v>
      </c>
      <c r="B187" t="s">
        <v>10</v>
      </c>
      <c r="C187">
        <v>1200</v>
      </c>
      <c r="D187" t="s">
        <v>11</v>
      </c>
      <c r="E187" t="s">
        <v>387</v>
      </c>
      <c r="F187" t="s">
        <v>388</v>
      </c>
      <c r="G187" t="s">
        <v>275</v>
      </c>
      <c r="H187" t="s">
        <v>15</v>
      </c>
      <c r="I187" s="1">
        <v>39841.99722222222</v>
      </c>
      <c r="J187">
        <v>64.837779999999995</v>
      </c>
      <c r="K187">
        <v>-147.71638999999999</v>
      </c>
      <c r="L187">
        <v>99701</v>
      </c>
    </row>
    <row r="188" spans="1:12" x14ac:dyDescent="0.45">
      <c r="A188" s="1">
        <v>39841.546527777777</v>
      </c>
      <c r="B188" t="s">
        <v>10</v>
      </c>
      <c r="C188">
        <v>1200</v>
      </c>
      <c r="D188" t="s">
        <v>63</v>
      </c>
      <c r="E188" t="s">
        <v>389</v>
      </c>
      <c r="F188" t="s">
        <v>390</v>
      </c>
      <c r="G188" t="s">
        <v>104</v>
      </c>
      <c r="H188" t="s">
        <v>15</v>
      </c>
      <c r="I188" s="1">
        <v>39842.194444444445</v>
      </c>
      <c r="J188">
        <v>38.667499999999997</v>
      </c>
      <c r="K188">
        <v>-77.02861</v>
      </c>
      <c r="L188">
        <v>20607</v>
      </c>
    </row>
    <row r="189" spans="1:12" x14ac:dyDescent="0.45">
      <c r="A189" s="1">
        <v>39842.238194444442</v>
      </c>
      <c r="B189" t="s">
        <v>10</v>
      </c>
      <c r="C189">
        <v>1200</v>
      </c>
      <c r="D189" t="s">
        <v>11</v>
      </c>
      <c r="E189" t="s">
        <v>391</v>
      </c>
      <c r="F189" t="s">
        <v>392</v>
      </c>
      <c r="G189" t="s">
        <v>49</v>
      </c>
      <c r="H189" t="s">
        <v>15</v>
      </c>
      <c r="I189" s="1">
        <v>39842.220833333333</v>
      </c>
      <c r="J189">
        <v>37.36889</v>
      </c>
      <c r="K189">
        <v>-122.03528</v>
      </c>
      <c r="L189">
        <v>94086</v>
      </c>
    </row>
    <row r="190" spans="1:12" x14ac:dyDescent="0.45">
      <c r="A190" s="1">
        <v>39842.229166666664</v>
      </c>
      <c r="B190" t="s">
        <v>10</v>
      </c>
      <c r="C190">
        <v>1200</v>
      </c>
      <c r="D190" t="s">
        <v>11</v>
      </c>
      <c r="E190" t="s">
        <v>84</v>
      </c>
      <c r="F190" t="s">
        <v>393</v>
      </c>
      <c r="G190" t="s">
        <v>35</v>
      </c>
      <c r="H190" t="s">
        <v>15</v>
      </c>
      <c r="I190" s="1">
        <v>39842.288888888892</v>
      </c>
      <c r="J190">
        <v>42.440559999999998</v>
      </c>
      <c r="K190">
        <v>-76.496939999999995</v>
      </c>
      <c r="L190">
        <v>14850</v>
      </c>
    </row>
    <row r="191" spans="1:12" x14ac:dyDescent="0.45">
      <c r="A191" s="1">
        <v>39826.755555555559</v>
      </c>
      <c r="B191" t="s">
        <v>10</v>
      </c>
      <c r="C191">
        <v>1200</v>
      </c>
      <c r="D191" t="s">
        <v>63</v>
      </c>
      <c r="E191" t="s">
        <v>231</v>
      </c>
      <c r="F191" t="s">
        <v>71</v>
      </c>
      <c r="G191" t="s">
        <v>38</v>
      </c>
      <c r="H191" t="s">
        <v>15</v>
      </c>
      <c r="I191" s="1">
        <v>39842.31527777778</v>
      </c>
      <c r="J191">
        <v>29.763059999999999</v>
      </c>
      <c r="K191">
        <v>-95.363060000000004</v>
      </c>
      <c r="L191">
        <v>77002</v>
      </c>
    </row>
    <row r="192" spans="1:12" x14ac:dyDescent="0.45">
      <c r="A192" s="1">
        <v>39822.64166666667</v>
      </c>
      <c r="B192" t="s">
        <v>10</v>
      </c>
      <c r="C192">
        <v>1200</v>
      </c>
      <c r="D192" t="s">
        <v>16</v>
      </c>
      <c r="E192" t="s">
        <v>394</v>
      </c>
      <c r="F192" t="s">
        <v>395</v>
      </c>
      <c r="G192" t="s">
        <v>113</v>
      </c>
      <c r="H192" t="s">
        <v>15</v>
      </c>
      <c r="I192" s="1">
        <v>39842.336805555555</v>
      </c>
      <c r="J192">
        <v>42.464440000000003</v>
      </c>
      <c r="K192">
        <v>-83.376390000000001</v>
      </c>
      <c r="L192">
        <v>48336</v>
      </c>
    </row>
    <row r="193" spans="1:12" x14ac:dyDescent="0.45">
      <c r="A193" s="1">
        <v>39836.647916666669</v>
      </c>
      <c r="B193" t="s">
        <v>10</v>
      </c>
      <c r="C193">
        <v>1200</v>
      </c>
      <c r="D193" t="s">
        <v>16</v>
      </c>
      <c r="E193" t="s">
        <v>396</v>
      </c>
      <c r="F193" t="s">
        <v>62</v>
      </c>
      <c r="G193" t="s">
        <v>35</v>
      </c>
      <c r="H193" t="s">
        <v>15</v>
      </c>
      <c r="I193" s="1">
        <v>39842.459722222222</v>
      </c>
      <c r="J193">
        <v>40.65</v>
      </c>
      <c r="K193">
        <v>-73.95</v>
      </c>
      <c r="L193">
        <v>11226</v>
      </c>
    </row>
    <row r="194" spans="1:12" x14ac:dyDescent="0.45">
      <c r="A194" s="1">
        <v>39842.519444444442</v>
      </c>
      <c r="B194" t="s">
        <v>10</v>
      </c>
      <c r="C194">
        <v>1200</v>
      </c>
      <c r="D194" t="s">
        <v>16</v>
      </c>
      <c r="E194" t="s">
        <v>397</v>
      </c>
      <c r="F194" t="s">
        <v>335</v>
      </c>
      <c r="G194" t="s">
        <v>66</v>
      </c>
      <c r="H194" t="s">
        <v>15</v>
      </c>
      <c r="I194" s="1">
        <v>39842.521527777775</v>
      </c>
      <c r="J194">
        <v>38.998060000000002</v>
      </c>
      <c r="K194">
        <v>-77.288610000000006</v>
      </c>
      <c r="L194">
        <v>22066</v>
      </c>
    </row>
    <row r="195" spans="1:12" x14ac:dyDescent="0.45">
      <c r="A195" s="1">
        <v>39842.42291666667</v>
      </c>
      <c r="B195" t="s">
        <v>20</v>
      </c>
      <c r="C195">
        <v>300000</v>
      </c>
      <c r="D195" t="s">
        <v>16</v>
      </c>
      <c r="E195" t="s">
        <v>398</v>
      </c>
      <c r="F195" t="s">
        <v>399</v>
      </c>
      <c r="G195" t="s">
        <v>69</v>
      </c>
      <c r="H195" t="s">
        <v>15</v>
      </c>
      <c r="I195" s="1">
        <v>39842.540277777778</v>
      </c>
      <c r="J195">
        <v>33.509169999999997</v>
      </c>
      <c r="K195">
        <v>-111.89833</v>
      </c>
      <c r="L195">
        <v>85251</v>
      </c>
    </row>
    <row r="196" spans="1:12" x14ac:dyDescent="0.45">
      <c r="A196" s="1">
        <v>39842.630555555559</v>
      </c>
      <c r="B196" t="s">
        <v>10</v>
      </c>
      <c r="C196">
        <v>1200</v>
      </c>
      <c r="D196" t="s">
        <v>11</v>
      </c>
      <c r="E196" t="s">
        <v>400</v>
      </c>
      <c r="F196" t="s">
        <v>392</v>
      </c>
      <c r="G196" t="s">
        <v>49</v>
      </c>
      <c r="H196" t="s">
        <v>15</v>
      </c>
      <c r="I196" s="1">
        <v>39842.586111111108</v>
      </c>
      <c r="J196">
        <v>37.36889</v>
      </c>
      <c r="K196">
        <v>-122.03528</v>
      </c>
      <c r="L196">
        <v>94086</v>
      </c>
    </row>
    <row r="197" spans="1:12" x14ac:dyDescent="0.45">
      <c r="A197" s="1">
        <v>39835.927777777775</v>
      </c>
      <c r="B197" t="s">
        <v>20</v>
      </c>
      <c r="C197">
        <v>300000</v>
      </c>
      <c r="D197" t="s">
        <v>16</v>
      </c>
      <c r="E197" t="s">
        <v>401</v>
      </c>
      <c r="F197" t="s">
        <v>402</v>
      </c>
      <c r="G197" t="s">
        <v>167</v>
      </c>
      <c r="H197" t="s">
        <v>15</v>
      </c>
      <c r="I197" s="1">
        <v>39842.70208333333</v>
      </c>
      <c r="J197">
        <v>47.61056</v>
      </c>
      <c r="K197">
        <v>-122.19944</v>
      </c>
      <c r="L197">
        <v>98004</v>
      </c>
    </row>
    <row r="198" spans="1:12" x14ac:dyDescent="0.45">
      <c r="A198" s="1">
        <v>39824.515277777777</v>
      </c>
      <c r="B198" t="s">
        <v>10</v>
      </c>
      <c r="C198">
        <v>1200</v>
      </c>
      <c r="D198" t="s">
        <v>11</v>
      </c>
      <c r="E198" t="s">
        <v>403</v>
      </c>
      <c r="F198" t="s">
        <v>404</v>
      </c>
      <c r="G198" t="s">
        <v>193</v>
      </c>
      <c r="H198" t="s">
        <v>15</v>
      </c>
      <c r="I198" s="1">
        <v>39843.090277777781</v>
      </c>
      <c r="J198">
        <v>44.98</v>
      </c>
      <c r="K198">
        <v>-93.26361</v>
      </c>
      <c r="L198">
        <v>55401</v>
      </c>
    </row>
    <row r="199" spans="1:12" x14ac:dyDescent="0.45">
      <c r="A199" s="1">
        <v>39815.396527777775</v>
      </c>
      <c r="B199" t="s">
        <v>10</v>
      </c>
      <c r="C199">
        <v>1200</v>
      </c>
      <c r="D199" t="s">
        <v>11</v>
      </c>
      <c r="E199" t="s">
        <v>405</v>
      </c>
      <c r="F199" t="s">
        <v>156</v>
      </c>
      <c r="G199" t="s">
        <v>29</v>
      </c>
      <c r="H199" t="s">
        <v>15</v>
      </c>
      <c r="I199" s="1">
        <v>39843.232638888891</v>
      </c>
      <c r="J199">
        <v>41.85</v>
      </c>
      <c r="K199">
        <v>-87.65</v>
      </c>
      <c r="L199">
        <v>60608</v>
      </c>
    </row>
    <row r="200" spans="1:12" x14ac:dyDescent="0.45">
      <c r="A200" s="1">
        <v>39832.438888888886</v>
      </c>
      <c r="B200" t="s">
        <v>10</v>
      </c>
      <c r="C200">
        <v>1200</v>
      </c>
      <c r="D200" t="s">
        <v>16</v>
      </c>
      <c r="E200" t="s">
        <v>406</v>
      </c>
      <c r="F200" t="s">
        <v>407</v>
      </c>
      <c r="G200" t="s">
        <v>69</v>
      </c>
      <c r="H200" t="s">
        <v>15</v>
      </c>
      <c r="I200" s="1">
        <v>39843.445138888892</v>
      </c>
      <c r="J200">
        <v>33.248609999999999</v>
      </c>
      <c r="K200">
        <v>-111.63361</v>
      </c>
      <c r="L200">
        <v>85142</v>
      </c>
    </row>
    <row r="201" spans="1:12" x14ac:dyDescent="0.45">
      <c r="A201" s="1">
        <v>39839.503472222219</v>
      </c>
      <c r="B201" t="s">
        <v>10</v>
      </c>
      <c r="C201">
        <v>1250</v>
      </c>
      <c r="D201" t="s">
        <v>16</v>
      </c>
      <c r="E201" t="s">
        <v>408</v>
      </c>
      <c r="F201" t="s">
        <v>407</v>
      </c>
      <c r="G201" t="s">
        <v>69</v>
      </c>
      <c r="H201" t="s">
        <v>15</v>
      </c>
      <c r="I201" s="1">
        <v>39843.445138888892</v>
      </c>
      <c r="J201">
        <v>33.248609999999999</v>
      </c>
      <c r="K201">
        <v>-111.63361</v>
      </c>
      <c r="L201">
        <v>85142</v>
      </c>
    </row>
    <row r="202" spans="1:12" x14ac:dyDescent="0.45">
      <c r="A202" s="1">
        <v>39820.786805555559</v>
      </c>
      <c r="B202" t="s">
        <v>10</v>
      </c>
      <c r="C202">
        <v>1200</v>
      </c>
      <c r="D202" t="s">
        <v>11</v>
      </c>
      <c r="E202" t="s">
        <v>409</v>
      </c>
      <c r="F202" t="s">
        <v>410</v>
      </c>
      <c r="G202" t="s">
        <v>93</v>
      </c>
      <c r="H202" t="s">
        <v>15</v>
      </c>
      <c r="I202" s="1">
        <v>39843.448611111111</v>
      </c>
      <c r="J202">
        <v>35.99389</v>
      </c>
      <c r="K202">
        <v>-78.898889999999994</v>
      </c>
      <c r="L202">
        <v>27701</v>
      </c>
    </row>
    <row r="203" spans="1:12" x14ac:dyDescent="0.45">
      <c r="A203" s="1">
        <v>39839.484722222223</v>
      </c>
      <c r="B203" t="s">
        <v>10</v>
      </c>
      <c r="C203">
        <v>1200</v>
      </c>
      <c r="D203" t="s">
        <v>16</v>
      </c>
      <c r="E203" t="s">
        <v>411</v>
      </c>
      <c r="F203" t="s">
        <v>314</v>
      </c>
      <c r="G203" t="s">
        <v>38</v>
      </c>
      <c r="H203" t="s">
        <v>15</v>
      </c>
      <c r="I203" s="1">
        <v>39843.552083333336</v>
      </c>
      <c r="J203">
        <v>30.266940000000002</v>
      </c>
      <c r="K203">
        <v>-97.742779999999996</v>
      </c>
      <c r="L203">
        <v>78701</v>
      </c>
    </row>
    <row r="204" spans="1:12" x14ac:dyDescent="0.45">
      <c r="A204" s="1">
        <v>39821.554861111108</v>
      </c>
      <c r="B204" t="s">
        <v>10</v>
      </c>
      <c r="C204">
        <v>1200</v>
      </c>
      <c r="D204" t="s">
        <v>16</v>
      </c>
      <c r="E204" t="s">
        <v>412</v>
      </c>
      <c r="F204" t="s">
        <v>413</v>
      </c>
      <c r="G204" t="s">
        <v>104</v>
      </c>
      <c r="H204" t="s">
        <v>15</v>
      </c>
      <c r="I204" s="1">
        <v>39843.736111111109</v>
      </c>
      <c r="J204">
        <v>38.987499999999997</v>
      </c>
      <c r="K204">
        <v>-76.820830000000001</v>
      </c>
      <c r="L204">
        <v>20706</v>
      </c>
    </row>
    <row r="205" spans="1:12" x14ac:dyDescent="0.45">
      <c r="A205" s="1">
        <v>39843.85833333333</v>
      </c>
      <c r="B205" t="s">
        <v>10</v>
      </c>
      <c r="C205">
        <v>1200</v>
      </c>
      <c r="D205" t="s">
        <v>11</v>
      </c>
      <c r="E205" t="s">
        <v>414</v>
      </c>
      <c r="F205" t="s">
        <v>415</v>
      </c>
      <c r="G205" t="s">
        <v>38</v>
      </c>
      <c r="H205" t="s">
        <v>15</v>
      </c>
      <c r="I205" s="1">
        <v>39844.199305555558</v>
      </c>
      <c r="J205">
        <v>26.301390000000001</v>
      </c>
      <c r="K205">
        <v>-98.163060000000002</v>
      </c>
      <c r="L205">
        <v>78539</v>
      </c>
    </row>
    <row r="206" spans="1:12" x14ac:dyDescent="0.45">
      <c r="A206" s="1">
        <v>39844.306944444441</v>
      </c>
      <c r="B206" t="s">
        <v>10</v>
      </c>
      <c r="C206">
        <v>1200</v>
      </c>
      <c r="D206" t="s">
        <v>11</v>
      </c>
      <c r="E206" t="s">
        <v>416</v>
      </c>
      <c r="F206" t="s">
        <v>417</v>
      </c>
      <c r="G206" t="s">
        <v>218</v>
      </c>
      <c r="H206" t="s">
        <v>15</v>
      </c>
      <c r="I206" s="1">
        <v>39844.279861111114</v>
      </c>
      <c r="J206">
        <v>41.200830000000003</v>
      </c>
      <c r="K206">
        <v>-73.381110000000007</v>
      </c>
      <c r="L206">
        <v>6883</v>
      </c>
    </row>
    <row r="207" spans="1:12" x14ac:dyDescent="0.45">
      <c r="A207" s="1">
        <v>39844.37222222222</v>
      </c>
      <c r="B207" t="s">
        <v>10</v>
      </c>
      <c r="C207">
        <v>1200</v>
      </c>
      <c r="D207" t="s">
        <v>16</v>
      </c>
      <c r="E207" t="s">
        <v>418</v>
      </c>
      <c r="F207" t="s">
        <v>220</v>
      </c>
      <c r="G207" t="s">
        <v>60</v>
      </c>
      <c r="H207" t="s">
        <v>15</v>
      </c>
      <c r="I207" s="1">
        <v>39844.390277777777</v>
      </c>
      <c r="J207">
        <v>25.712219999999999</v>
      </c>
      <c r="K207">
        <v>-80.257220000000004</v>
      </c>
      <c r="L207">
        <v>33133</v>
      </c>
    </row>
    <row r="208" spans="1:12" x14ac:dyDescent="0.45">
      <c r="A208" s="1">
        <v>39824.588194444441</v>
      </c>
      <c r="B208" t="s">
        <v>10</v>
      </c>
      <c r="C208">
        <v>1200</v>
      </c>
      <c r="D208" t="s">
        <v>11</v>
      </c>
      <c r="E208" t="s">
        <v>419</v>
      </c>
      <c r="F208" t="s">
        <v>136</v>
      </c>
      <c r="G208" t="s">
        <v>49</v>
      </c>
      <c r="H208" t="s">
        <v>15</v>
      </c>
      <c r="I208" s="1">
        <v>39844.430555555555</v>
      </c>
      <c r="J208">
        <v>37.774999999999999</v>
      </c>
      <c r="K208">
        <v>-122.41833</v>
      </c>
      <c r="L208">
        <v>94103</v>
      </c>
    </row>
    <row r="209" spans="1:12" x14ac:dyDescent="0.45">
      <c r="A209" s="1">
        <v>39844.468055555553</v>
      </c>
      <c r="B209" t="s">
        <v>20</v>
      </c>
      <c r="C209">
        <v>300000</v>
      </c>
      <c r="D209" t="s">
        <v>16</v>
      </c>
      <c r="E209" t="s">
        <v>420</v>
      </c>
      <c r="F209" t="s">
        <v>399</v>
      </c>
      <c r="G209" t="s">
        <v>69</v>
      </c>
      <c r="H209" t="s">
        <v>15</v>
      </c>
      <c r="I209" s="1">
        <v>39844.465277777781</v>
      </c>
      <c r="J209">
        <v>33.509169999999997</v>
      </c>
      <c r="K209">
        <v>-111.89833</v>
      </c>
      <c r="L209">
        <v>85251</v>
      </c>
    </row>
    <row r="210" spans="1:12" x14ac:dyDescent="0.45">
      <c r="A210" s="1">
        <v>39815.414583333331</v>
      </c>
      <c r="B210" t="s">
        <v>10</v>
      </c>
      <c r="C210">
        <v>1200</v>
      </c>
      <c r="D210" t="s">
        <v>63</v>
      </c>
      <c r="E210" t="s">
        <v>421</v>
      </c>
      <c r="F210" t="s">
        <v>422</v>
      </c>
      <c r="G210" t="s">
        <v>66</v>
      </c>
      <c r="H210" t="s">
        <v>15</v>
      </c>
      <c r="I210" s="1">
        <v>39844.474999999999</v>
      </c>
      <c r="J210">
        <v>39.049999999999997</v>
      </c>
      <c r="K210">
        <v>-77.401110000000003</v>
      </c>
      <c r="L210">
        <v>20165</v>
      </c>
    </row>
    <row r="211" spans="1:12" x14ac:dyDescent="0.45">
      <c r="A211" s="1">
        <v>39817.555555555555</v>
      </c>
      <c r="B211" t="s">
        <v>10</v>
      </c>
      <c r="C211">
        <v>1200</v>
      </c>
      <c r="D211" t="s">
        <v>16</v>
      </c>
      <c r="E211" t="s">
        <v>423</v>
      </c>
      <c r="F211" t="s">
        <v>424</v>
      </c>
      <c r="G211" t="s">
        <v>130</v>
      </c>
      <c r="H211" t="s">
        <v>15</v>
      </c>
      <c r="I211" s="1">
        <v>39844.553472222222</v>
      </c>
      <c r="J211">
        <v>39.977780000000003</v>
      </c>
      <c r="K211">
        <v>-105.13139</v>
      </c>
      <c r="L211">
        <v>80027</v>
      </c>
    </row>
    <row r="212" spans="1:12" x14ac:dyDescent="0.45">
      <c r="A212" s="1">
        <v>39831.256249999999</v>
      </c>
      <c r="B212" t="s">
        <v>10</v>
      </c>
      <c r="C212">
        <v>1200</v>
      </c>
      <c r="D212" t="s">
        <v>16</v>
      </c>
      <c r="E212" t="s">
        <v>425</v>
      </c>
      <c r="F212" t="s">
        <v>426</v>
      </c>
      <c r="G212" t="s">
        <v>66</v>
      </c>
      <c r="H212" t="s">
        <v>15</v>
      </c>
      <c r="I212" s="1">
        <v>39844.647916666669</v>
      </c>
      <c r="J212">
        <v>38.804720000000003</v>
      </c>
      <c r="K212">
        <v>-77.047219999999996</v>
      </c>
      <c r="L212">
        <v>22314</v>
      </c>
    </row>
    <row r="213" spans="1:12" x14ac:dyDescent="0.45">
      <c r="A213" s="1">
        <v>39837.301388888889</v>
      </c>
      <c r="B213" t="s">
        <v>10</v>
      </c>
      <c r="C213">
        <v>1200</v>
      </c>
      <c r="D213" t="s">
        <v>16</v>
      </c>
      <c r="E213" t="s">
        <v>427</v>
      </c>
      <c r="F213" t="s">
        <v>428</v>
      </c>
      <c r="G213" t="s">
        <v>66</v>
      </c>
      <c r="H213" t="s">
        <v>15</v>
      </c>
      <c r="I213" s="1">
        <v>39844.804166666669</v>
      </c>
      <c r="J213">
        <v>37.205559999999998</v>
      </c>
      <c r="K213">
        <v>-80.037779999999998</v>
      </c>
      <c r="L213">
        <v>24018</v>
      </c>
    </row>
    <row r="214" spans="1:12" x14ac:dyDescent="0.45">
      <c r="A214" s="1">
        <v>39837.461805555555</v>
      </c>
      <c r="B214" t="s">
        <v>10</v>
      </c>
      <c r="C214">
        <v>1200</v>
      </c>
      <c r="D214" t="s">
        <v>11</v>
      </c>
      <c r="E214" t="s">
        <v>429</v>
      </c>
      <c r="F214" t="s">
        <v>430</v>
      </c>
      <c r="G214" t="s">
        <v>78</v>
      </c>
      <c r="H214" t="s">
        <v>15</v>
      </c>
      <c r="I214" s="1">
        <v>39844.813194444447</v>
      </c>
      <c r="J214">
        <v>33.941110000000002</v>
      </c>
      <c r="K214">
        <v>-84.213610000000003</v>
      </c>
      <c r="L214">
        <v>30071</v>
      </c>
    </row>
    <row r="215" spans="1:12" x14ac:dyDescent="0.45">
      <c r="A215" s="1">
        <v>39819.633333333331</v>
      </c>
      <c r="B215" t="s">
        <v>10</v>
      </c>
      <c r="C215">
        <v>1200</v>
      </c>
      <c r="D215" t="s">
        <v>63</v>
      </c>
      <c r="E215" t="s">
        <v>431</v>
      </c>
      <c r="F215" t="s">
        <v>432</v>
      </c>
      <c r="G215" t="s">
        <v>78</v>
      </c>
      <c r="H215" t="s">
        <v>15</v>
      </c>
      <c r="I215" s="1">
        <v>39844.866666666669</v>
      </c>
      <c r="J215">
        <v>34.023060000000001</v>
      </c>
      <c r="K215">
        <v>-84.361670000000004</v>
      </c>
      <c r="L215">
        <v>30075</v>
      </c>
    </row>
    <row r="216" spans="1:12" x14ac:dyDescent="0.45">
      <c r="A216" s="1">
        <v>39816.415277777778</v>
      </c>
      <c r="B216" t="s">
        <v>10</v>
      </c>
      <c r="C216">
        <v>1200</v>
      </c>
      <c r="D216" t="s">
        <v>11</v>
      </c>
      <c r="E216" t="s">
        <v>433</v>
      </c>
      <c r="F216" t="s">
        <v>434</v>
      </c>
      <c r="G216" t="s">
        <v>66</v>
      </c>
      <c r="H216" t="s">
        <v>15</v>
      </c>
      <c r="I216" s="1">
        <v>39844.929861111108</v>
      </c>
      <c r="J216">
        <v>38.795560000000002</v>
      </c>
      <c r="K216">
        <v>-77.614170000000001</v>
      </c>
      <c r="L216">
        <v>20155</v>
      </c>
    </row>
    <row r="217" spans="1:12" x14ac:dyDescent="0.45">
      <c r="A217" s="1">
        <v>39825.618055555555</v>
      </c>
      <c r="B217" t="s">
        <v>10</v>
      </c>
      <c r="C217">
        <v>1200</v>
      </c>
      <c r="D217" t="s">
        <v>11</v>
      </c>
      <c r="E217" t="s">
        <v>435</v>
      </c>
      <c r="F217" t="s">
        <v>333</v>
      </c>
      <c r="G217" t="s">
        <v>215</v>
      </c>
      <c r="H217" t="s">
        <v>15</v>
      </c>
      <c r="I217" s="1">
        <v>39845.316666666666</v>
      </c>
      <c r="J217">
        <v>42.415280000000003</v>
      </c>
      <c r="K217">
        <v>-71.156940000000006</v>
      </c>
      <c r="L217">
        <v>2476</v>
      </c>
    </row>
    <row r="218" spans="1:12" x14ac:dyDescent="0.45">
      <c r="A218" s="1">
        <v>39820.575694444444</v>
      </c>
      <c r="B218" t="s">
        <v>10</v>
      </c>
      <c r="C218">
        <v>1200</v>
      </c>
      <c r="D218" t="s">
        <v>11</v>
      </c>
      <c r="E218" t="s">
        <v>436</v>
      </c>
      <c r="F218" t="s">
        <v>437</v>
      </c>
      <c r="G218" t="s">
        <v>49</v>
      </c>
      <c r="H218" t="s">
        <v>15</v>
      </c>
      <c r="I218" s="1">
        <v>39845.347222222219</v>
      </c>
      <c r="J218">
        <v>34.20111</v>
      </c>
      <c r="K218">
        <v>-118.59721999999999</v>
      </c>
      <c r="L218">
        <v>91303</v>
      </c>
    </row>
    <row r="219" spans="1:12" x14ac:dyDescent="0.45">
      <c r="A219" s="1">
        <v>39822.820138888892</v>
      </c>
      <c r="B219" t="s">
        <v>10</v>
      </c>
      <c r="C219">
        <v>1200</v>
      </c>
      <c r="D219" t="s">
        <v>16</v>
      </c>
      <c r="E219" t="s">
        <v>438</v>
      </c>
      <c r="F219" t="s">
        <v>439</v>
      </c>
      <c r="G219" t="s">
        <v>49</v>
      </c>
      <c r="H219" t="s">
        <v>15</v>
      </c>
      <c r="I219" s="1">
        <v>39845.387499999997</v>
      </c>
      <c r="J219">
        <v>37.339440000000003</v>
      </c>
      <c r="K219">
        <v>-121.89389</v>
      </c>
      <c r="L219">
        <v>95113</v>
      </c>
    </row>
    <row r="220" spans="1:12" x14ac:dyDescent="0.45">
      <c r="A220" s="1">
        <v>39836.90347222222</v>
      </c>
      <c r="B220" t="s">
        <v>10</v>
      </c>
      <c r="C220">
        <v>1200</v>
      </c>
      <c r="D220" t="s">
        <v>11</v>
      </c>
      <c r="E220" t="s">
        <v>440</v>
      </c>
      <c r="F220" t="s">
        <v>441</v>
      </c>
      <c r="G220" t="s">
        <v>113</v>
      </c>
      <c r="H220" t="s">
        <v>15</v>
      </c>
      <c r="I220" s="1">
        <v>39845.410416666666</v>
      </c>
      <c r="J220">
        <v>42.459440000000001</v>
      </c>
      <c r="K220">
        <v>-83.182779999999994</v>
      </c>
      <c r="L220">
        <v>48237</v>
      </c>
    </row>
    <row r="221" spans="1:12" x14ac:dyDescent="0.45">
      <c r="A221" s="1">
        <v>39819.671527777777</v>
      </c>
      <c r="B221" t="s">
        <v>10</v>
      </c>
      <c r="C221">
        <v>1200</v>
      </c>
      <c r="D221" t="s">
        <v>11</v>
      </c>
      <c r="E221" t="s">
        <v>442</v>
      </c>
      <c r="F221" t="s">
        <v>443</v>
      </c>
      <c r="G221" t="s">
        <v>38</v>
      </c>
      <c r="H221" t="s">
        <v>15</v>
      </c>
      <c r="I221" s="1">
        <v>39845.42083333333</v>
      </c>
      <c r="J221">
        <v>29.42389</v>
      </c>
      <c r="K221">
        <v>-98.49333</v>
      </c>
      <c r="L221">
        <v>78205</v>
      </c>
    </row>
    <row r="222" spans="1:12" x14ac:dyDescent="0.45">
      <c r="A222" s="1">
        <v>39841.863888888889</v>
      </c>
      <c r="B222" t="s">
        <v>10</v>
      </c>
      <c r="C222">
        <v>1200</v>
      </c>
      <c r="D222" t="s">
        <v>11</v>
      </c>
      <c r="E222" t="s">
        <v>444</v>
      </c>
      <c r="F222" t="s">
        <v>445</v>
      </c>
      <c r="G222" t="s">
        <v>66</v>
      </c>
      <c r="H222" t="s">
        <v>15</v>
      </c>
      <c r="I222" s="1">
        <v>39845.481249999997</v>
      </c>
      <c r="J222">
        <v>38.323889999999999</v>
      </c>
      <c r="K222">
        <v>-77.468609999999998</v>
      </c>
      <c r="L222">
        <v>22405</v>
      </c>
    </row>
    <row r="223" spans="1:12" x14ac:dyDescent="0.45">
      <c r="A223" s="1">
        <v>39832.369444444441</v>
      </c>
      <c r="B223" t="s">
        <v>10</v>
      </c>
      <c r="C223">
        <v>1200</v>
      </c>
      <c r="D223" t="s">
        <v>11</v>
      </c>
      <c r="E223" t="s">
        <v>446</v>
      </c>
      <c r="F223" t="s">
        <v>447</v>
      </c>
      <c r="G223" t="s">
        <v>38</v>
      </c>
      <c r="H223" t="s">
        <v>15</v>
      </c>
      <c r="I223" s="1">
        <v>39845.495138888888</v>
      </c>
      <c r="J223">
        <v>29.581939999999999</v>
      </c>
      <c r="K223">
        <v>-95.760559999999998</v>
      </c>
      <c r="L223">
        <v>77469</v>
      </c>
    </row>
    <row r="224" spans="1:12" x14ac:dyDescent="0.45">
      <c r="A224" s="1">
        <v>39843.800000000003</v>
      </c>
      <c r="B224" t="s">
        <v>10</v>
      </c>
      <c r="C224">
        <v>1200</v>
      </c>
      <c r="D224" t="s">
        <v>11</v>
      </c>
      <c r="E224" t="s">
        <v>448</v>
      </c>
      <c r="F224" t="s">
        <v>449</v>
      </c>
      <c r="G224" t="s">
        <v>32</v>
      </c>
      <c r="H224" t="s">
        <v>15</v>
      </c>
      <c r="I224" s="1">
        <v>39845.57708333333</v>
      </c>
      <c r="J224">
        <v>35.075000000000003</v>
      </c>
      <c r="K224">
        <v>-85.062219999999996</v>
      </c>
      <c r="L224">
        <v>37363</v>
      </c>
    </row>
    <row r="225" spans="1:12" x14ac:dyDescent="0.45">
      <c r="A225" s="1">
        <v>39818.52847222222</v>
      </c>
      <c r="B225" t="s">
        <v>10</v>
      </c>
      <c r="C225">
        <v>1200</v>
      </c>
      <c r="D225" t="s">
        <v>16</v>
      </c>
      <c r="E225" t="s">
        <v>450</v>
      </c>
      <c r="F225" t="s">
        <v>451</v>
      </c>
      <c r="G225" t="s">
        <v>49</v>
      </c>
      <c r="H225" t="s">
        <v>15</v>
      </c>
      <c r="I225" s="1">
        <v>39845.602777777778</v>
      </c>
      <c r="J225">
        <v>32.797780000000003</v>
      </c>
      <c r="K225">
        <v>-117.23944</v>
      </c>
      <c r="L225">
        <v>92109</v>
      </c>
    </row>
    <row r="226" spans="1:12" x14ac:dyDescent="0.45">
      <c r="A226" s="1">
        <v>39841.874305555553</v>
      </c>
      <c r="B226" t="s">
        <v>10</v>
      </c>
      <c r="C226">
        <v>1200</v>
      </c>
      <c r="D226" t="s">
        <v>11</v>
      </c>
      <c r="E226" t="s">
        <v>452</v>
      </c>
      <c r="F226" t="s">
        <v>314</v>
      </c>
      <c r="G226" t="s">
        <v>38</v>
      </c>
      <c r="H226" t="s">
        <v>15</v>
      </c>
      <c r="I226" s="1">
        <v>39845.625</v>
      </c>
      <c r="J226">
        <v>30.266940000000002</v>
      </c>
      <c r="K226">
        <v>-97.742779999999996</v>
      </c>
      <c r="L226">
        <v>78701</v>
      </c>
    </row>
    <row r="227" spans="1:12" x14ac:dyDescent="0.45">
      <c r="A227" s="1">
        <v>39823.9</v>
      </c>
      <c r="B227" t="s">
        <v>10</v>
      </c>
      <c r="C227">
        <v>1200</v>
      </c>
      <c r="D227" t="s">
        <v>11</v>
      </c>
      <c r="E227" t="s">
        <v>453</v>
      </c>
      <c r="F227" t="s">
        <v>198</v>
      </c>
      <c r="G227" t="s">
        <v>167</v>
      </c>
      <c r="H227" t="s">
        <v>15</v>
      </c>
      <c r="I227" s="1">
        <v>39845.643750000003</v>
      </c>
      <c r="J227">
        <v>47.606389999999998</v>
      </c>
      <c r="K227">
        <v>-122.33083000000001</v>
      </c>
      <c r="L227">
        <v>98104</v>
      </c>
    </row>
    <row r="228" spans="1:12" x14ac:dyDescent="0.45">
      <c r="A228" s="1">
        <v>39838.832638888889</v>
      </c>
      <c r="B228" t="s">
        <v>10</v>
      </c>
      <c r="C228">
        <v>1200</v>
      </c>
      <c r="D228" t="s">
        <v>11</v>
      </c>
      <c r="E228" t="s">
        <v>454</v>
      </c>
      <c r="F228" t="s">
        <v>198</v>
      </c>
      <c r="G228" t="s">
        <v>167</v>
      </c>
      <c r="H228" t="s">
        <v>15</v>
      </c>
      <c r="I228" s="1">
        <v>39845.669444444444</v>
      </c>
      <c r="J228">
        <v>47.606389999999998</v>
      </c>
      <c r="K228">
        <v>-122.33083000000001</v>
      </c>
      <c r="L228">
        <v>98104</v>
      </c>
    </row>
    <row r="229" spans="1:12" x14ac:dyDescent="0.45">
      <c r="A229" s="1">
        <v>39834.379861111112</v>
      </c>
      <c r="B229" t="s">
        <v>10</v>
      </c>
      <c r="C229">
        <v>1200</v>
      </c>
      <c r="D229" t="s">
        <v>11</v>
      </c>
      <c r="E229" t="s">
        <v>455</v>
      </c>
      <c r="F229" t="s">
        <v>222</v>
      </c>
      <c r="G229" t="s">
        <v>66</v>
      </c>
      <c r="H229" t="s">
        <v>15</v>
      </c>
      <c r="I229" s="1">
        <v>39845.879861111112</v>
      </c>
      <c r="J229">
        <v>38.901110000000003</v>
      </c>
      <c r="K229">
        <v>-77.265559999999994</v>
      </c>
      <c r="L229">
        <v>22180</v>
      </c>
    </row>
    <row r="230" spans="1:12" x14ac:dyDescent="0.45">
      <c r="A230" s="1">
        <v>39840.34097222222</v>
      </c>
      <c r="B230" t="s">
        <v>10</v>
      </c>
      <c r="C230">
        <v>1200</v>
      </c>
      <c r="D230" t="s">
        <v>11</v>
      </c>
      <c r="E230" t="s">
        <v>456</v>
      </c>
      <c r="F230" t="s">
        <v>457</v>
      </c>
      <c r="G230" t="s">
        <v>49</v>
      </c>
      <c r="H230" t="s">
        <v>15</v>
      </c>
      <c r="I230" s="1">
        <v>39846.255555555559</v>
      </c>
      <c r="J230">
        <v>37.54833</v>
      </c>
      <c r="K230">
        <v>-121.9875</v>
      </c>
      <c r="L230">
        <v>94538</v>
      </c>
    </row>
    <row r="231" spans="1:12" x14ac:dyDescent="0.45">
      <c r="A231" s="1">
        <v>39828.411111111112</v>
      </c>
      <c r="B231" t="s">
        <v>10</v>
      </c>
      <c r="C231">
        <v>1200</v>
      </c>
      <c r="D231" t="s">
        <v>63</v>
      </c>
      <c r="E231" t="s">
        <v>458</v>
      </c>
      <c r="F231" t="s">
        <v>459</v>
      </c>
      <c r="G231" t="s">
        <v>26</v>
      </c>
      <c r="H231" t="s">
        <v>15</v>
      </c>
      <c r="I231" s="1">
        <v>39846.291666666664</v>
      </c>
      <c r="J231">
        <v>40.344999999999999</v>
      </c>
      <c r="K231">
        <v>-74.184439999999995</v>
      </c>
      <c r="L231">
        <v>7733</v>
      </c>
    </row>
    <row r="232" spans="1:12" x14ac:dyDescent="0.45">
      <c r="A232" s="1">
        <v>39826.495833333334</v>
      </c>
      <c r="B232" t="s">
        <v>10</v>
      </c>
      <c r="C232">
        <v>1200</v>
      </c>
      <c r="D232" t="s">
        <v>11</v>
      </c>
      <c r="E232" t="s">
        <v>460</v>
      </c>
      <c r="F232" t="s">
        <v>461</v>
      </c>
      <c r="G232" t="s">
        <v>104</v>
      </c>
      <c r="H232" t="s">
        <v>15</v>
      </c>
      <c r="I232" s="1">
        <v>39846.334027777775</v>
      </c>
      <c r="J232">
        <v>39.272500000000001</v>
      </c>
      <c r="K232">
        <v>-76.531670000000005</v>
      </c>
      <c r="L232">
        <v>21224</v>
      </c>
    </row>
    <row r="233" spans="1:12" x14ac:dyDescent="0.45">
      <c r="A233" s="1">
        <v>39829.492361111108</v>
      </c>
      <c r="B233" t="s">
        <v>10</v>
      </c>
      <c r="C233">
        <v>1200</v>
      </c>
      <c r="D233" t="s">
        <v>16</v>
      </c>
      <c r="E233" t="s">
        <v>462</v>
      </c>
      <c r="F233" t="s">
        <v>463</v>
      </c>
      <c r="G233" t="s">
        <v>215</v>
      </c>
      <c r="H233" t="s">
        <v>15</v>
      </c>
      <c r="I233" s="1">
        <v>39846.370138888888</v>
      </c>
      <c r="J233">
        <v>42.658329999999999</v>
      </c>
      <c r="K233">
        <v>-71.137500000000003</v>
      </c>
      <c r="L233">
        <v>1810</v>
      </c>
    </row>
    <row r="234" spans="1:12" x14ac:dyDescent="0.45">
      <c r="A234" s="1">
        <v>39814.399305555555</v>
      </c>
      <c r="B234" t="s">
        <v>10</v>
      </c>
      <c r="C234">
        <v>1200</v>
      </c>
      <c r="D234" t="s">
        <v>16</v>
      </c>
      <c r="E234" t="s">
        <v>464</v>
      </c>
      <c r="F234" t="s">
        <v>465</v>
      </c>
      <c r="G234" t="s">
        <v>49</v>
      </c>
      <c r="H234" t="s">
        <v>15</v>
      </c>
      <c r="I234" s="1">
        <v>39846.435416666667</v>
      </c>
      <c r="J234">
        <v>34.224170000000001</v>
      </c>
      <c r="K234">
        <v>-118.23917</v>
      </c>
      <c r="L234">
        <v>91214</v>
      </c>
    </row>
    <row r="235" spans="1:12" x14ac:dyDescent="0.45">
      <c r="A235" s="1">
        <v>39826.248611111114</v>
      </c>
      <c r="B235" t="s">
        <v>10</v>
      </c>
      <c r="C235">
        <v>1200</v>
      </c>
      <c r="D235" t="s">
        <v>16</v>
      </c>
      <c r="E235" t="s">
        <v>466</v>
      </c>
      <c r="F235" t="s">
        <v>467</v>
      </c>
      <c r="G235" t="s">
        <v>78</v>
      </c>
      <c r="H235" t="s">
        <v>15</v>
      </c>
      <c r="I235" s="1">
        <v>39846.550694444442</v>
      </c>
      <c r="J235">
        <v>34.051389999999998</v>
      </c>
      <c r="K235">
        <v>-84.071389999999994</v>
      </c>
      <c r="L235">
        <v>30024</v>
      </c>
    </row>
    <row r="236" spans="1:12" x14ac:dyDescent="0.45">
      <c r="A236" s="1">
        <v>39819.672222222223</v>
      </c>
      <c r="B236" t="s">
        <v>20</v>
      </c>
      <c r="C236">
        <v>3600</v>
      </c>
      <c r="D236" t="s">
        <v>11</v>
      </c>
      <c r="E236" t="s">
        <v>468</v>
      </c>
      <c r="F236" t="s">
        <v>198</v>
      </c>
      <c r="G236" t="s">
        <v>167</v>
      </c>
      <c r="H236" t="s">
        <v>15</v>
      </c>
      <c r="I236" s="1">
        <v>39846.595138888886</v>
      </c>
      <c r="J236">
        <v>47.606389999999998</v>
      </c>
      <c r="K236">
        <v>-122.33083000000001</v>
      </c>
      <c r="L236">
        <v>98104</v>
      </c>
    </row>
    <row r="237" spans="1:12" x14ac:dyDescent="0.45">
      <c r="A237" s="1">
        <v>39818.434027777781</v>
      </c>
      <c r="B237" t="s">
        <v>10</v>
      </c>
      <c r="C237">
        <v>1200</v>
      </c>
      <c r="D237" t="s">
        <v>63</v>
      </c>
      <c r="E237" t="s">
        <v>469</v>
      </c>
      <c r="F237" t="s">
        <v>333</v>
      </c>
      <c r="G237" t="s">
        <v>66</v>
      </c>
      <c r="H237" t="s">
        <v>15</v>
      </c>
      <c r="I237" s="1">
        <v>39846.675694444442</v>
      </c>
      <c r="J237">
        <v>38.890279999999997</v>
      </c>
      <c r="K237">
        <v>-77.084440000000001</v>
      </c>
      <c r="L237">
        <v>22201</v>
      </c>
    </row>
    <row r="238" spans="1:12" x14ac:dyDescent="0.45">
      <c r="A238" s="1">
        <v>39825.863194444442</v>
      </c>
      <c r="B238" t="s">
        <v>10</v>
      </c>
      <c r="C238">
        <v>1200</v>
      </c>
      <c r="D238" t="s">
        <v>11</v>
      </c>
      <c r="E238" t="s">
        <v>470</v>
      </c>
      <c r="F238" t="s">
        <v>471</v>
      </c>
      <c r="G238" t="s">
        <v>167</v>
      </c>
      <c r="H238" t="s">
        <v>15</v>
      </c>
      <c r="I238" s="1">
        <v>39846.851388888892</v>
      </c>
      <c r="J238">
        <v>47.7575</v>
      </c>
      <c r="K238">
        <v>-122.24278</v>
      </c>
      <c r="L238">
        <v>98028</v>
      </c>
    </row>
    <row r="239" spans="1:12" x14ac:dyDescent="0.45">
      <c r="A239" s="1">
        <v>39830.140277777777</v>
      </c>
      <c r="B239" t="s">
        <v>10</v>
      </c>
      <c r="C239">
        <v>1200</v>
      </c>
      <c r="D239" t="s">
        <v>11</v>
      </c>
      <c r="E239" t="s">
        <v>472</v>
      </c>
      <c r="F239" t="s">
        <v>473</v>
      </c>
      <c r="G239" t="s">
        <v>49</v>
      </c>
      <c r="H239" t="s">
        <v>15</v>
      </c>
      <c r="I239" s="1">
        <v>39846.857638888891</v>
      </c>
      <c r="J239">
        <v>36.747779999999999</v>
      </c>
      <c r="K239">
        <v>-119.77139</v>
      </c>
      <c r="L239">
        <v>93702</v>
      </c>
    </row>
    <row r="240" spans="1:12" x14ac:dyDescent="0.45">
      <c r="A240" s="1">
        <v>39831.470138888886</v>
      </c>
      <c r="B240" t="s">
        <v>10</v>
      </c>
      <c r="C240">
        <v>1200</v>
      </c>
      <c r="D240" t="s">
        <v>63</v>
      </c>
      <c r="E240" t="s">
        <v>472</v>
      </c>
      <c r="F240" t="s">
        <v>474</v>
      </c>
      <c r="G240" t="s">
        <v>49</v>
      </c>
      <c r="H240" t="s">
        <v>15</v>
      </c>
      <c r="I240" s="1">
        <v>39846.950694444444</v>
      </c>
      <c r="J240">
        <v>35.489440000000002</v>
      </c>
      <c r="K240">
        <v>-120.66972</v>
      </c>
      <c r="L240">
        <v>93422</v>
      </c>
    </row>
    <row r="241" spans="1:12" x14ac:dyDescent="0.45">
      <c r="A241" s="1">
        <v>39824.250694444447</v>
      </c>
      <c r="B241" t="s">
        <v>10</v>
      </c>
      <c r="C241">
        <v>1200</v>
      </c>
      <c r="D241" t="s">
        <v>16</v>
      </c>
      <c r="E241" t="s">
        <v>174</v>
      </c>
      <c r="F241" t="s">
        <v>34</v>
      </c>
      <c r="G241" t="s">
        <v>35</v>
      </c>
      <c r="H241" t="s">
        <v>15</v>
      </c>
      <c r="I241" s="1">
        <v>39847.184027777781</v>
      </c>
      <c r="J241">
        <v>40.714170000000003</v>
      </c>
      <c r="K241">
        <v>-74.006389999999996</v>
      </c>
      <c r="L241">
        <v>10007</v>
      </c>
    </row>
    <row r="242" spans="1:12" x14ac:dyDescent="0.45">
      <c r="A242" s="1">
        <v>39832.620138888888</v>
      </c>
      <c r="B242" t="s">
        <v>10</v>
      </c>
      <c r="C242">
        <v>1200</v>
      </c>
      <c r="D242" t="s">
        <v>16</v>
      </c>
      <c r="E242" t="s">
        <v>418</v>
      </c>
      <c r="F242" t="s">
        <v>475</v>
      </c>
      <c r="G242" t="s">
        <v>90</v>
      </c>
      <c r="H242" t="s">
        <v>15</v>
      </c>
      <c r="I242" s="1">
        <v>39847.236111111109</v>
      </c>
      <c r="J242">
        <v>41.008609999999997</v>
      </c>
      <c r="K242">
        <v>-91.962500000000006</v>
      </c>
      <c r="L242">
        <v>52556</v>
      </c>
    </row>
    <row r="243" spans="1:12" x14ac:dyDescent="0.45">
      <c r="A243" s="1">
        <v>39828.341666666667</v>
      </c>
      <c r="B243" t="s">
        <v>10</v>
      </c>
      <c r="C243">
        <v>1200</v>
      </c>
      <c r="D243" t="s">
        <v>11</v>
      </c>
      <c r="E243" t="s">
        <v>57</v>
      </c>
      <c r="F243" t="s">
        <v>170</v>
      </c>
      <c r="G243" t="s">
        <v>78</v>
      </c>
      <c r="H243" t="s">
        <v>15</v>
      </c>
      <c r="I243" s="1">
        <v>39847.322222222225</v>
      </c>
      <c r="J243">
        <v>33.952500000000001</v>
      </c>
      <c r="K243">
        <v>-84.55</v>
      </c>
      <c r="L243">
        <v>30060</v>
      </c>
    </row>
    <row r="244" spans="1:12" x14ac:dyDescent="0.45">
      <c r="A244" s="1">
        <v>39825.336805555555</v>
      </c>
      <c r="B244" t="s">
        <v>10</v>
      </c>
      <c r="C244">
        <v>1200</v>
      </c>
      <c r="D244" t="s">
        <v>63</v>
      </c>
      <c r="E244" t="s">
        <v>476</v>
      </c>
      <c r="F244" t="s">
        <v>477</v>
      </c>
      <c r="G244" t="s">
        <v>239</v>
      </c>
      <c r="H244" t="s">
        <v>15</v>
      </c>
      <c r="I244" s="1">
        <v>39847.334027777775</v>
      </c>
      <c r="J244">
        <v>40.963329999999999</v>
      </c>
      <c r="K244">
        <v>-76.613060000000004</v>
      </c>
      <c r="L244">
        <v>17821</v>
      </c>
    </row>
    <row r="245" spans="1:12" x14ac:dyDescent="0.45">
      <c r="A245" s="1">
        <v>39838.370833333334</v>
      </c>
      <c r="B245" t="s">
        <v>10</v>
      </c>
      <c r="C245">
        <v>1200</v>
      </c>
      <c r="D245" t="s">
        <v>63</v>
      </c>
      <c r="E245" t="s">
        <v>478</v>
      </c>
      <c r="F245" t="s">
        <v>479</v>
      </c>
      <c r="G245" t="s">
        <v>69</v>
      </c>
      <c r="H245" t="s">
        <v>15</v>
      </c>
      <c r="I245" s="1">
        <v>39847.409722222219</v>
      </c>
      <c r="J245">
        <v>33.867220000000003</v>
      </c>
      <c r="K245">
        <v>-112.14610999999999</v>
      </c>
      <c r="L245">
        <v>85086</v>
      </c>
    </row>
    <row r="246" spans="1:12" x14ac:dyDescent="0.45">
      <c r="A246" s="1">
        <v>39818.811805555553</v>
      </c>
      <c r="B246" t="s">
        <v>10</v>
      </c>
      <c r="C246">
        <v>1200</v>
      </c>
      <c r="D246" t="s">
        <v>11</v>
      </c>
      <c r="E246" t="s">
        <v>480</v>
      </c>
      <c r="F246" t="s">
        <v>333</v>
      </c>
      <c r="G246" t="s">
        <v>66</v>
      </c>
      <c r="H246" t="s">
        <v>15</v>
      </c>
      <c r="I246" s="1">
        <v>39847.432638888888</v>
      </c>
      <c r="J246">
        <v>38.890279999999997</v>
      </c>
      <c r="K246">
        <v>-77.084440000000001</v>
      </c>
      <c r="L246">
        <v>22201</v>
      </c>
    </row>
    <row r="247" spans="1:12" x14ac:dyDescent="0.45">
      <c r="A247" s="1">
        <v>39820.79583333333</v>
      </c>
      <c r="B247" t="s">
        <v>230</v>
      </c>
      <c r="C247">
        <v>3600</v>
      </c>
      <c r="D247" t="s">
        <v>63</v>
      </c>
      <c r="E247" t="s">
        <v>481</v>
      </c>
      <c r="F247" t="s">
        <v>482</v>
      </c>
      <c r="G247" t="s">
        <v>60</v>
      </c>
      <c r="H247" t="s">
        <v>15</v>
      </c>
      <c r="I247" s="1">
        <v>39847.480555555558</v>
      </c>
      <c r="J247">
        <v>28.538060000000002</v>
      </c>
      <c r="K247">
        <v>-81.379440000000002</v>
      </c>
      <c r="L247">
        <v>32801</v>
      </c>
    </row>
    <row r="248" spans="1:12" x14ac:dyDescent="0.45">
      <c r="A248" s="1">
        <v>39836.481249999997</v>
      </c>
      <c r="B248" t="s">
        <v>10</v>
      </c>
      <c r="C248">
        <v>1200</v>
      </c>
      <c r="D248" t="s">
        <v>16</v>
      </c>
      <c r="E248" t="s">
        <v>483</v>
      </c>
      <c r="F248" t="s">
        <v>484</v>
      </c>
      <c r="G248" t="s">
        <v>49</v>
      </c>
      <c r="H248" t="s">
        <v>15</v>
      </c>
      <c r="I248" s="1">
        <v>39847.492361111108</v>
      </c>
      <c r="J248">
        <v>37.906390000000002</v>
      </c>
      <c r="K248">
        <v>-122.06389</v>
      </c>
      <c r="L248">
        <v>94596</v>
      </c>
    </row>
    <row r="249" spans="1:12" x14ac:dyDescent="0.45">
      <c r="A249" s="1">
        <v>39816.882638888892</v>
      </c>
      <c r="B249" t="s">
        <v>10</v>
      </c>
      <c r="C249">
        <v>1200</v>
      </c>
      <c r="D249" t="s">
        <v>16</v>
      </c>
      <c r="E249" t="s">
        <v>485</v>
      </c>
      <c r="F249" t="s">
        <v>486</v>
      </c>
      <c r="G249" t="s">
        <v>130</v>
      </c>
      <c r="H249" t="s">
        <v>15</v>
      </c>
      <c r="I249" s="1">
        <v>39847.493055555555</v>
      </c>
      <c r="J249">
        <v>39.579169999999998</v>
      </c>
      <c r="K249">
        <v>-104.87639</v>
      </c>
      <c r="L249">
        <v>80112</v>
      </c>
    </row>
    <row r="250" spans="1:12" x14ac:dyDescent="0.45">
      <c r="A250" s="1">
        <v>39824.727777777778</v>
      </c>
      <c r="B250" t="s">
        <v>10</v>
      </c>
      <c r="C250">
        <v>1200</v>
      </c>
      <c r="D250" t="s">
        <v>11</v>
      </c>
      <c r="E250" t="s">
        <v>487</v>
      </c>
      <c r="F250" t="s">
        <v>488</v>
      </c>
      <c r="G250" t="s">
        <v>218</v>
      </c>
      <c r="H250" t="s">
        <v>15</v>
      </c>
      <c r="I250" s="1">
        <v>39847.51458333333</v>
      </c>
      <c r="J250">
        <v>41.413890000000002</v>
      </c>
      <c r="K250">
        <v>-73.303889999999996</v>
      </c>
      <c r="L250">
        <v>6470</v>
      </c>
    </row>
    <row r="251" spans="1:12" x14ac:dyDescent="0.45">
      <c r="A251" s="1">
        <v>39842.443055555559</v>
      </c>
      <c r="B251" t="s">
        <v>10</v>
      </c>
      <c r="C251">
        <v>1200</v>
      </c>
      <c r="D251" t="s">
        <v>11</v>
      </c>
      <c r="E251" t="s">
        <v>489</v>
      </c>
      <c r="F251" t="s">
        <v>490</v>
      </c>
      <c r="G251" t="s">
        <v>26</v>
      </c>
      <c r="H251" t="s">
        <v>15</v>
      </c>
      <c r="I251" s="1">
        <v>39847.61041666667</v>
      </c>
      <c r="J251">
        <v>40.898890000000002</v>
      </c>
      <c r="K251">
        <v>-74.093059999999994</v>
      </c>
      <c r="L251">
        <v>7663</v>
      </c>
    </row>
    <row r="252" spans="1:12" x14ac:dyDescent="0.45">
      <c r="A252" s="1">
        <v>39821.586111111108</v>
      </c>
      <c r="B252" t="s">
        <v>10</v>
      </c>
      <c r="C252">
        <v>1200</v>
      </c>
      <c r="D252" t="s">
        <v>63</v>
      </c>
      <c r="E252" t="s">
        <v>491</v>
      </c>
      <c r="F252" t="s">
        <v>492</v>
      </c>
      <c r="G252" t="s">
        <v>49</v>
      </c>
      <c r="H252" t="s">
        <v>15</v>
      </c>
      <c r="I252" s="1">
        <v>39847.622916666667</v>
      </c>
      <c r="J252">
        <v>32.71528</v>
      </c>
      <c r="K252">
        <v>-117.15639</v>
      </c>
      <c r="L252">
        <v>92101</v>
      </c>
    </row>
    <row r="253" spans="1:12" x14ac:dyDescent="0.45">
      <c r="A253" s="1">
        <v>39844.909722222219</v>
      </c>
      <c r="B253" t="s">
        <v>10</v>
      </c>
      <c r="C253">
        <v>1200</v>
      </c>
      <c r="D253" t="s">
        <v>11</v>
      </c>
      <c r="E253" t="s">
        <v>493</v>
      </c>
      <c r="F253" t="s">
        <v>494</v>
      </c>
      <c r="G253" t="s">
        <v>167</v>
      </c>
      <c r="H253" t="s">
        <v>15</v>
      </c>
      <c r="I253" s="1">
        <v>39847.6875</v>
      </c>
      <c r="J253">
        <v>47.530279999999998</v>
      </c>
      <c r="K253">
        <v>-122.03139</v>
      </c>
      <c r="L253">
        <v>98027</v>
      </c>
    </row>
    <row r="254" spans="1:12" x14ac:dyDescent="0.45">
      <c r="A254" s="1">
        <v>39843.550694444442</v>
      </c>
      <c r="B254" t="s">
        <v>10</v>
      </c>
      <c r="C254">
        <v>1200</v>
      </c>
      <c r="D254" t="s">
        <v>11</v>
      </c>
      <c r="E254" t="s">
        <v>280</v>
      </c>
      <c r="F254" t="s">
        <v>495</v>
      </c>
      <c r="G254" t="s">
        <v>215</v>
      </c>
      <c r="H254" t="s">
        <v>15</v>
      </c>
      <c r="I254" s="1">
        <v>39847.718055555553</v>
      </c>
      <c r="J254">
        <v>42.447220000000002</v>
      </c>
      <c r="K254">
        <v>-71.224999999999994</v>
      </c>
      <c r="L254">
        <v>2420</v>
      </c>
    </row>
    <row r="255" spans="1:12" x14ac:dyDescent="0.45">
      <c r="A255" s="1">
        <v>39840.701388888891</v>
      </c>
      <c r="B255" t="s">
        <v>10</v>
      </c>
      <c r="C255">
        <v>1200</v>
      </c>
      <c r="D255" t="s">
        <v>11</v>
      </c>
      <c r="E255" t="s">
        <v>496</v>
      </c>
      <c r="F255" t="s">
        <v>497</v>
      </c>
      <c r="G255" t="s">
        <v>49</v>
      </c>
      <c r="H255" t="s">
        <v>15</v>
      </c>
      <c r="I255" s="1">
        <v>39847.756249999999</v>
      </c>
      <c r="J255">
        <v>34.189720000000001</v>
      </c>
      <c r="K255">
        <v>-118.13028</v>
      </c>
      <c r="L255">
        <v>91001</v>
      </c>
    </row>
    <row r="256" spans="1:12" x14ac:dyDescent="0.45">
      <c r="A256" s="1">
        <v>39843.320833333331</v>
      </c>
      <c r="B256" t="s">
        <v>10</v>
      </c>
      <c r="C256">
        <v>250</v>
      </c>
      <c r="D256" t="s">
        <v>11</v>
      </c>
      <c r="E256" t="s">
        <v>498</v>
      </c>
      <c r="F256" t="s">
        <v>497</v>
      </c>
      <c r="G256" t="s">
        <v>49</v>
      </c>
      <c r="H256" t="s">
        <v>15</v>
      </c>
      <c r="I256" s="1">
        <v>39847.756249999999</v>
      </c>
      <c r="J256">
        <v>34.189720000000001</v>
      </c>
      <c r="K256">
        <v>-118.13028</v>
      </c>
      <c r="L256">
        <v>91001</v>
      </c>
    </row>
    <row r="257" spans="1:12" x14ac:dyDescent="0.45">
      <c r="A257" s="1">
        <v>39830.658333333333</v>
      </c>
      <c r="B257" t="s">
        <v>20</v>
      </c>
      <c r="C257">
        <v>3600</v>
      </c>
      <c r="D257" t="s">
        <v>11</v>
      </c>
      <c r="E257" t="s">
        <v>499</v>
      </c>
      <c r="F257" t="s">
        <v>500</v>
      </c>
      <c r="G257" t="s">
        <v>49</v>
      </c>
      <c r="H257" t="s">
        <v>15</v>
      </c>
      <c r="I257" s="1">
        <v>39847.801388888889</v>
      </c>
      <c r="J257">
        <v>38.545000000000002</v>
      </c>
      <c r="K257">
        <v>-121.73944</v>
      </c>
      <c r="L257">
        <v>95616</v>
      </c>
    </row>
    <row r="258" spans="1:12" x14ac:dyDescent="0.45">
      <c r="A258" s="1">
        <v>39843.852083333331</v>
      </c>
      <c r="B258" t="s">
        <v>10</v>
      </c>
      <c r="C258">
        <v>1200</v>
      </c>
      <c r="D258" t="s">
        <v>16</v>
      </c>
      <c r="E258" t="s">
        <v>501</v>
      </c>
      <c r="F258" t="s">
        <v>502</v>
      </c>
      <c r="G258" t="s">
        <v>49</v>
      </c>
      <c r="H258" t="s">
        <v>15</v>
      </c>
      <c r="I258" s="1">
        <v>39847.98541666667</v>
      </c>
      <c r="J258">
        <v>34.147779999999997</v>
      </c>
      <c r="K258">
        <v>-118.14361</v>
      </c>
      <c r="L258">
        <v>91101</v>
      </c>
    </row>
    <row r="259" spans="1:12" x14ac:dyDescent="0.45">
      <c r="A259" s="1">
        <v>39840.774305555555</v>
      </c>
      <c r="B259" t="s">
        <v>10</v>
      </c>
      <c r="C259">
        <v>1200</v>
      </c>
      <c r="D259" t="s">
        <v>16</v>
      </c>
      <c r="E259" t="s">
        <v>503</v>
      </c>
      <c r="F259" t="s">
        <v>296</v>
      </c>
      <c r="G259" t="s">
        <v>29</v>
      </c>
      <c r="H259" t="s">
        <v>15</v>
      </c>
      <c r="I259" s="1">
        <v>39847.987500000003</v>
      </c>
      <c r="J259">
        <v>41.981110000000001</v>
      </c>
      <c r="K259">
        <v>-89.594999999999999</v>
      </c>
      <c r="L259">
        <v>61064</v>
      </c>
    </row>
    <row r="260" spans="1:12" x14ac:dyDescent="0.45">
      <c r="A260" s="1">
        <v>39834.23541666667</v>
      </c>
      <c r="B260" t="s">
        <v>230</v>
      </c>
      <c r="C260">
        <v>1200</v>
      </c>
      <c r="D260" t="s">
        <v>63</v>
      </c>
      <c r="E260" t="s">
        <v>504</v>
      </c>
      <c r="F260" t="s">
        <v>505</v>
      </c>
      <c r="G260" t="s">
        <v>218</v>
      </c>
      <c r="H260" t="s">
        <v>15</v>
      </c>
      <c r="I260" s="1">
        <v>39848.188194444447</v>
      </c>
      <c r="J260">
        <v>41.1175</v>
      </c>
      <c r="K260">
        <v>-73.408330000000007</v>
      </c>
      <c r="L260">
        <v>6851</v>
      </c>
    </row>
    <row r="261" spans="1:12" x14ac:dyDescent="0.45">
      <c r="A261" s="1">
        <v>39833.349305555559</v>
      </c>
      <c r="B261" t="s">
        <v>10</v>
      </c>
      <c r="C261">
        <v>1200</v>
      </c>
      <c r="D261" t="s">
        <v>16</v>
      </c>
      <c r="E261" t="s">
        <v>419</v>
      </c>
      <c r="F261" t="s">
        <v>506</v>
      </c>
      <c r="G261" t="s">
        <v>507</v>
      </c>
      <c r="H261" t="s">
        <v>15</v>
      </c>
      <c r="I261" s="1">
        <v>39848.344444444447</v>
      </c>
      <c r="J261">
        <v>38.324440000000003</v>
      </c>
      <c r="K261">
        <v>-85.873609999999999</v>
      </c>
      <c r="L261">
        <v>47119</v>
      </c>
    </row>
    <row r="262" spans="1:12" x14ac:dyDescent="0.45">
      <c r="A262" s="1">
        <v>39824.204861111109</v>
      </c>
      <c r="B262" t="s">
        <v>10</v>
      </c>
      <c r="C262">
        <v>1200</v>
      </c>
      <c r="D262" t="s">
        <v>63</v>
      </c>
      <c r="E262" t="s">
        <v>508</v>
      </c>
      <c r="F262" t="s">
        <v>170</v>
      </c>
      <c r="G262" t="s">
        <v>78</v>
      </c>
      <c r="H262" t="s">
        <v>15</v>
      </c>
      <c r="I262" s="1">
        <v>39848.390277777777</v>
      </c>
      <c r="J262">
        <v>33.952500000000001</v>
      </c>
      <c r="K262">
        <v>-84.55</v>
      </c>
      <c r="L262">
        <v>30060</v>
      </c>
    </row>
    <row r="263" spans="1:12" x14ac:dyDescent="0.45">
      <c r="A263" s="1">
        <v>39836.324305555558</v>
      </c>
      <c r="B263" t="s">
        <v>10</v>
      </c>
      <c r="C263">
        <v>1800</v>
      </c>
      <c r="D263" t="s">
        <v>63</v>
      </c>
      <c r="E263" t="s">
        <v>509</v>
      </c>
      <c r="F263" t="s">
        <v>170</v>
      </c>
      <c r="G263" t="s">
        <v>78</v>
      </c>
      <c r="H263" t="s">
        <v>15</v>
      </c>
      <c r="I263" s="1">
        <v>39848.390277777777</v>
      </c>
      <c r="J263">
        <v>33.952500000000001</v>
      </c>
      <c r="K263">
        <v>-84.55</v>
      </c>
      <c r="L263">
        <v>30060</v>
      </c>
    </row>
    <row r="264" spans="1:12" x14ac:dyDescent="0.45">
      <c r="A264" s="1">
        <v>39834.97152777778</v>
      </c>
      <c r="B264" t="s">
        <v>10</v>
      </c>
      <c r="C264">
        <v>1200</v>
      </c>
      <c r="D264" t="s">
        <v>63</v>
      </c>
      <c r="E264" t="s">
        <v>510</v>
      </c>
      <c r="F264" t="s">
        <v>511</v>
      </c>
      <c r="G264" t="s">
        <v>122</v>
      </c>
      <c r="H264" t="s">
        <v>15</v>
      </c>
      <c r="I264" s="1">
        <v>39848.46597222222</v>
      </c>
      <c r="J264">
        <v>21.306940000000001</v>
      </c>
      <c r="K264">
        <v>-157.85833</v>
      </c>
      <c r="L264">
        <v>96813</v>
      </c>
    </row>
    <row r="265" spans="1:12" x14ac:dyDescent="0.45">
      <c r="A265" s="1">
        <v>39824.186805555553</v>
      </c>
      <c r="B265" t="s">
        <v>230</v>
      </c>
      <c r="C265">
        <v>7500</v>
      </c>
      <c r="D265" t="s">
        <v>11</v>
      </c>
      <c r="E265" t="s">
        <v>512</v>
      </c>
      <c r="F265" t="s">
        <v>513</v>
      </c>
      <c r="G265" t="s">
        <v>32</v>
      </c>
      <c r="H265" t="s">
        <v>15</v>
      </c>
      <c r="I265" s="1">
        <v>39848.511805555558</v>
      </c>
      <c r="J265">
        <v>35.960560000000001</v>
      </c>
      <c r="K265">
        <v>-83.920829999999995</v>
      </c>
      <c r="L265">
        <v>37902</v>
      </c>
    </row>
    <row r="266" spans="1:12" x14ac:dyDescent="0.45">
      <c r="A266" s="1">
        <v>39824.193749999999</v>
      </c>
      <c r="B266" t="s">
        <v>10</v>
      </c>
      <c r="C266">
        <v>1200</v>
      </c>
      <c r="D266" t="s">
        <v>11</v>
      </c>
      <c r="E266" t="s">
        <v>514</v>
      </c>
      <c r="F266" t="s">
        <v>513</v>
      </c>
      <c r="G266" t="s">
        <v>32</v>
      </c>
      <c r="H266" t="s">
        <v>15</v>
      </c>
      <c r="I266" s="1">
        <v>39848.511805555558</v>
      </c>
      <c r="J266">
        <v>35.960560000000001</v>
      </c>
      <c r="K266">
        <v>-83.920829999999995</v>
      </c>
      <c r="L266">
        <v>37902</v>
      </c>
    </row>
    <row r="267" spans="1:12" x14ac:dyDescent="0.45">
      <c r="A267" s="1">
        <v>39830.625</v>
      </c>
      <c r="B267" t="s">
        <v>10</v>
      </c>
      <c r="C267">
        <v>1200</v>
      </c>
      <c r="D267" t="s">
        <v>11</v>
      </c>
      <c r="E267" t="s">
        <v>515</v>
      </c>
      <c r="F267" t="s">
        <v>516</v>
      </c>
      <c r="G267" t="s">
        <v>38</v>
      </c>
      <c r="H267" t="s">
        <v>15</v>
      </c>
      <c r="I267" s="1">
        <v>39848.561805555553</v>
      </c>
      <c r="J267">
        <v>29.998609999999999</v>
      </c>
      <c r="K267">
        <v>-95.261939999999996</v>
      </c>
      <c r="L267">
        <v>77338</v>
      </c>
    </row>
    <row r="268" spans="1:12" x14ac:dyDescent="0.45">
      <c r="A268" s="1">
        <v>39817.587500000001</v>
      </c>
      <c r="B268" t="s">
        <v>10</v>
      </c>
      <c r="C268">
        <v>1200</v>
      </c>
      <c r="D268" t="s">
        <v>11</v>
      </c>
      <c r="E268" t="s">
        <v>517</v>
      </c>
      <c r="F268" t="s">
        <v>518</v>
      </c>
      <c r="G268" t="s">
        <v>215</v>
      </c>
      <c r="H268" t="s">
        <v>15</v>
      </c>
      <c r="I268" s="1">
        <v>39848.572916666664</v>
      </c>
      <c r="J268">
        <v>41.648330000000001</v>
      </c>
      <c r="K268">
        <v>-70.481669999999994</v>
      </c>
      <c r="L268">
        <v>2649</v>
      </c>
    </row>
    <row r="269" spans="1:12" x14ac:dyDescent="0.45">
      <c r="A269" s="1">
        <v>39833.209027777775</v>
      </c>
      <c r="B269" t="s">
        <v>10</v>
      </c>
      <c r="C269">
        <v>1200</v>
      </c>
      <c r="D269" t="s">
        <v>11</v>
      </c>
      <c r="E269" t="s">
        <v>280</v>
      </c>
      <c r="F269" t="s">
        <v>519</v>
      </c>
      <c r="G269" t="s">
        <v>113</v>
      </c>
      <c r="H269" t="s">
        <v>15</v>
      </c>
      <c r="I269" s="1">
        <v>39848.697916666664</v>
      </c>
      <c r="J269">
        <v>42.546669999999999</v>
      </c>
      <c r="K269">
        <v>-83.211389999999994</v>
      </c>
      <c r="L269">
        <v>48009</v>
      </c>
    </row>
    <row r="270" spans="1:12" x14ac:dyDescent="0.45">
      <c r="A270" s="1">
        <v>39839.609027777777</v>
      </c>
      <c r="B270" t="s">
        <v>10</v>
      </c>
      <c r="C270">
        <v>1200</v>
      </c>
      <c r="D270" t="s">
        <v>11</v>
      </c>
      <c r="E270" t="s">
        <v>346</v>
      </c>
      <c r="F270" t="s">
        <v>520</v>
      </c>
      <c r="G270" t="s">
        <v>60</v>
      </c>
      <c r="H270" t="s">
        <v>15</v>
      </c>
      <c r="I270" s="1">
        <v>39848.704861111109</v>
      </c>
      <c r="J270">
        <v>29.894439999999999</v>
      </c>
      <c r="K270">
        <v>-81.314719999999994</v>
      </c>
      <c r="L270">
        <v>32084</v>
      </c>
    </row>
    <row r="271" spans="1:12" x14ac:dyDescent="0.45">
      <c r="A271" s="1">
        <v>39842.560416666667</v>
      </c>
      <c r="B271" t="s">
        <v>10</v>
      </c>
      <c r="C271">
        <v>1200</v>
      </c>
      <c r="D271" t="s">
        <v>11</v>
      </c>
      <c r="E271" t="s">
        <v>521</v>
      </c>
      <c r="F271" t="s">
        <v>45</v>
      </c>
      <c r="G271" t="s">
        <v>46</v>
      </c>
      <c r="H271" t="s">
        <v>15</v>
      </c>
      <c r="I271" s="1">
        <v>39848.838194444441</v>
      </c>
      <c r="J271">
        <v>40.760829999999999</v>
      </c>
      <c r="K271">
        <v>-111.89028</v>
      </c>
      <c r="L271">
        <v>84111</v>
      </c>
    </row>
    <row r="272" spans="1:12" x14ac:dyDescent="0.45">
      <c r="A272" s="1">
        <v>39825.439583333333</v>
      </c>
      <c r="B272" t="s">
        <v>230</v>
      </c>
      <c r="C272">
        <v>1200</v>
      </c>
      <c r="D272" t="s">
        <v>63</v>
      </c>
      <c r="E272" t="s">
        <v>522</v>
      </c>
      <c r="F272" t="s">
        <v>198</v>
      </c>
      <c r="G272" t="s">
        <v>167</v>
      </c>
      <c r="H272" t="s">
        <v>15</v>
      </c>
      <c r="I272" s="1">
        <v>39848.872916666667</v>
      </c>
      <c r="J272">
        <v>47.606389999999998</v>
      </c>
      <c r="K272">
        <v>-122.33083000000001</v>
      </c>
      <c r="L272">
        <v>98104</v>
      </c>
    </row>
    <row r="273" spans="1:12" x14ac:dyDescent="0.45">
      <c r="A273" s="1">
        <v>39838.674305555556</v>
      </c>
      <c r="B273" t="s">
        <v>230</v>
      </c>
      <c r="C273">
        <v>7500</v>
      </c>
      <c r="D273" t="s">
        <v>11</v>
      </c>
      <c r="E273" t="s">
        <v>219</v>
      </c>
      <c r="F273" t="s">
        <v>523</v>
      </c>
      <c r="G273" t="s">
        <v>179</v>
      </c>
      <c r="H273" t="s">
        <v>15</v>
      </c>
      <c r="I273" s="1">
        <v>39849.013888888891</v>
      </c>
      <c r="J273">
        <v>36.331940000000003</v>
      </c>
      <c r="K273">
        <v>-94.11833</v>
      </c>
      <c r="L273">
        <v>72756</v>
      </c>
    </row>
    <row r="274" spans="1:12" x14ac:dyDescent="0.45">
      <c r="A274" s="1">
        <v>39838.863888888889</v>
      </c>
      <c r="B274" t="s">
        <v>10</v>
      </c>
      <c r="C274">
        <v>1200</v>
      </c>
      <c r="D274" t="s">
        <v>11</v>
      </c>
      <c r="E274" t="s">
        <v>524</v>
      </c>
      <c r="F274" t="s">
        <v>523</v>
      </c>
      <c r="G274" t="s">
        <v>179</v>
      </c>
      <c r="H274" t="s">
        <v>15</v>
      </c>
      <c r="I274" s="1">
        <v>39849.013888888891</v>
      </c>
      <c r="J274">
        <v>36.331940000000003</v>
      </c>
      <c r="K274">
        <v>-94.11833</v>
      </c>
      <c r="L274">
        <v>72756</v>
      </c>
    </row>
    <row r="275" spans="1:12" x14ac:dyDescent="0.45">
      <c r="A275" s="1">
        <v>39815.664583333331</v>
      </c>
      <c r="B275" t="s">
        <v>10</v>
      </c>
      <c r="C275">
        <v>1200</v>
      </c>
      <c r="D275" t="s">
        <v>11</v>
      </c>
      <c r="E275" t="s">
        <v>525</v>
      </c>
      <c r="F275" t="s">
        <v>526</v>
      </c>
      <c r="G275" t="s">
        <v>26</v>
      </c>
      <c r="H275" t="s">
        <v>15</v>
      </c>
      <c r="I275" s="1">
        <v>39849.429166666669</v>
      </c>
      <c r="J275">
        <v>40.955829999999999</v>
      </c>
      <c r="K275">
        <v>-73.931669999999997</v>
      </c>
      <c r="L275">
        <v>7620</v>
      </c>
    </row>
    <row r="276" spans="1:12" x14ac:dyDescent="0.45">
      <c r="A276" s="1">
        <v>39840.472916666666</v>
      </c>
      <c r="B276" t="s">
        <v>10</v>
      </c>
      <c r="C276">
        <v>1200</v>
      </c>
      <c r="D276" t="s">
        <v>16</v>
      </c>
      <c r="E276" t="s">
        <v>527</v>
      </c>
      <c r="F276" t="s">
        <v>528</v>
      </c>
      <c r="G276" t="s">
        <v>49</v>
      </c>
      <c r="H276" t="s">
        <v>15</v>
      </c>
      <c r="I276" s="1">
        <v>39849.526388888888</v>
      </c>
      <c r="J276">
        <v>34.04806</v>
      </c>
      <c r="K276">
        <v>-118.52556</v>
      </c>
      <c r="L276">
        <v>90272</v>
      </c>
    </row>
    <row r="277" spans="1:12" x14ac:dyDescent="0.45">
      <c r="A277" s="1">
        <v>39835.375</v>
      </c>
      <c r="B277" t="s">
        <v>10</v>
      </c>
      <c r="C277">
        <v>1200</v>
      </c>
      <c r="D277" t="s">
        <v>11</v>
      </c>
      <c r="E277" t="s">
        <v>529</v>
      </c>
      <c r="F277" t="s">
        <v>530</v>
      </c>
      <c r="G277" t="s">
        <v>35</v>
      </c>
      <c r="H277" t="s">
        <v>15</v>
      </c>
      <c r="I277" s="1">
        <v>39849.689583333333</v>
      </c>
      <c r="J277">
        <v>42.54222</v>
      </c>
      <c r="K277">
        <v>-76.666390000000007</v>
      </c>
      <c r="L277">
        <v>14886</v>
      </c>
    </row>
    <row r="278" spans="1:12" x14ac:dyDescent="0.45">
      <c r="A278" s="1">
        <v>39838.540972222225</v>
      </c>
      <c r="B278" t="s">
        <v>10</v>
      </c>
      <c r="C278">
        <v>1200</v>
      </c>
      <c r="D278" t="s">
        <v>11</v>
      </c>
      <c r="E278" t="s">
        <v>531</v>
      </c>
      <c r="F278" t="s">
        <v>532</v>
      </c>
      <c r="G278" t="s">
        <v>239</v>
      </c>
      <c r="H278" t="s">
        <v>15</v>
      </c>
      <c r="I278" s="1">
        <v>39849.777777777781</v>
      </c>
      <c r="J278">
        <v>39.846670000000003</v>
      </c>
      <c r="K278">
        <v>-75.711939999999998</v>
      </c>
      <c r="L278">
        <v>19348</v>
      </c>
    </row>
    <row r="279" spans="1:12" x14ac:dyDescent="0.45">
      <c r="A279" s="1">
        <v>39823.811111111114</v>
      </c>
      <c r="B279" t="s">
        <v>20</v>
      </c>
      <c r="C279">
        <v>3600</v>
      </c>
      <c r="D279" t="s">
        <v>11</v>
      </c>
      <c r="E279" t="s">
        <v>533</v>
      </c>
      <c r="F279" t="s">
        <v>439</v>
      </c>
      <c r="G279" t="s">
        <v>49</v>
      </c>
      <c r="H279" t="s">
        <v>15</v>
      </c>
      <c r="I279" s="1">
        <v>39849.881944444445</v>
      </c>
      <c r="J279">
        <v>37.339440000000003</v>
      </c>
      <c r="K279">
        <v>-121.89389</v>
      </c>
      <c r="L279">
        <v>95113</v>
      </c>
    </row>
    <row r="280" spans="1:12" x14ac:dyDescent="0.45">
      <c r="A280" s="1">
        <v>39821.50277777778</v>
      </c>
      <c r="B280" t="s">
        <v>10</v>
      </c>
      <c r="C280">
        <v>1200</v>
      </c>
      <c r="D280" t="s">
        <v>11</v>
      </c>
      <c r="E280" t="s">
        <v>67</v>
      </c>
      <c r="F280" t="s">
        <v>534</v>
      </c>
      <c r="G280" t="s">
        <v>49</v>
      </c>
      <c r="H280" t="s">
        <v>15</v>
      </c>
      <c r="I280" s="1">
        <v>39849.924305555556</v>
      </c>
      <c r="J280">
        <v>35.365830000000003</v>
      </c>
      <c r="K280">
        <v>-120.84889</v>
      </c>
      <c r="L280">
        <v>93442</v>
      </c>
    </row>
    <row r="281" spans="1:12" x14ac:dyDescent="0.45">
      <c r="A281" s="1">
        <v>39816.593055555553</v>
      </c>
      <c r="B281" t="s">
        <v>10</v>
      </c>
      <c r="C281">
        <v>1200</v>
      </c>
      <c r="D281" t="s">
        <v>11</v>
      </c>
      <c r="E281" t="s">
        <v>535</v>
      </c>
      <c r="F281" t="s">
        <v>536</v>
      </c>
      <c r="G281" t="s">
        <v>292</v>
      </c>
      <c r="H281" t="s">
        <v>15</v>
      </c>
      <c r="I281" s="1">
        <v>39850.228472222225</v>
      </c>
      <c r="J281">
        <v>36.174999999999997</v>
      </c>
      <c r="K281">
        <v>-115.13639000000001</v>
      </c>
      <c r="L281">
        <v>89101</v>
      </c>
    </row>
    <row r="282" spans="1:12" x14ac:dyDescent="0.45">
      <c r="A282" s="1">
        <v>39835.525694444441</v>
      </c>
      <c r="B282" t="s">
        <v>20</v>
      </c>
      <c r="C282">
        <v>3600</v>
      </c>
      <c r="D282" t="s">
        <v>63</v>
      </c>
      <c r="E282" t="s">
        <v>418</v>
      </c>
      <c r="F282" t="s">
        <v>537</v>
      </c>
      <c r="G282" t="s">
        <v>49</v>
      </c>
      <c r="H282" t="s">
        <v>15</v>
      </c>
      <c r="I282" s="1">
        <v>39850.276388888888</v>
      </c>
      <c r="J282">
        <v>37.974719999999998</v>
      </c>
      <c r="K282">
        <v>-122.56056</v>
      </c>
      <c r="L282">
        <v>94960</v>
      </c>
    </row>
    <row r="283" spans="1:12" x14ac:dyDescent="0.45">
      <c r="A283" s="1">
        <v>39819.40625</v>
      </c>
      <c r="B283" t="s">
        <v>10</v>
      </c>
      <c r="C283">
        <v>1200</v>
      </c>
      <c r="D283" t="s">
        <v>11</v>
      </c>
      <c r="E283" t="s">
        <v>538</v>
      </c>
      <c r="F283" t="s">
        <v>539</v>
      </c>
      <c r="G283" t="s">
        <v>35</v>
      </c>
      <c r="H283" t="s">
        <v>15</v>
      </c>
      <c r="I283" s="1">
        <v>39850.314583333333</v>
      </c>
      <c r="J283">
        <v>40.664169999999999</v>
      </c>
      <c r="K283">
        <v>-73.708889999999997</v>
      </c>
      <c r="L283">
        <v>11580</v>
      </c>
    </row>
    <row r="284" spans="1:12" x14ac:dyDescent="0.45">
      <c r="A284" s="1">
        <v>39825.307638888888</v>
      </c>
      <c r="B284" t="s">
        <v>10</v>
      </c>
      <c r="C284">
        <v>1200</v>
      </c>
      <c r="D284" t="s">
        <v>11</v>
      </c>
      <c r="E284" t="s">
        <v>540</v>
      </c>
      <c r="F284" t="s">
        <v>541</v>
      </c>
      <c r="G284" t="s">
        <v>49</v>
      </c>
      <c r="H284" t="s">
        <v>15</v>
      </c>
      <c r="I284" s="1">
        <v>39850.675694444442</v>
      </c>
      <c r="J284">
        <v>37.987220000000001</v>
      </c>
      <c r="K284">
        <v>-122.58778</v>
      </c>
      <c r="L284">
        <v>94930</v>
      </c>
    </row>
    <row r="285" spans="1:12" x14ac:dyDescent="0.45">
      <c r="A285" s="1">
        <v>39843.199999999997</v>
      </c>
      <c r="B285" t="s">
        <v>10</v>
      </c>
      <c r="C285">
        <v>1200</v>
      </c>
      <c r="D285" t="s">
        <v>11</v>
      </c>
      <c r="E285" t="s">
        <v>542</v>
      </c>
      <c r="F285" t="s">
        <v>543</v>
      </c>
      <c r="G285" t="s">
        <v>69</v>
      </c>
      <c r="H285" t="s">
        <v>15</v>
      </c>
      <c r="I285" s="1">
        <v>39850.722916666666</v>
      </c>
      <c r="J285">
        <v>33.306109999999997</v>
      </c>
      <c r="K285">
        <v>-111.84056</v>
      </c>
      <c r="L285">
        <v>85225</v>
      </c>
    </row>
    <row r="286" spans="1:12" x14ac:dyDescent="0.45">
      <c r="A286" s="1">
        <v>39835.686805555553</v>
      </c>
      <c r="B286" t="s">
        <v>10</v>
      </c>
      <c r="C286">
        <v>1200</v>
      </c>
      <c r="D286" t="s">
        <v>11</v>
      </c>
      <c r="E286" t="s">
        <v>544</v>
      </c>
      <c r="F286" t="s">
        <v>545</v>
      </c>
      <c r="G286" t="s">
        <v>46</v>
      </c>
      <c r="H286" t="s">
        <v>15</v>
      </c>
      <c r="I286" s="1">
        <v>39850.759722222225</v>
      </c>
      <c r="J286">
        <v>37.130600000000001</v>
      </c>
      <c r="K286">
        <v>-113.64919999999999</v>
      </c>
      <c r="L286">
        <v>84765</v>
      </c>
    </row>
    <row r="287" spans="1:12" x14ac:dyDescent="0.45">
      <c r="A287" s="1">
        <v>39840.268055555556</v>
      </c>
      <c r="B287" t="s">
        <v>10</v>
      </c>
      <c r="C287">
        <v>1200</v>
      </c>
      <c r="D287" t="s">
        <v>16</v>
      </c>
      <c r="E287" t="s">
        <v>452</v>
      </c>
      <c r="F287" t="s">
        <v>546</v>
      </c>
      <c r="G287" t="s">
        <v>35</v>
      </c>
      <c r="H287" t="s">
        <v>15</v>
      </c>
      <c r="I287" s="1">
        <v>39850.76666666667</v>
      </c>
      <c r="J287">
        <v>42.886389999999999</v>
      </c>
      <c r="K287">
        <v>-78.878609999999995</v>
      </c>
      <c r="L287">
        <v>14202</v>
      </c>
    </row>
    <row r="288" spans="1:12" x14ac:dyDescent="0.45">
      <c r="A288" s="1">
        <v>39828.427777777775</v>
      </c>
      <c r="B288" t="s">
        <v>230</v>
      </c>
      <c r="C288">
        <v>7500</v>
      </c>
      <c r="D288" t="s">
        <v>11</v>
      </c>
      <c r="E288" t="s">
        <v>547</v>
      </c>
      <c r="F288" t="s">
        <v>548</v>
      </c>
      <c r="G288" t="s">
        <v>370</v>
      </c>
      <c r="H288" t="s">
        <v>15</v>
      </c>
      <c r="I288" s="1">
        <v>39850.783333333333</v>
      </c>
      <c r="J288">
        <v>34.961669999999998</v>
      </c>
      <c r="K288">
        <v>-89.829440000000005</v>
      </c>
      <c r="L288">
        <v>38654</v>
      </c>
    </row>
    <row r="289" spans="1:12" x14ac:dyDescent="0.45">
      <c r="A289" s="1">
        <v>39832.787499999999</v>
      </c>
      <c r="B289" t="s">
        <v>10</v>
      </c>
      <c r="C289">
        <v>1200</v>
      </c>
      <c r="D289" t="s">
        <v>63</v>
      </c>
      <c r="E289" t="s">
        <v>549</v>
      </c>
      <c r="F289" t="s">
        <v>550</v>
      </c>
      <c r="G289" t="s">
        <v>35</v>
      </c>
      <c r="H289" t="s">
        <v>15</v>
      </c>
      <c r="I289" s="1">
        <v>39850.810416666667</v>
      </c>
      <c r="J289">
        <v>41.256390000000003</v>
      </c>
      <c r="K289">
        <v>-74.360280000000003</v>
      </c>
      <c r="L289">
        <v>10990</v>
      </c>
    </row>
    <row r="290" spans="1:12" x14ac:dyDescent="0.45">
      <c r="A290" s="1">
        <v>39814.772222222222</v>
      </c>
      <c r="B290" t="s">
        <v>10</v>
      </c>
      <c r="C290">
        <v>1200</v>
      </c>
      <c r="D290" t="s">
        <v>63</v>
      </c>
      <c r="E290" t="s">
        <v>234</v>
      </c>
      <c r="F290" t="s">
        <v>551</v>
      </c>
      <c r="G290" t="s">
        <v>49</v>
      </c>
      <c r="H290" t="s">
        <v>15</v>
      </c>
      <c r="I290" s="1">
        <v>39850.915972222225</v>
      </c>
      <c r="J290">
        <v>37.56306</v>
      </c>
      <c r="K290">
        <v>-122.32444</v>
      </c>
      <c r="L290">
        <v>94401</v>
      </c>
    </row>
    <row r="291" spans="1:12" x14ac:dyDescent="0.45">
      <c r="A291" s="1">
        <v>39837.751388888886</v>
      </c>
      <c r="B291" t="s">
        <v>10</v>
      </c>
      <c r="C291">
        <v>1200</v>
      </c>
      <c r="D291" t="s">
        <v>11</v>
      </c>
      <c r="E291" t="s">
        <v>297</v>
      </c>
      <c r="F291" t="s">
        <v>552</v>
      </c>
      <c r="G291" t="s">
        <v>60</v>
      </c>
      <c r="H291" t="s">
        <v>15</v>
      </c>
      <c r="I291" s="1">
        <v>39851.252083333333</v>
      </c>
      <c r="J291">
        <v>28.600560000000002</v>
      </c>
      <c r="K291">
        <v>-81.306669999999997</v>
      </c>
      <c r="L291">
        <v>32792</v>
      </c>
    </row>
    <row r="292" spans="1:12" x14ac:dyDescent="0.45">
      <c r="A292" s="1">
        <v>39820.351388888892</v>
      </c>
      <c r="B292" t="s">
        <v>10</v>
      </c>
      <c r="C292">
        <v>1200</v>
      </c>
      <c r="D292" t="s">
        <v>11</v>
      </c>
      <c r="E292" t="s">
        <v>553</v>
      </c>
      <c r="F292" t="s">
        <v>543</v>
      </c>
      <c r="G292" t="s">
        <v>69</v>
      </c>
      <c r="H292" t="s">
        <v>15</v>
      </c>
      <c r="I292" s="1">
        <v>39851.253472222219</v>
      </c>
      <c r="J292">
        <v>33.306109999999997</v>
      </c>
      <c r="K292">
        <v>-111.84056</v>
      </c>
      <c r="L292">
        <v>85225</v>
      </c>
    </row>
    <row r="293" spans="1:12" x14ac:dyDescent="0.45">
      <c r="A293" s="1">
        <v>39838.678472222222</v>
      </c>
      <c r="B293" t="s">
        <v>10</v>
      </c>
      <c r="C293">
        <v>1200</v>
      </c>
      <c r="D293" t="s">
        <v>63</v>
      </c>
      <c r="E293" t="s">
        <v>554</v>
      </c>
      <c r="F293" t="s">
        <v>555</v>
      </c>
      <c r="G293" t="s">
        <v>78</v>
      </c>
      <c r="H293" t="s">
        <v>15</v>
      </c>
      <c r="I293" s="1">
        <v>39851.477777777778</v>
      </c>
      <c r="J293">
        <v>34.20722</v>
      </c>
      <c r="K293">
        <v>-84.140280000000004</v>
      </c>
      <c r="L293">
        <v>30040</v>
      </c>
    </row>
    <row r="294" spans="1:12" x14ac:dyDescent="0.45">
      <c r="A294" s="1">
        <v>39828.442361111112</v>
      </c>
      <c r="B294" t="s">
        <v>10</v>
      </c>
      <c r="C294">
        <v>1200</v>
      </c>
      <c r="D294" t="s">
        <v>11</v>
      </c>
      <c r="E294" t="s">
        <v>556</v>
      </c>
      <c r="F294" t="s">
        <v>557</v>
      </c>
      <c r="G294" t="s">
        <v>558</v>
      </c>
      <c r="H294" t="s">
        <v>15</v>
      </c>
      <c r="I294" s="1">
        <v>39851.5</v>
      </c>
      <c r="J294">
        <v>41.51</v>
      </c>
      <c r="K294">
        <v>-71.171670000000006</v>
      </c>
      <c r="L294">
        <v>2837</v>
      </c>
    </row>
    <row r="295" spans="1:12" x14ac:dyDescent="0.45">
      <c r="A295" s="1">
        <v>39833.644444444442</v>
      </c>
      <c r="B295" t="s">
        <v>10</v>
      </c>
      <c r="C295">
        <v>1200</v>
      </c>
      <c r="D295" t="s">
        <v>11</v>
      </c>
      <c r="E295" t="s">
        <v>559</v>
      </c>
      <c r="F295" t="s">
        <v>486</v>
      </c>
      <c r="G295" t="s">
        <v>130</v>
      </c>
      <c r="H295" t="s">
        <v>15</v>
      </c>
      <c r="I295" s="1">
        <v>39851.637499999997</v>
      </c>
      <c r="J295">
        <v>39.579169999999998</v>
      </c>
      <c r="K295">
        <v>-104.87639</v>
      </c>
      <c r="L295">
        <v>80112</v>
      </c>
    </row>
    <row r="296" spans="1:12" x14ac:dyDescent="0.45">
      <c r="A296" s="1">
        <v>39841.75</v>
      </c>
      <c r="B296" t="s">
        <v>10</v>
      </c>
      <c r="C296">
        <v>13000</v>
      </c>
      <c r="D296" t="s">
        <v>11</v>
      </c>
      <c r="E296" t="s">
        <v>560</v>
      </c>
      <c r="F296" t="s">
        <v>486</v>
      </c>
      <c r="G296" t="s">
        <v>130</v>
      </c>
      <c r="H296" t="s">
        <v>15</v>
      </c>
      <c r="I296" s="1">
        <v>39851.637499999997</v>
      </c>
      <c r="J296">
        <v>39.579169999999998</v>
      </c>
      <c r="K296">
        <v>-104.87639</v>
      </c>
      <c r="L296">
        <v>80112</v>
      </c>
    </row>
    <row r="297" spans="1:12" x14ac:dyDescent="0.45">
      <c r="A297" s="1">
        <v>39842.212500000001</v>
      </c>
      <c r="B297" t="s">
        <v>10</v>
      </c>
      <c r="C297">
        <v>1200</v>
      </c>
      <c r="D297" t="s">
        <v>63</v>
      </c>
      <c r="E297" t="s">
        <v>561</v>
      </c>
      <c r="F297" t="s">
        <v>562</v>
      </c>
      <c r="G297" t="s">
        <v>66</v>
      </c>
      <c r="H297" t="s">
        <v>15</v>
      </c>
      <c r="I297" s="1">
        <v>39851.640972222223</v>
      </c>
      <c r="J297">
        <v>38.969439999999999</v>
      </c>
      <c r="K297">
        <v>-77.386390000000006</v>
      </c>
      <c r="L297">
        <v>20170</v>
      </c>
    </row>
    <row r="298" spans="1:12" x14ac:dyDescent="0.45">
      <c r="A298" s="1">
        <v>39819.786805555559</v>
      </c>
      <c r="B298" t="s">
        <v>10</v>
      </c>
      <c r="C298">
        <v>1200</v>
      </c>
      <c r="D298" t="s">
        <v>11</v>
      </c>
      <c r="E298" t="s">
        <v>563</v>
      </c>
      <c r="F298" t="s">
        <v>564</v>
      </c>
      <c r="G298" t="s">
        <v>49</v>
      </c>
      <c r="H298" t="s">
        <v>15</v>
      </c>
      <c r="I298" s="1">
        <v>39851.658333333333</v>
      </c>
      <c r="J298">
        <v>33.200000000000003</v>
      </c>
      <c r="K298">
        <v>-117.24167</v>
      </c>
      <c r="L298">
        <v>92084</v>
      </c>
    </row>
    <row r="299" spans="1:12" x14ac:dyDescent="0.45">
      <c r="A299" s="1">
        <v>39834.288194444445</v>
      </c>
      <c r="B299" t="s">
        <v>10</v>
      </c>
      <c r="C299">
        <v>1200</v>
      </c>
      <c r="D299" t="s">
        <v>11</v>
      </c>
      <c r="E299" t="s">
        <v>565</v>
      </c>
      <c r="F299" t="s">
        <v>566</v>
      </c>
      <c r="G299" t="s">
        <v>567</v>
      </c>
      <c r="H299" t="s">
        <v>15</v>
      </c>
      <c r="I299" s="1">
        <v>39851.699999999997</v>
      </c>
      <c r="J299">
        <v>43.622779999999999</v>
      </c>
      <c r="K299">
        <v>-87.794439999999994</v>
      </c>
      <c r="L299">
        <v>53070</v>
      </c>
    </row>
    <row r="300" spans="1:12" x14ac:dyDescent="0.45">
      <c r="A300" s="1">
        <v>39838.748611111114</v>
      </c>
      <c r="B300" t="s">
        <v>20</v>
      </c>
      <c r="C300">
        <v>3600</v>
      </c>
      <c r="D300" t="s">
        <v>11</v>
      </c>
      <c r="E300" t="s">
        <v>568</v>
      </c>
      <c r="F300" t="s">
        <v>569</v>
      </c>
      <c r="G300" t="s">
        <v>113</v>
      </c>
      <c r="H300" t="s">
        <v>15</v>
      </c>
      <c r="I300" s="1">
        <v>39851.785416666666</v>
      </c>
      <c r="J300">
        <v>42.270829999999997</v>
      </c>
      <c r="K300">
        <v>-83.726389999999995</v>
      </c>
      <c r="L300">
        <v>48104</v>
      </c>
    </row>
    <row r="301" spans="1:12" x14ac:dyDescent="0.45">
      <c r="A301" s="1">
        <v>39822.609027777777</v>
      </c>
      <c r="B301" t="s">
        <v>10</v>
      </c>
      <c r="C301">
        <v>1200</v>
      </c>
      <c r="D301" t="s">
        <v>11</v>
      </c>
      <c r="E301" t="s">
        <v>570</v>
      </c>
      <c r="F301" t="s">
        <v>571</v>
      </c>
      <c r="G301" t="s">
        <v>46</v>
      </c>
      <c r="H301" t="s">
        <v>15</v>
      </c>
      <c r="I301" s="1">
        <v>39851.799305555556</v>
      </c>
      <c r="J301">
        <v>40.562220000000003</v>
      </c>
      <c r="K301">
        <v>-111.92889</v>
      </c>
      <c r="L301">
        <v>84095</v>
      </c>
    </row>
    <row r="302" spans="1:12" x14ac:dyDescent="0.45">
      <c r="A302" s="1">
        <v>39839.865972222222</v>
      </c>
      <c r="B302" t="s">
        <v>10</v>
      </c>
      <c r="C302">
        <v>1200</v>
      </c>
      <c r="D302" t="s">
        <v>16</v>
      </c>
      <c r="E302" t="s">
        <v>572</v>
      </c>
      <c r="F302" t="s">
        <v>573</v>
      </c>
      <c r="G302" t="s">
        <v>574</v>
      </c>
      <c r="H302" t="s">
        <v>15</v>
      </c>
      <c r="I302" s="1">
        <v>39852.311805555553</v>
      </c>
      <c r="J302">
        <v>40.799999999999997</v>
      </c>
      <c r="K302">
        <v>-96.666669999999996</v>
      </c>
      <c r="L302">
        <v>68510</v>
      </c>
    </row>
    <row r="303" spans="1:12" x14ac:dyDescent="0.45">
      <c r="A303" s="1">
        <v>39831.539583333331</v>
      </c>
      <c r="B303" t="s">
        <v>10</v>
      </c>
      <c r="C303">
        <v>1200</v>
      </c>
      <c r="D303" t="s">
        <v>16</v>
      </c>
      <c r="E303" t="s">
        <v>575</v>
      </c>
      <c r="F303" t="s">
        <v>576</v>
      </c>
      <c r="G303" t="s">
        <v>90</v>
      </c>
      <c r="H303" t="s">
        <v>15</v>
      </c>
      <c r="I303" s="1">
        <v>39852.645833333336</v>
      </c>
      <c r="J303">
        <v>43.458889999999997</v>
      </c>
      <c r="K303">
        <v>-91.865279999999998</v>
      </c>
      <c r="L303">
        <v>52101</v>
      </c>
    </row>
    <row r="304" spans="1:12" x14ac:dyDescent="0.45">
      <c r="A304" s="1">
        <v>39837.893055555556</v>
      </c>
      <c r="B304" t="s">
        <v>10</v>
      </c>
      <c r="C304">
        <v>1200</v>
      </c>
      <c r="D304" t="s">
        <v>11</v>
      </c>
      <c r="E304" t="s">
        <v>577</v>
      </c>
      <c r="F304" t="s">
        <v>578</v>
      </c>
      <c r="G304" t="s">
        <v>29</v>
      </c>
      <c r="H304" t="s">
        <v>15</v>
      </c>
      <c r="I304" s="1">
        <v>39852.666666666664</v>
      </c>
      <c r="J304">
        <v>41.866109999999999</v>
      </c>
      <c r="K304">
        <v>-88.106939999999994</v>
      </c>
      <c r="L304">
        <v>60187</v>
      </c>
    </row>
    <row r="305" spans="1:12" x14ac:dyDescent="0.45">
      <c r="A305" s="1">
        <v>39839.518055555556</v>
      </c>
      <c r="B305" t="s">
        <v>20</v>
      </c>
      <c r="C305">
        <v>3600</v>
      </c>
      <c r="D305" t="s">
        <v>16</v>
      </c>
      <c r="E305" t="s">
        <v>521</v>
      </c>
      <c r="F305" t="s">
        <v>579</v>
      </c>
      <c r="G305" t="s">
        <v>38</v>
      </c>
      <c r="H305" t="s">
        <v>15</v>
      </c>
      <c r="I305" s="1">
        <v>39852.731249999997</v>
      </c>
      <c r="J305">
        <v>31.11694</v>
      </c>
      <c r="K305">
        <v>-97.727500000000006</v>
      </c>
      <c r="L305">
        <v>76541</v>
      </c>
    </row>
    <row r="306" spans="1:12" x14ac:dyDescent="0.45">
      <c r="A306" s="1">
        <v>39818.317361111112</v>
      </c>
      <c r="B306" t="s">
        <v>10</v>
      </c>
      <c r="C306">
        <v>1200</v>
      </c>
      <c r="D306" t="s">
        <v>11</v>
      </c>
      <c r="E306" t="s">
        <v>580</v>
      </c>
      <c r="F306" t="s">
        <v>581</v>
      </c>
      <c r="G306" t="s">
        <v>35</v>
      </c>
      <c r="H306" t="s">
        <v>15</v>
      </c>
      <c r="I306" s="1">
        <v>39852.779166666667</v>
      </c>
      <c r="J306">
        <v>40.714170000000003</v>
      </c>
      <c r="K306">
        <v>-74.006389999999996</v>
      </c>
      <c r="L306">
        <v>10007</v>
      </c>
    </row>
    <row r="307" spans="1:12" x14ac:dyDescent="0.45">
      <c r="A307" s="1">
        <v>39831.404166666667</v>
      </c>
      <c r="B307" t="s">
        <v>10</v>
      </c>
      <c r="C307">
        <v>1200</v>
      </c>
      <c r="D307" t="s">
        <v>11</v>
      </c>
      <c r="E307" t="s">
        <v>42</v>
      </c>
      <c r="F307" t="s">
        <v>582</v>
      </c>
      <c r="G307" t="s">
        <v>558</v>
      </c>
      <c r="H307" t="s">
        <v>15</v>
      </c>
      <c r="I307" s="1">
        <v>39853.354166666664</v>
      </c>
      <c r="J307">
        <v>41.496940000000002</v>
      </c>
      <c r="K307">
        <v>-71.367779999999996</v>
      </c>
      <c r="L307">
        <v>2835</v>
      </c>
    </row>
    <row r="308" spans="1:12" x14ac:dyDescent="0.45">
      <c r="A308" s="1">
        <v>39822.468055555553</v>
      </c>
      <c r="B308" t="s">
        <v>10</v>
      </c>
      <c r="C308">
        <v>1200</v>
      </c>
      <c r="D308" t="s">
        <v>11</v>
      </c>
      <c r="E308" t="s">
        <v>583</v>
      </c>
      <c r="F308" t="s">
        <v>584</v>
      </c>
      <c r="G308" t="s">
        <v>104</v>
      </c>
      <c r="H308" t="s">
        <v>15</v>
      </c>
      <c r="I308" s="1">
        <v>39853.386805555558</v>
      </c>
      <c r="J308">
        <v>39.419440000000002</v>
      </c>
      <c r="K308">
        <v>-76.780559999999994</v>
      </c>
      <c r="L308">
        <v>21117</v>
      </c>
    </row>
    <row r="309" spans="1:12" x14ac:dyDescent="0.45">
      <c r="A309" s="1">
        <v>39820.311111111114</v>
      </c>
      <c r="B309" t="s">
        <v>10</v>
      </c>
      <c r="C309">
        <v>1200</v>
      </c>
      <c r="D309" t="s">
        <v>63</v>
      </c>
      <c r="E309" t="s">
        <v>585</v>
      </c>
      <c r="F309" t="s">
        <v>274</v>
      </c>
      <c r="G309" t="s">
        <v>275</v>
      </c>
      <c r="H309" t="s">
        <v>15</v>
      </c>
      <c r="I309" s="1">
        <v>39853.451388888891</v>
      </c>
      <c r="J309">
        <v>61.218060000000001</v>
      </c>
      <c r="K309">
        <v>-149.90028000000001</v>
      </c>
      <c r="L309">
        <v>99501</v>
      </c>
    </row>
    <row r="310" spans="1:12" x14ac:dyDescent="0.45">
      <c r="A310" s="1">
        <v>39843.512499999997</v>
      </c>
      <c r="B310" t="s">
        <v>10</v>
      </c>
      <c r="C310">
        <v>1200</v>
      </c>
      <c r="D310" t="s">
        <v>16</v>
      </c>
      <c r="E310" t="s">
        <v>586</v>
      </c>
      <c r="F310" t="s">
        <v>587</v>
      </c>
      <c r="G310" t="s">
        <v>49</v>
      </c>
      <c r="H310" t="s">
        <v>15</v>
      </c>
      <c r="I310" s="1">
        <v>39853.536805555559</v>
      </c>
      <c r="J310">
        <v>33.870280000000001</v>
      </c>
      <c r="K310">
        <v>-117.92444</v>
      </c>
      <c r="L310">
        <v>92832</v>
      </c>
    </row>
    <row r="311" spans="1:12" x14ac:dyDescent="0.45">
      <c r="A311" s="1">
        <v>39819.237500000003</v>
      </c>
      <c r="B311" t="s">
        <v>10</v>
      </c>
      <c r="C311">
        <v>1200</v>
      </c>
      <c r="D311" t="s">
        <v>63</v>
      </c>
      <c r="E311" t="s">
        <v>586</v>
      </c>
      <c r="F311" t="s">
        <v>241</v>
      </c>
      <c r="G311" t="s">
        <v>78</v>
      </c>
      <c r="H311" t="s">
        <v>15</v>
      </c>
      <c r="I311" s="1">
        <v>39853.576388888891</v>
      </c>
      <c r="J311">
        <v>33.748890000000003</v>
      </c>
      <c r="K311">
        <v>-84.388059999999996</v>
      </c>
      <c r="L311">
        <v>30334</v>
      </c>
    </row>
    <row r="312" spans="1:12" x14ac:dyDescent="0.45">
      <c r="A312" s="1">
        <v>39832.398611111108</v>
      </c>
      <c r="B312" t="s">
        <v>10</v>
      </c>
      <c r="C312">
        <v>1200</v>
      </c>
      <c r="D312" t="s">
        <v>63</v>
      </c>
      <c r="E312" t="s">
        <v>588</v>
      </c>
      <c r="F312" t="s">
        <v>536</v>
      </c>
      <c r="G312" t="s">
        <v>292</v>
      </c>
      <c r="H312" t="s">
        <v>15</v>
      </c>
      <c r="I312" s="1">
        <v>39853.697222222225</v>
      </c>
      <c r="J312">
        <v>36.174999999999997</v>
      </c>
      <c r="K312">
        <v>-115.13639000000001</v>
      </c>
      <c r="L312">
        <v>89101</v>
      </c>
    </row>
    <row r="313" spans="1:12" x14ac:dyDescent="0.45">
      <c r="A313" s="1">
        <v>39822.325694444444</v>
      </c>
      <c r="B313" t="s">
        <v>10</v>
      </c>
      <c r="C313">
        <v>1200</v>
      </c>
      <c r="D313" t="s">
        <v>11</v>
      </c>
      <c r="E313" t="s">
        <v>33</v>
      </c>
      <c r="F313" t="s">
        <v>589</v>
      </c>
      <c r="G313" t="s">
        <v>113</v>
      </c>
      <c r="H313" t="s">
        <v>15</v>
      </c>
      <c r="I313" s="1">
        <v>39853.736805555556</v>
      </c>
      <c r="J313">
        <v>42.68056</v>
      </c>
      <c r="K313">
        <v>-83.133889999999994</v>
      </c>
      <c r="L313">
        <v>48307</v>
      </c>
    </row>
    <row r="314" spans="1:12" x14ac:dyDescent="0.45">
      <c r="A314" s="1">
        <v>39827.557638888888</v>
      </c>
      <c r="B314" t="s">
        <v>10</v>
      </c>
      <c r="C314">
        <v>1200</v>
      </c>
      <c r="D314" t="s">
        <v>11</v>
      </c>
      <c r="E314" t="s">
        <v>590</v>
      </c>
      <c r="F314" t="s">
        <v>591</v>
      </c>
      <c r="G314" t="s">
        <v>567</v>
      </c>
      <c r="H314" t="s">
        <v>15</v>
      </c>
      <c r="I314" s="1">
        <v>39853.780555555553</v>
      </c>
      <c r="J314">
        <v>44.383609999999997</v>
      </c>
      <c r="K314">
        <v>-89.817220000000006</v>
      </c>
      <c r="L314">
        <v>54494</v>
      </c>
    </row>
    <row r="315" spans="1:12" x14ac:dyDescent="0.45">
      <c r="A315" s="1">
        <v>39820.834027777775</v>
      </c>
      <c r="B315" t="s">
        <v>10</v>
      </c>
      <c r="C315">
        <v>1200</v>
      </c>
      <c r="D315" t="s">
        <v>11</v>
      </c>
      <c r="E315" t="s">
        <v>592</v>
      </c>
      <c r="F315" t="s">
        <v>314</v>
      </c>
      <c r="G315" t="s">
        <v>38</v>
      </c>
      <c r="H315" t="s">
        <v>15</v>
      </c>
      <c r="I315" s="1">
        <v>39853.830555555556</v>
      </c>
      <c r="J315">
        <v>30.266940000000002</v>
      </c>
      <c r="K315">
        <v>-97.742779999999996</v>
      </c>
      <c r="L315">
        <v>78701</v>
      </c>
    </row>
    <row r="316" spans="1:12" x14ac:dyDescent="0.45">
      <c r="A316" s="1">
        <v>39833.522222222222</v>
      </c>
      <c r="B316" t="s">
        <v>10</v>
      </c>
      <c r="C316">
        <v>1200</v>
      </c>
      <c r="D316" t="s">
        <v>11</v>
      </c>
      <c r="E316" t="s">
        <v>593</v>
      </c>
      <c r="F316" t="s">
        <v>156</v>
      </c>
      <c r="G316" t="s">
        <v>29</v>
      </c>
      <c r="H316" t="s">
        <v>15</v>
      </c>
      <c r="I316" s="1">
        <v>39853.862500000003</v>
      </c>
      <c r="J316">
        <v>41.85</v>
      </c>
      <c r="K316">
        <v>-87.65</v>
      </c>
      <c r="L316">
        <v>60608</v>
      </c>
    </row>
    <row r="317" spans="1:12" x14ac:dyDescent="0.45">
      <c r="A317" s="1">
        <v>39819.607638888891</v>
      </c>
      <c r="B317" t="s">
        <v>10</v>
      </c>
      <c r="C317">
        <v>1200</v>
      </c>
      <c r="D317" t="s">
        <v>11</v>
      </c>
      <c r="E317" t="s">
        <v>594</v>
      </c>
      <c r="F317" t="s">
        <v>536</v>
      </c>
      <c r="G317" t="s">
        <v>292</v>
      </c>
      <c r="H317" t="s">
        <v>15</v>
      </c>
      <c r="I317" s="1">
        <v>39853.957638888889</v>
      </c>
      <c r="J317">
        <v>36.174999999999997</v>
      </c>
      <c r="K317">
        <v>-115.13639000000001</v>
      </c>
      <c r="L317">
        <v>89101</v>
      </c>
    </row>
    <row r="318" spans="1:12" x14ac:dyDescent="0.45">
      <c r="A318" s="1">
        <v>39818.418055555558</v>
      </c>
      <c r="B318" t="s">
        <v>20</v>
      </c>
      <c r="C318">
        <v>3600</v>
      </c>
      <c r="D318" t="s">
        <v>11</v>
      </c>
      <c r="E318" t="s">
        <v>595</v>
      </c>
      <c r="F318" t="s">
        <v>596</v>
      </c>
      <c r="G318" t="s">
        <v>193</v>
      </c>
      <c r="H318" t="s">
        <v>15</v>
      </c>
      <c r="I318" s="1">
        <v>39854.311805555553</v>
      </c>
      <c r="J318">
        <v>44.804169999999999</v>
      </c>
      <c r="K318">
        <v>-93.166669999999996</v>
      </c>
      <c r="L318">
        <v>55123</v>
      </c>
    </row>
    <row r="319" spans="1:12" x14ac:dyDescent="0.45">
      <c r="A319" s="1">
        <v>39834.863888888889</v>
      </c>
      <c r="B319" t="s">
        <v>10</v>
      </c>
      <c r="C319">
        <v>1200</v>
      </c>
      <c r="D319" t="s">
        <v>16</v>
      </c>
      <c r="E319" t="s">
        <v>597</v>
      </c>
      <c r="F319" t="s">
        <v>598</v>
      </c>
      <c r="G319" t="s">
        <v>35</v>
      </c>
      <c r="H319" t="s">
        <v>15</v>
      </c>
      <c r="I319" s="1">
        <v>39854.45208333333</v>
      </c>
      <c r="J319">
        <v>40.686669999999999</v>
      </c>
      <c r="K319">
        <v>-73.373890000000003</v>
      </c>
      <c r="L319">
        <v>11757</v>
      </c>
    </row>
    <row r="320" spans="1:12" x14ac:dyDescent="0.45">
      <c r="A320" s="1">
        <v>39818.381249999999</v>
      </c>
      <c r="B320" t="s">
        <v>10</v>
      </c>
      <c r="C320">
        <v>1200</v>
      </c>
      <c r="D320" t="s">
        <v>11</v>
      </c>
      <c r="E320" t="s">
        <v>487</v>
      </c>
      <c r="F320" t="s">
        <v>599</v>
      </c>
      <c r="G320" t="s">
        <v>113</v>
      </c>
      <c r="H320" t="s">
        <v>15</v>
      </c>
      <c r="I320" s="1">
        <v>39854.456944444442</v>
      </c>
      <c r="J320">
        <v>42.537779999999998</v>
      </c>
      <c r="K320">
        <v>-83.233059999999995</v>
      </c>
      <c r="L320">
        <v>48009</v>
      </c>
    </row>
    <row r="321" spans="1:12" x14ac:dyDescent="0.45">
      <c r="A321" s="1">
        <v>39840.470833333333</v>
      </c>
      <c r="B321" t="s">
        <v>20</v>
      </c>
      <c r="C321">
        <v>3600</v>
      </c>
      <c r="D321" t="s">
        <v>63</v>
      </c>
      <c r="E321" t="s">
        <v>600</v>
      </c>
      <c r="F321" t="s">
        <v>164</v>
      </c>
      <c r="G321" t="s">
        <v>49</v>
      </c>
      <c r="H321" t="s">
        <v>15</v>
      </c>
      <c r="I321" s="1">
        <v>39854.54791666667</v>
      </c>
      <c r="J321">
        <v>34.052219999999998</v>
      </c>
      <c r="K321">
        <v>-118.24278</v>
      </c>
      <c r="L321">
        <v>90012</v>
      </c>
    </row>
    <row r="322" spans="1:12" x14ac:dyDescent="0.45">
      <c r="A322" s="1">
        <v>39843.283333333333</v>
      </c>
      <c r="B322" t="s">
        <v>10</v>
      </c>
      <c r="C322">
        <v>1200</v>
      </c>
      <c r="D322" t="s">
        <v>16</v>
      </c>
      <c r="E322" t="s">
        <v>81</v>
      </c>
      <c r="F322" t="s">
        <v>364</v>
      </c>
      <c r="G322" t="s">
        <v>93</v>
      </c>
      <c r="H322" t="s">
        <v>15</v>
      </c>
      <c r="I322" s="1">
        <v>39854.611805555556</v>
      </c>
      <c r="J322">
        <v>35.052500000000002</v>
      </c>
      <c r="K322">
        <v>-78.878609999999995</v>
      </c>
      <c r="L322">
        <v>28301</v>
      </c>
    </row>
    <row r="323" spans="1:12" x14ac:dyDescent="0.45">
      <c r="A323" s="1">
        <v>39835.754861111112</v>
      </c>
      <c r="B323" t="s">
        <v>10</v>
      </c>
      <c r="C323">
        <v>1200</v>
      </c>
      <c r="D323" t="s">
        <v>11</v>
      </c>
      <c r="E323" t="s">
        <v>601</v>
      </c>
      <c r="F323" t="s">
        <v>602</v>
      </c>
      <c r="G323" t="s">
        <v>603</v>
      </c>
      <c r="H323" t="s">
        <v>15</v>
      </c>
      <c r="I323" s="1">
        <v>39854.645833333336</v>
      </c>
      <c r="J323">
        <v>34.736939999999997</v>
      </c>
      <c r="K323">
        <v>-82.254440000000002</v>
      </c>
      <c r="L323">
        <v>29681</v>
      </c>
    </row>
    <row r="324" spans="1:12" x14ac:dyDescent="0.45">
      <c r="A324" s="1">
        <v>39832.461805555555</v>
      </c>
      <c r="B324" t="s">
        <v>10</v>
      </c>
      <c r="C324">
        <v>1200</v>
      </c>
      <c r="D324" t="s">
        <v>11</v>
      </c>
      <c r="E324" t="s">
        <v>604</v>
      </c>
      <c r="F324" t="s">
        <v>605</v>
      </c>
      <c r="G324" t="s">
        <v>26</v>
      </c>
      <c r="H324" t="s">
        <v>15</v>
      </c>
      <c r="I324" s="1">
        <v>39854.761111111111</v>
      </c>
      <c r="J324">
        <v>40.83972</v>
      </c>
      <c r="K324">
        <v>-74.276939999999996</v>
      </c>
      <c r="L324">
        <v>7006</v>
      </c>
    </row>
    <row r="325" spans="1:12" x14ac:dyDescent="0.45">
      <c r="A325" s="1">
        <v>39842.570138888892</v>
      </c>
      <c r="B325" t="s">
        <v>10</v>
      </c>
      <c r="C325">
        <v>1200</v>
      </c>
      <c r="D325" t="s">
        <v>11</v>
      </c>
      <c r="E325" t="s">
        <v>606</v>
      </c>
      <c r="F325" t="s">
        <v>439</v>
      </c>
      <c r="G325" t="s">
        <v>49</v>
      </c>
      <c r="H325" t="s">
        <v>15</v>
      </c>
      <c r="I325" s="1">
        <v>39854.998611111114</v>
      </c>
      <c r="J325">
        <v>37.339440000000003</v>
      </c>
      <c r="K325">
        <v>-121.89389</v>
      </c>
      <c r="L325">
        <v>95113</v>
      </c>
    </row>
    <row r="326" spans="1:12" x14ac:dyDescent="0.45">
      <c r="A326" s="1">
        <v>39829.352777777778</v>
      </c>
      <c r="B326" t="s">
        <v>10</v>
      </c>
      <c r="C326">
        <v>1200</v>
      </c>
      <c r="D326" t="s">
        <v>11</v>
      </c>
      <c r="E326" t="s">
        <v>607</v>
      </c>
      <c r="F326" t="s">
        <v>608</v>
      </c>
      <c r="G326" t="s">
        <v>49</v>
      </c>
      <c r="H326" t="s">
        <v>15</v>
      </c>
      <c r="I326" s="1">
        <v>39855.356944444444</v>
      </c>
      <c r="J326">
        <v>38.589170000000003</v>
      </c>
      <c r="K326">
        <v>-121.30167</v>
      </c>
      <c r="L326">
        <v>95670</v>
      </c>
    </row>
    <row r="327" spans="1:12" x14ac:dyDescent="0.45">
      <c r="A327" s="1">
        <v>39839.299305555556</v>
      </c>
      <c r="B327" t="s">
        <v>10</v>
      </c>
      <c r="C327">
        <v>1200</v>
      </c>
      <c r="D327" t="s">
        <v>11</v>
      </c>
      <c r="E327" t="s">
        <v>609</v>
      </c>
      <c r="F327" t="s">
        <v>404</v>
      </c>
      <c r="G327" t="s">
        <v>193</v>
      </c>
      <c r="H327" t="s">
        <v>15</v>
      </c>
      <c r="I327" s="1">
        <v>39855.482638888891</v>
      </c>
      <c r="J327">
        <v>44.98</v>
      </c>
      <c r="K327">
        <v>-93.26361</v>
      </c>
      <c r="L327">
        <v>55401</v>
      </c>
    </row>
    <row r="328" spans="1:12" x14ac:dyDescent="0.45">
      <c r="A328" s="1">
        <v>39844.23541666667</v>
      </c>
      <c r="B328" t="s">
        <v>20</v>
      </c>
      <c r="C328">
        <v>3600</v>
      </c>
      <c r="D328" t="s">
        <v>16</v>
      </c>
      <c r="E328" t="s">
        <v>610</v>
      </c>
      <c r="F328" t="s">
        <v>68</v>
      </c>
      <c r="G328" t="s">
        <v>104</v>
      </c>
      <c r="H328" t="s">
        <v>15</v>
      </c>
      <c r="I328" s="1">
        <v>39855.489583333336</v>
      </c>
      <c r="J328">
        <v>39.516390000000001</v>
      </c>
      <c r="K328">
        <v>-76.616389999999996</v>
      </c>
      <c r="L328">
        <v>21131</v>
      </c>
    </row>
    <row r="329" spans="1:12" x14ac:dyDescent="0.45">
      <c r="A329" s="1">
        <v>39839.364583333336</v>
      </c>
      <c r="B329" t="s">
        <v>10</v>
      </c>
      <c r="C329">
        <v>1200</v>
      </c>
      <c r="D329" t="s">
        <v>11</v>
      </c>
      <c r="E329" t="s">
        <v>611</v>
      </c>
      <c r="F329" t="s">
        <v>612</v>
      </c>
      <c r="G329" t="s">
        <v>35</v>
      </c>
      <c r="H329" t="s">
        <v>15</v>
      </c>
      <c r="I329" s="1">
        <v>39855.716666666667</v>
      </c>
      <c r="J329">
        <v>40.927779999999998</v>
      </c>
      <c r="K329">
        <v>-73.752219999999994</v>
      </c>
      <c r="L329">
        <v>10538</v>
      </c>
    </row>
    <row r="330" spans="1:12" x14ac:dyDescent="0.45">
      <c r="A330" s="1">
        <v>39836.447916666664</v>
      </c>
      <c r="B330" t="s">
        <v>10</v>
      </c>
      <c r="C330">
        <v>1200</v>
      </c>
      <c r="D330" t="s">
        <v>11</v>
      </c>
      <c r="E330" t="s">
        <v>540</v>
      </c>
      <c r="F330" t="s">
        <v>613</v>
      </c>
      <c r="G330" t="s">
        <v>29</v>
      </c>
      <c r="H330" t="s">
        <v>15</v>
      </c>
      <c r="I330" s="1">
        <v>39855.747916666667</v>
      </c>
      <c r="J330">
        <v>41.914169999999999</v>
      </c>
      <c r="K330">
        <v>-88.308610000000002</v>
      </c>
      <c r="L330">
        <v>60174</v>
      </c>
    </row>
    <row r="331" spans="1:12" x14ac:dyDescent="0.45">
      <c r="A331" s="1">
        <v>39841.368055555555</v>
      </c>
      <c r="B331" t="s">
        <v>10</v>
      </c>
      <c r="C331">
        <v>1200</v>
      </c>
      <c r="D331" t="s">
        <v>11</v>
      </c>
      <c r="E331" t="s">
        <v>614</v>
      </c>
      <c r="F331" t="s">
        <v>615</v>
      </c>
      <c r="G331" t="s">
        <v>32</v>
      </c>
      <c r="H331" t="s">
        <v>15</v>
      </c>
      <c r="I331" s="1">
        <v>39855.77847222222</v>
      </c>
      <c r="J331">
        <v>36.033059999999999</v>
      </c>
      <c r="K331">
        <v>-86.782780000000002</v>
      </c>
      <c r="L331">
        <v>37027</v>
      </c>
    </row>
    <row r="332" spans="1:12" x14ac:dyDescent="0.45">
      <c r="A332" s="1">
        <v>39828.798611111109</v>
      </c>
      <c r="B332" t="s">
        <v>20</v>
      </c>
      <c r="C332">
        <v>3600</v>
      </c>
      <c r="D332" t="s">
        <v>11</v>
      </c>
      <c r="E332" t="s">
        <v>189</v>
      </c>
      <c r="F332" t="s">
        <v>616</v>
      </c>
      <c r="G332" t="s">
        <v>60</v>
      </c>
      <c r="H332" t="s">
        <v>15</v>
      </c>
      <c r="I332" s="1">
        <v>39855.786805555559</v>
      </c>
      <c r="J332">
        <v>30.421109999999999</v>
      </c>
      <c r="K332">
        <v>-87.216939999999994</v>
      </c>
      <c r="L332">
        <v>32501</v>
      </c>
    </row>
    <row r="333" spans="1:12" x14ac:dyDescent="0.45">
      <c r="A333" s="1">
        <v>39824.256249999999</v>
      </c>
      <c r="B333" t="s">
        <v>10</v>
      </c>
      <c r="C333">
        <v>1200</v>
      </c>
      <c r="D333" t="s">
        <v>63</v>
      </c>
      <c r="E333" t="s">
        <v>617</v>
      </c>
      <c r="F333" t="s">
        <v>618</v>
      </c>
      <c r="G333" t="s">
        <v>60</v>
      </c>
      <c r="H333" t="s">
        <v>15</v>
      </c>
      <c r="I333" s="1">
        <v>39856.195138888892</v>
      </c>
      <c r="J333">
        <v>27.77056</v>
      </c>
      <c r="K333">
        <v>-82.67944</v>
      </c>
      <c r="L333">
        <v>33711</v>
      </c>
    </row>
    <row r="334" spans="1:12" x14ac:dyDescent="0.45">
      <c r="A334" s="1">
        <v>39818.788194444445</v>
      </c>
      <c r="B334" t="s">
        <v>10</v>
      </c>
      <c r="C334">
        <v>1200</v>
      </c>
      <c r="D334" t="s">
        <v>11</v>
      </c>
      <c r="E334" t="s">
        <v>81</v>
      </c>
      <c r="F334" t="s">
        <v>619</v>
      </c>
      <c r="G334" t="s">
        <v>66</v>
      </c>
      <c r="H334" t="s">
        <v>15</v>
      </c>
      <c r="I334" s="1">
        <v>39856.434027777781</v>
      </c>
      <c r="J334">
        <v>38.942219999999999</v>
      </c>
      <c r="K334">
        <v>-77.182500000000005</v>
      </c>
      <c r="L334">
        <v>22101</v>
      </c>
    </row>
    <row r="335" spans="1:12" x14ac:dyDescent="0.45">
      <c r="A335" s="1">
        <v>39815.787499999999</v>
      </c>
      <c r="B335" t="s">
        <v>10</v>
      </c>
      <c r="C335">
        <v>1200</v>
      </c>
      <c r="D335" t="s">
        <v>16</v>
      </c>
      <c r="E335" t="s">
        <v>64</v>
      </c>
      <c r="F335" t="s">
        <v>620</v>
      </c>
      <c r="G335" t="s">
        <v>32</v>
      </c>
      <c r="H335" t="s">
        <v>15</v>
      </c>
      <c r="I335" s="1">
        <v>39856.479861111111</v>
      </c>
      <c r="J335">
        <v>36.304720000000003</v>
      </c>
      <c r="K335">
        <v>-86.62</v>
      </c>
      <c r="L335">
        <v>37075</v>
      </c>
    </row>
    <row r="336" spans="1:12" x14ac:dyDescent="0.45">
      <c r="A336" s="1">
        <v>39835.285416666666</v>
      </c>
      <c r="B336" t="s">
        <v>10</v>
      </c>
      <c r="C336">
        <v>1200</v>
      </c>
      <c r="D336" t="s">
        <v>11</v>
      </c>
      <c r="E336" t="s">
        <v>187</v>
      </c>
      <c r="F336" t="s">
        <v>589</v>
      </c>
      <c r="G336" t="s">
        <v>113</v>
      </c>
      <c r="H336" t="s">
        <v>15</v>
      </c>
      <c r="I336" s="1">
        <v>39856.542361111111</v>
      </c>
      <c r="J336">
        <v>42.68056</v>
      </c>
      <c r="K336">
        <v>-83.133889999999994</v>
      </c>
      <c r="L336">
        <v>48307</v>
      </c>
    </row>
    <row r="337" spans="1:12" x14ac:dyDescent="0.45">
      <c r="A337" s="1">
        <v>39823.624305555553</v>
      </c>
      <c r="B337" t="s">
        <v>10</v>
      </c>
      <c r="C337">
        <v>1200</v>
      </c>
      <c r="D337" t="s">
        <v>63</v>
      </c>
      <c r="E337" t="s">
        <v>621</v>
      </c>
      <c r="F337" t="s">
        <v>622</v>
      </c>
      <c r="G337" t="s">
        <v>49</v>
      </c>
      <c r="H337" t="s">
        <v>15</v>
      </c>
      <c r="I337" s="1">
        <v>39856.818749999999</v>
      </c>
      <c r="J337">
        <v>34.005000000000003</v>
      </c>
      <c r="K337">
        <v>-118.80916999999999</v>
      </c>
      <c r="L337">
        <v>90265</v>
      </c>
    </row>
    <row r="338" spans="1:12" x14ac:dyDescent="0.45">
      <c r="A338" s="1">
        <v>39839.654166666667</v>
      </c>
      <c r="B338" t="s">
        <v>10</v>
      </c>
      <c r="C338">
        <v>1200</v>
      </c>
      <c r="D338" t="s">
        <v>11</v>
      </c>
      <c r="E338" t="s">
        <v>249</v>
      </c>
      <c r="F338" t="s">
        <v>623</v>
      </c>
      <c r="G338" t="s">
        <v>38</v>
      </c>
      <c r="H338" t="s">
        <v>15</v>
      </c>
      <c r="I338" s="1">
        <v>39856.945138888892</v>
      </c>
      <c r="J338">
        <v>33.103059999999999</v>
      </c>
      <c r="K338">
        <v>-96.670280000000005</v>
      </c>
      <c r="L338">
        <v>75013</v>
      </c>
    </row>
    <row r="339" spans="1:12" x14ac:dyDescent="0.45">
      <c r="A339" s="1">
        <v>39832.325694444444</v>
      </c>
      <c r="B339" t="s">
        <v>10</v>
      </c>
      <c r="C339">
        <v>1200</v>
      </c>
      <c r="D339" t="s">
        <v>63</v>
      </c>
      <c r="E339" t="s">
        <v>624</v>
      </c>
      <c r="F339" t="s">
        <v>625</v>
      </c>
      <c r="G339" t="s">
        <v>60</v>
      </c>
      <c r="H339" t="s">
        <v>15</v>
      </c>
      <c r="I339" s="1">
        <v>39857.518055555556</v>
      </c>
      <c r="J339">
        <v>25.790279999999999</v>
      </c>
      <c r="K339">
        <v>-80.130279999999999</v>
      </c>
      <c r="L339">
        <v>33139</v>
      </c>
    </row>
    <row r="340" spans="1:12" x14ac:dyDescent="0.45">
      <c r="A340" s="1">
        <v>39819.44027777778</v>
      </c>
      <c r="B340" t="s">
        <v>10</v>
      </c>
      <c r="C340">
        <v>1200</v>
      </c>
      <c r="D340" t="s">
        <v>16</v>
      </c>
      <c r="E340" t="s">
        <v>433</v>
      </c>
      <c r="F340" t="s">
        <v>34</v>
      </c>
      <c r="G340" t="s">
        <v>35</v>
      </c>
      <c r="H340" t="s">
        <v>15</v>
      </c>
      <c r="I340" s="1">
        <v>39857.611805555556</v>
      </c>
      <c r="J340">
        <v>40.714170000000003</v>
      </c>
      <c r="K340">
        <v>-74.006389999999996</v>
      </c>
      <c r="L340">
        <v>10007</v>
      </c>
    </row>
    <row r="341" spans="1:12" x14ac:dyDescent="0.45">
      <c r="A341" s="1">
        <v>39827.668055555558</v>
      </c>
      <c r="B341" t="s">
        <v>10</v>
      </c>
      <c r="C341">
        <v>1200</v>
      </c>
      <c r="D341" t="s">
        <v>16</v>
      </c>
      <c r="E341" t="s">
        <v>626</v>
      </c>
      <c r="F341" t="s">
        <v>627</v>
      </c>
      <c r="G341" t="s">
        <v>49</v>
      </c>
      <c r="H341" t="s">
        <v>15</v>
      </c>
      <c r="I341" s="1">
        <v>39857.697916666664</v>
      </c>
      <c r="J341">
        <v>34.168329999999997</v>
      </c>
      <c r="K341">
        <v>-118.605</v>
      </c>
      <c r="L341">
        <v>91364</v>
      </c>
    </row>
    <row r="342" spans="1:12" x14ac:dyDescent="0.45">
      <c r="A342" s="1">
        <v>39827.753472222219</v>
      </c>
      <c r="B342" t="s">
        <v>10</v>
      </c>
      <c r="C342">
        <v>1200</v>
      </c>
      <c r="D342" t="s">
        <v>11</v>
      </c>
      <c r="E342" t="s">
        <v>628</v>
      </c>
      <c r="F342" t="s">
        <v>274</v>
      </c>
      <c r="G342" t="s">
        <v>275</v>
      </c>
      <c r="H342" t="s">
        <v>15</v>
      </c>
      <c r="I342" s="1">
        <v>39857.723611111112</v>
      </c>
      <c r="J342">
        <v>61.218060000000001</v>
      </c>
      <c r="K342">
        <v>-149.90028000000001</v>
      </c>
      <c r="L342">
        <v>99501</v>
      </c>
    </row>
    <row r="343" spans="1:12" x14ac:dyDescent="0.45">
      <c r="A343" s="1">
        <v>39821.869444444441</v>
      </c>
      <c r="B343" t="s">
        <v>10</v>
      </c>
      <c r="C343">
        <v>1200</v>
      </c>
      <c r="D343" t="s">
        <v>11</v>
      </c>
      <c r="E343" t="s">
        <v>629</v>
      </c>
      <c r="F343" t="s">
        <v>630</v>
      </c>
      <c r="G343" t="s">
        <v>49</v>
      </c>
      <c r="H343" t="s">
        <v>15</v>
      </c>
      <c r="I343" s="1">
        <v>39857.813888888886</v>
      </c>
      <c r="J343">
        <v>33.88861</v>
      </c>
      <c r="K343">
        <v>-117.81222</v>
      </c>
      <c r="L343">
        <v>92886</v>
      </c>
    </row>
    <row r="344" spans="1:12" x14ac:dyDescent="0.45">
      <c r="A344" s="1">
        <v>39838.44027777778</v>
      </c>
      <c r="B344" t="s">
        <v>10</v>
      </c>
      <c r="C344">
        <v>1200</v>
      </c>
      <c r="D344" t="s">
        <v>63</v>
      </c>
      <c r="E344" t="s">
        <v>631</v>
      </c>
      <c r="F344" t="s">
        <v>632</v>
      </c>
      <c r="G344" t="s">
        <v>215</v>
      </c>
      <c r="H344" t="s">
        <v>15</v>
      </c>
      <c r="I344" s="1">
        <v>39857.847222222219</v>
      </c>
      <c r="J344">
        <v>42.309719999999999</v>
      </c>
      <c r="K344">
        <v>-71.120829999999998</v>
      </c>
      <c r="L344">
        <v>2130</v>
      </c>
    </row>
    <row r="345" spans="1:12" x14ac:dyDescent="0.45">
      <c r="A345" s="1">
        <v>39842.421527777777</v>
      </c>
      <c r="B345" t="s">
        <v>10</v>
      </c>
      <c r="C345">
        <v>1200</v>
      </c>
      <c r="D345" t="s">
        <v>11</v>
      </c>
      <c r="E345" t="s">
        <v>633</v>
      </c>
      <c r="F345" t="s">
        <v>634</v>
      </c>
      <c r="G345" t="s">
        <v>49</v>
      </c>
      <c r="H345" t="s">
        <v>15</v>
      </c>
      <c r="I345" s="1">
        <v>39858.417361111111</v>
      </c>
      <c r="J345">
        <v>34.073610000000002</v>
      </c>
      <c r="K345">
        <v>-118.39944</v>
      </c>
      <c r="L345">
        <v>90210</v>
      </c>
    </row>
    <row r="346" spans="1:12" x14ac:dyDescent="0.45">
      <c r="A346" s="1">
        <v>39838.524305555555</v>
      </c>
      <c r="B346" t="s">
        <v>20</v>
      </c>
      <c r="C346">
        <v>3600</v>
      </c>
      <c r="D346" t="s">
        <v>11</v>
      </c>
      <c r="E346" t="s">
        <v>635</v>
      </c>
      <c r="F346" t="s">
        <v>636</v>
      </c>
      <c r="G346" t="s">
        <v>49</v>
      </c>
      <c r="H346" t="s">
        <v>15</v>
      </c>
      <c r="I346" s="1">
        <v>39858.444444444445</v>
      </c>
      <c r="J346">
        <v>38.40222</v>
      </c>
      <c r="K346">
        <v>-122.82277999999999</v>
      </c>
      <c r="L346">
        <v>95472</v>
      </c>
    </row>
    <row r="347" spans="1:12" x14ac:dyDescent="0.45">
      <c r="A347" s="1">
        <v>39816.705555555556</v>
      </c>
      <c r="B347" t="s">
        <v>10</v>
      </c>
      <c r="C347">
        <v>1200</v>
      </c>
      <c r="D347" t="s">
        <v>11</v>
      </c>
      <c r="E347" t="s">
        <v>307</v>
      </c>
      <c r="F347" t="s">
        <v>637</v>
      </c>
      <c r="G347" t="s">
        <v>49</v>
      </c>
      <c r="H347" t="s">
        <v>15</v>
      </c>
      <c r="I347" s="1">
        <v>39858.474305555559</v>
      </c>
      <c r="J347">
        <v>34.136110000000002</v>
      </c>
      <c r="K347">
        <v>-117.86444</v>
      </c>
      <c r="L347">
        <v>91741</v>
      </c>
    </row>
    <row r="348" spans="1:12" x14ac:dyDescent="0.45">
      <c r="A348" s="1">
        <v>39838.772916666669</v>
      </c>
      <c r="B348" t="s">
        <v>10</v>
      </c>
      <c r="C348">
        <v>1200</v>
      </c>
      <c r="D348" t="s">
        <v>11</v>
      </c>
      <c r="E348" t="s">
        <v>638</v>
      </c>
      <c r="F348" t="s">
        <v>639</v>
      </c>
      <c r="G348" t="s">
        <v>352</v>
      </c>
      <c r="H348" t="s">
        <v>15</v>
      </c>
      <c r="I348" s="1">
        <v>39858.685416666667</v>
      </c>
      <c r="J348">
        <v>45.783329999999999</v>
      </c>
      <c r="K348">
        <v>-108.5</v>
      </c>
      <c r="L348">
        <v>59101</v>
      </c>
    </row>
    <row r="349" spans="1:12" x14ac:dyDescent="0.45">
      <c r="A349" s="1">
        <v>39828.488194444442</v>
      </c>
      <c r="B349" t="s">
        <v>10</v>
      </c>
      <c r="C349">
        <v>1200</v>
      </c>
      <c r="D349" t="s">
        <v>11</v>
      </c>
      <c r="E349" t="s">
        <v>640</v>
      </c>
      <c r="F349" t="s">
        <v>641</v>
      </c>
      <c r="G349" t="s">
        <v>29</v>
      </c>
      <c r="H349" t="s">
        <v>15</v>
      </c>
      <c r="I349" s="1">
        <v>39858.738194444442</v>
      </c>
      <c r="J349">
        <v>42.283059999999999</v>
      </c>
      <c r="K349">
        <v>-87.953059999999994</v>
      </c>
      <c r="L349">
        <v>60048</v>
      </c>
    </row>
    <row r="350" spans="1:12" x14ac:dyDescent="0.45">
      <c r="A350" s="1">
        <v>39836.6875</v>
      </c>
      <c r="B350" t="s">
        <v>20</v>
      </c>
      <c r="C350">
        <v>3600</v>
      </c>
      <c r="D350" t="s">
        <v>63</v>
      </c>
      <c r="E350" t="s">
        <v>642</v>
      </c>
      <c r="F350" t="s">
        <v>643</v>
      </c>
      <c r="G350" t="s">
        <v>49</v>
      </c>
      <c r="H350" t="s">
        <v>15</v>
      </c>
      <c r="I350" s="1">
        <v>39858.799305555556</v>
      </c>
      <c r="J350">
        <v>33.493609999999997</v>
      </c>
      <c r="K350">
        <v>-117.14749999999999</v>
      </c>
      <c r="L350">
        <v>92590</v>
      </c>
    </row>
    <row r="351" spans="1:12" x14ac:dyDescent="0.45">
      <c r="A351" s="1">
        <v>39818.539583333331</v>
      </c>
      <c r="B351" t="s">
        <v>10</v>
      </c>
      <c r="C351">
        <v>1200</v>
      </c>
      <c r="D351" t="s">
        <v>11</v>
      </c>
      <c r="E351" t="s">
        <v>644</v>
      </c>
      <c r="F351" t="s">
        <v>645</v>
      </c>
      <c r="G351" t="s">
        <v>41</v>
      </c>
      <c r="H351" t="s">
        <v>15</v>
      </c>
      <c r="I351" s="1">
        <v>39858.804861111108</v>
      </c>
      <c r="J351">
        <v>43.613610000000001</v>
      </c>
      <c r="K351">
        <v>-116.2025</v>
      </c>
      <c r="L351">
        <v>83702</v>
      </c>
    </row>
    <row r="352" spans="1:12" x14ac:dyDescent="0.45">
      <c r="A352" s="1">
        <v>39842.702777777777</v>
      </c>
      <c r="B352" t="s">
        <v>10</v>
      </c>
      <c r="C352">
        <v>1200</v>
      </c>
      <c r="D352" t="s">
        <v>11</v>
      </c>
      <c r="E352" t="s">
        <v>646</v>
      </c>
      <c r="F352" t="s">
        <v>647</v>
      </c>
      <c r="G352" t="s">
        <v>603</v>
      </c>
      <c r="H352" t="s">
        <v>15</v>
      </c>
      <c r="I352" s="1">
        <v>39858.81527777778</v>
      </c>
      <c r="J352">
        <v>34.924720000000001</v>
      </c>
      <c r="K352">
        <v>-81.025279999999995</v>
      </c>
      <c r="L352">
        <v>29730</v>
      </c>
    </row>
    <row r="353" spans="1:12" x14ac:dyDescent="0.45">
      <c r="A353" s="1">
        <v>39823.00277777778</v>
      </c>
      <c r="B353" t="s">
        <v>10</v>
      </c>
      <c r="C353">
        <v>1200</v>
      </c>
      <c r="D353" t="s">
        <v>16</v>
      </c>
      <c r="E353" t="s">
        <v>648</v>
      </c>
      <c r="F353" t="s">
        <v>384</v>
      </c>
      <c r="G353" t="s">
        <v>122</v>
      </c>
      <c r="H353" t="s">
        <v>15</v>
      </c>
      <c r="I353" s="1">
        <v>39858.81527777778</v>
      </c>
      <c r="J353">
        <v>21.425560000000001</v>
      </c>
      <c r="K353">
        <v>-157.96082999999999</v>
      </c>
      <c r="L353">
        <v>96782</v>
      </c>
    </row>
    <row r="354" spans="1:12" x14ac:dyDescent="0.45">
      <c r="A354" s="1">
        <v>39838.741666666669</v>
      </c>
      <c r="B354" t="s">
        <v>10</v>
      </c>
      <c r="C354">
        <v>1200</v>
      </c>
      <c r="D354" t="s">
        <v>11</v>
      </c>
      <c r="E354" t="s">
        <v>649</v>
      </c>
      <c r="F354" t="s">
        <v>650</v>
      </c>
      <c r="G354" t="s">
        <v>130</v>
      </c>
      <c r="H354" t="s">
        <v>15</v>
      </c>
      <c r="I354" s="1">
        <v>39859.338888888888</v>
      </c>
      <c r="J354">
        <v>39.836669999999998</v>
      </c>
      <c r="K354">
        <v>-105.03667</v>
      </c>
      <c r="L354">
        <v>80030</v>
      </c>
    </row>
    <row r="355" spans="1:12" x14ac:dyDescent="0.45">
      <c r="A355" s="1">
        <v>39831.503472222219</v>
      </c>
      <c r="B355" t="s">
        <v>20</v>
      </c>
      <c r="C355">
        <v>3600</v>
      </c>
      <c r="D355" t="s">
        <v>11</v>
      </c>
      <c r="E355" t="s">
        <v>651</v>
      </c>
      <c r="F355" t="s">
        <v>494</v>
      </c>
      <c r="G355" t="s">
        <v>167</v>
      </c>
      <c r="H355" t="s">
        <v>15</v>
      </c>
      <c r="I355" s="1">
        <v>39859.569444444445</v>
      </c>
      <c r="J355">
        <v>47.530279999999998</v>
      </c>
      <c r="K355">
        <v>-122.03139</v>
      </c>
      <c r="L355">
        <v>98027</v>
      </c>
    </row>
    <row r="356" spans="1:12" x14ac:dyDescent="0.45">
      <c r="A356" s="1">
        <v>39833.621527777781</v>
      </c>
      <c r="B356" t="s">
        <v>10</v>
      </c>
      <c r="C356">
        <v>1200</v>
      </c>
      <c r="D356" t="s">
        <v>16</v>
      </c>
      <c r="E356" t="s">
        <v>652</v>
      </c>
      <c r="F356" t="s">
        <v>653</v>
      </c>
      <c r="G356" t="s">
        <v>49</v>
      </c>
      <c r="H356" t="s">
        <v>15</v>
      </c>
      <c r="I356" s="1">
        <v>39859.640972222223</v>
      </c>
      <c r="J356">
        <v>33.816940000000002</v>
      </c>
      <c r="K356">
        <v>-118.03639</v>
      </c>
      <c r="L356">
        <v>90630</v>
      </c>
    </row>
    <row r="357" spans="1:12" x14ac:dyDescent="0.45">
      <c r="A357" s="1">
        <v>39815.77847222222</v>
      </c>
      <c r="B357" t="s">
        <v>10</v>
      </c>
      <c r="C357">
        <v>1200</v>
      </c>
      <c r="D357" t="s">
        <v>11</v>
      </c>
      <c r="E357" t="s">
        <v>654</v>
      </c>
      <c r="F357" t="s">
        <v>655</v>
      </c>
      <c r="G357" t="s">
        <v>239</v>
      </c>
      <c r="H357" t="s">
        <v>15</v>
      </c>
      <c r="I357" s="1">
        <v>39859.657638888886</v>
      </c>
      <c r="J357">
        <v>40.157220000000002</v>
      </c>
      <c r="K357">
        <v>-76.307220000000001</v>
      </c>
      <c r="L357">
        <v>17543</v>
      </c>
    </row>
    <row r="358" spans="1:12" x14ac:dyDescent="0.45">
      <c r="A358" s="1">
        <v>39834.304861111108</v>
      </c>
      <c r="B358" t="s">
        <v>10</v>
      </c>
      <c r="C358">
        <v>1200</v>
      </c>
      <c r="D358" t="s">
        <v>11</v>
      </c>
      <c r="E358" t="s">
        <v>656</v>
      </c>
      <c r="F358" t="s">
        <v>657</v>
      </c>
      <c r="G358" t="s">
        <v>239</v>
      </c>
      <c r="H358" t="s">
        <v>15</v>
      </c>
      <c r="I358" s="1">
        <v>39859.67083333333</v>
      </c>
      <c r="J358">
        <v>39.871670000000002</v>
      </c>
      <c r="K358">
        <v>-75.591669999999993</v>
      </c>
      <c r="L358">
        <v>19317</v>
      </c>
    </row>
    <row r="359" spans="1:12" x14ac:dyDescent="0.45">
      <c r="A359" s="1">
        <v>39824.744444444441</v>
      </c>
      <c r="B359" t="s">
        <v>20</v>
      </c>
      <c r="C359">
        <v>3600</v>
      </c>
      <c r="D359" t="s">
        <v>11</v>
      </c>
      <c r="E359" t="s">
        <v>658</v>
      </c>
      <c r="F359" t="s">
        <v>659</v>
      </c>
      <c r="G359" t="s">
        <v>660</v>
      </c>
      <c r="H359" t="s">
        <v>15</v>
      </c>
      <c r="I359" s="1">
        <v>39859.755555555559</v>
      </c>
      <c r="J359">
        <v>18.359169999999999</v>
      </c>
      <c r="K359">
        <v>-64.921109999999999</v>
      </c>
      <c r="L359">
        <v>802</v>
      </c>
    </row>
    <row r="360" spans="1:12" x14ac:dyDescent="0.45">
      <c r="A360" s="1">
        <v>39829.74722222222</v>
      </c>
      <c r="B360" t="s">
        <v>10</v>
      </c>
      <c r="C360">
        <v>1200</v>
      </c>
      <c r="D360" t="s">
        <v>16</v>
      </c>
      <c r="E360" t="s">
        <v>419</v>
      </c>
      <c r="F360" t="s">
        <v>661</v>
      </c>
      <c r="G360" t="s">
        <v>38</v>
      </c>
      <c r="H360" t="s">
        <v>15</v>
      </c>
      <c r="I360" s="1">
        <v>39859.842361111114</v>
      </c>
      <c r="J360">
        <v>32.954439999999998</v>
      </c>
      <c r="K360">
        <v>-97.014719999999997</v>
      </c>
      <c r="L360">
        <v>75019</v>
      </c>
    </row>
    <row r="361" spans="1:12" x14ac:dyDescent="0.45">
      <c r="A361" s="1">
        <v>39822.833333333336</v>
      </c>
      <c r="B361" t="s">
        <v>10</v>
      </c>
      <c r="C361">
        <v>1200</v>
      </c>
      <c r="D361" t="s">
        <v>11</v>
      </c>
      <c r="E361" t="s">
        <v>662</v>
      </c>
      <c r="F361" t="s">
        <v>663</v>
      </c>
      <c r="G361" t="s">
        <v>49</v>
      </c>
      <c r="H361" t="s">
        <v>15</v>
      </c>
      <c r="I361" s="1">
        <v>39859.965277777781</v>
      </c>
      <c r="J361">
        <v>33.57056</v>
      </c>
      <c r="K361">
        <v>-117.63861</v>
      </c>
      <c r="L361">
        <v>92694</v>
      </c>
    </row>
    <row r="362" spans="1:12" x14ac:dyDescent="0.45">
      <c r="A362" s="1">
        <v>39838.538194444445</v>
      </c>
      <c r="B362" t="s">
        <v>10</v>
      </c>
      <c r="C362">
        <v>1200</v>
      </c>
      <c r="D362" t="s">
        <v>63</v>
      </c>
      <c r="E362" t="s">
        <v>664</v>
      </c>
      <c r="F362" t="s">
        <v>665</v>
      </c>
      <c r="G362" t="s">
        <v>60</v>
      </c>
      <c r="H362" t="s">
        <v>15</v>
      </c>
      <c r="I362" s="1">
        <v>39860.287499999999</v>
      </c>
      <c r="J362">
        <v>26.358329999999999</v>
      </c>
      <c r="K362">
        <v>-80.083330000000004</v>
      </c>
      <c r="L362">
        <v>33432</v>
      </c>
    </row>
    <row r="363" spans="1:12" x14ac:dyDescent="0.45">
      <c r="A363" s="1">
        <v>39837.565972222219</v>
      </c>
      <c r="B363" t="s">
        <v>10</v>
      </c>
      <c r="C363">
        <v>1200</v>
      </c>
      <c r="D363" t="s">
        <v>11</v>
      </c>
      <c r="E363" t="s">
        <v>414</v>
      </c>
      <c r="F363" t="s">
        <v>666</v>
      </c>
      <c r="G363" t="s">
        <v>193</v>
      </c>
      <c r="H363" t="s">
        <v>15</v>
      </c>
      <c r="I363" s="1">
        <v>39860.375</v>
      </c>
      <c r="J363">
        <v>44.789439999999999</v>
      </c>
      <c r="K363">
        <v>-93.601939999999999</v>
      </c>
      <c r="L363">
        <v>55318</v>
      </c>
    </row>
    <row r="364" spans="1:12" x14ac:dyDescent="0.45">
      <c r="A364" s="1">
        <v>39841.5625</v>
      </c>
      <c r="B364" t="s">
        <v>10</v>
      </c>
      <c r="C364">
        <v>1200</v>
      </c>
      <c r="D364" t="s">
        <v>11</v>
      </c>
      <c r="E364" t="s">
        <v>667</v>
      </c>
      <c r="F364" t="s">
        <v>668</v>
      </c>
      <c r="G364" t="s">
        <v>130</v>
      </c>
      <c r="H364" t="s">
        <v>15</v>
      </c>
      <c r="I364" s="1">
        <v>39860.384027777778</v>
      </c>
      <c r="J364">
        <v>39.613329999999998</v>
      </c>
      <c r="K364">
        <v>-105.01611</v>
      </c>
      <c r="L364">
        <v>80120</v>
      </c>
    </row>
    <row r="365" spans="1:12" x14ac:dyDescent="0.45">
      <c r="A365" s="1">
        <v>39833.797222222223</v>
      </c>
      <c r="B365" t="s">
        <v>10</v>
      </c>
      <c r="C365">
        <v>1200</v>
      </c>
      <c r="D365" t="s">
        <v>63</v>
      </c>
      <c r="E365" t="s">
        <v>669</v>
      </c>
      <c r="F365" t="s">
        <v>241</v>
      </c>
      <c r="G365" t="s">
        <v>78</v>
      </c>
      <c r="H365" t="s">
        <v>15</v>
      </c>
      <c r="I365" s="1">
        <v>39860.422222222223</v>
      </c>
      <c r="J365">
        <v>33.748890000000003</v>
      </c>
      <c r="K365">
        <v>-84.388059999999996</v>
      </c>
      <c r="L365">
        <v>30334</v>
      </c>
    </row>
    <row r="366" spans="1:12" x14ac:dyDescent="0.45">
      <c r="A366" s="1">
        <v>39842.717361111114</v>
      </c>
      <c r="B366" t="s">
        <v>10</v>
      </c>
      <c r="C366">
        <v>1200</v>
      </c>
      <c r="D366" t="s">
        <v>63</v>
      </c>
      <c r="E366" t="s">
        <v>670</v>
      </c>
      <c r="F366" t="s">
        <v>356</v>
      </c>
      <c r="G366" t="s">
        <v>26</v>
      </c>
      <c r="H366" t="s">
        <v>15</v>
      </c>
      <c r="I366" s="1">
        <v>39860.429861111108</v>
      </c>
      <c r="J366">
        <v>40.925280000000001</v>
      </c>
      <c r="K366">
        <v>-73.963329999999999</v>
      </c>
      <c r="L366">
        <v>7670</v>
      </c>
    </row>
    <row r="367" spans="1:12" x14ac:dyDescent="0.45">
      <c r="A367" s="1">
        <v>39826.386111111111</v>
      </c>
      <c r="B367" t="s">
        <v>10</v>
      </c>
      <c r="C367">
        <v>1200</v>
      </c>
      <c r="D367" t="s">
        <v>11</v>
      </c>
      <c r="E367" t="s">
        <v>671</v>
      </c>
      <c r="F367" t="s">
        <v>178</v>
      </c>
      <c r="G367" t="s">
        <v>32</v>
      </c>
      <c r="H367" t="s">
        <v>15</v>
      </c>
      <c r="I367" s="1">
        <v>39860.522916666669</v>
      </c>
      <c r="J367">
        <v>36.16583</v>
      </c>
      <c r="K367">
        <v>-86.784440000000004</v>
      </c>
      <c r="L367">
        <v>37219</v>
      </c>
    </row>
    <row r="368" spans="1:12" x14ac:dyDescent="0.45">
      <c r="A368" s="1">
        <v>39835.457638888889</v>
      </c>
      <c r="B368" t="s">
        <v>10</v>
      </c>
      <c r="C368">
        <v>1200</v>
      </c>
      <c r="D368" t="s">
        <v>11</v>
      </c>
      <c r="E368" t="s">
        <v>672</v>
      </c>
      <c r="F368" t="s">
        <v>673</v>
      </c>
      <c r="G368" t="s">
        <v>567</v>
      </c>
      <c r="H368" t="s">
        <v>15</v>
      </c>
      <c r="I368" s="1">
        <v>39860.618055555555</v>
      </c>
      <c r="J368">
        <v>45.043610000000001</v>
      </c>
      <c r="K368">
        <v>-92.04083</v>
      </c>
      <c r="L368">
        <v>54725</v>
      </c>
    </row>
    <row r="369" spans="1:12" x14ac:dyDescent="0.45">
      <c r="A369" s="1">
        <v>39837.364583333336</v>
      </c>
      <c r="B369" t="s">
        <v>10</v>
      </c>
      <c r="C369">
        <v>1200</v>
      </c>
      <c r="D369" t="s">
        <v>11</v>
      </c>
      <c r="E369" t="s">
        <v>674</v>
      </c>
      <c r="F369" t="s">
        <v>675</v>
      </c>
      <c r="G369" t="s">
        <v>218</v>
      </c>
      <c r="H369" t="s">
        <v>15</v>
      </c>
      <c r="I369" s="1">
        <v>39861.152777777781</v>
      </c>
      <c r="J369">
        <v>41.033329999999999</v>
      </c>
      <c r="K369">
        <v>-73.599999999999994</v>
      </c>
      <c r="L369">
        <v>6807</v>
      </c>
    </row>
    <row r="370" spans="1:12" x14ac:dyDescent="0.45">
      <c r="A370" s="1">
        <v>39837.720833333333</v>
      </c>
      <c r="B370" t="s">
        <v>20</v>
      </c>
      <c r="C370">
        <v>3600</v>
      </c>
      <c r="D370" t="s">
        <v>11</v>
      </c>
      <c r="E370" t="s">
        <v>676</v>
      </c>
      <c r="F370" t="s">
        <v>677</v>
      </c>
      <c r="G370" t="s">
        <v>66</v>
      </c>
      <c r="H370" t="s">
        <v>15</v>
      </c>
      <c r="I370" s="1">
        <v>39861.268055555556</v>
      </c>
      <c r="J370">
        <v>39.00611</v>
      </c>
      <c r="K370">
        <v>-77.428889999999996</v>
      </c>
      <c r="L370">
        <v>20164</v>
      </c>
    </row>
    <row r="371" spans="1:12" x14ac:dyDescent="0.45">
      <c r="A371" s="1">
        <v>39842.342361111114</v>
      </c>
      <c r="B371" t="s">
        <v>10</v>
      </c>
      <c r="C371">
        <v>1200</v>
      </c>
      <c r="D371" t="s">
        <v>16</v>
      </c>
      <c r="E371" t="s">
        <v>419</v>
      </c>
      <c r="F371" t="s">
        <v>678</v>
      </c>
      <c r="G371" t="s">
        <v>218</v>
      </c>
      <c r="H371" t="s">
        <v>15</v>
      </c>
      <c r="I371" s="1">
        <v>39861.329861111109</v>
      </c>
      <c r="J371">
        <v>41.281390000000002</v>
      </c>
      <c r="K371">
        <v>-73.498609999999999</v>
      </c>
      <c r="L371">
        <v>6877</v>
      </c>
    </row>
    <row r="372" spans="1:12" x14ac:dyDescent="0.45">
      <c r="A372" s="1">
        <v>39836.651388888888</v>
      </c>
      <c r="B372" t="s">
        <v>10</v>
      </c>
      <c r="C372">
        <v>1200</v>
      </c>
      <c r="D372" t="s">
        <v>11</v>
      </c>
      <c r="E372" t="s">
        <v>679</v>
      </c>
      <c r="F372" t="s">
        <v>581</v>
      </c>
      <c r="G372" t="s">
        <v>35</v>
      </c>
      <c r="H372" t="s">
        <v>15</v>
      </c>
      <c r="I372" s="1">
        <v>39861.456944444442</v>
      </c>
      <c r="J372">
        <v>40.714170000000003</v>
      </c>
      <c r="K372">
        <v>-74.006389999999996</v>
      </c>
      <c r="L372">
        <v>10007</v>
      </c>
    </row>
    <row r="373" spans="1:12" x14ac:dyDescent="0.45">
      <c r="A373" s="1">
        <v>39830.856249999997</v>
      </c>
      <c r="B373" t="s">
        <v>10</v>
      </c>
      <c r="C373">
        <v>1200</v>
      </c>
      <c r="D373" t="s">
        <v>63</v>
      </c>
      <c r="E373" t="s">
        <v>680</v>
      </c>
      <c r="F373" t="s">
        <v>201</v>
      </c>
      <c r="G373" t="s">
        <v>78</v>
      </c>
      <c r="H373" t="s">
        <v>15</v>
      </c>
      <c r="I373" s="1">
        <v>39861.521527777775</v>
      </c>
      <c r="J373">
        <v>34.075279999999999</v>
      </c>
      <c r="K373">
        <v>-84.294169999999994</v>
      </c>
      <c r="L373">
        <v>30009</v>
      </c>
    </row>
    <row r="374" spans="1:12" x14ac:dyDescent="0.45">
      <c r="A374" s="1">
        <v>39833.344444444447</v>
      </c>
      <c r="B374" t="s">
        <v>10</v>
      </c>
      <c r="C374">
        <v>1200</v>
      </c>
      <c r="D374" t="s">
        <v>16</v>
      </c>
      <c r="E374" t="s">
        <v>681</v>
      </c>
      <c r="F374" t="s">
        <v>682</v>
      </c>
      <c r="G374" t="s">
        <v>32</v>
      </c>
      <c r="H374" t="s">
        <v>15</v>
      </c>
      <c r="I374" s="1">
        <v>39861.542361111111</v>
      </c>
      <c r="J374">
        <v>35.086669999999998</v>
      </c>
      <c r="K374">
        <v>-89.81</v>
      </c>
      <c r="L374">
        <v>38138</v>
      </c>
    </row>
    <row r="375" spans="1:12" x14ac:dyDescent="0.45">
      <c r="A375" s="1">
        <v>39828.758333333331</v>
      </c>
      <c r="B375" t="s">
        <v>10</v>
      </c>
      <c r="C375">
        <v>1200</v>
      </c>
      <c r="D375" t="s">
        <v>16</v>
      </c>
      <c r="E375" t="s">
        <v>683</v>
      </c>
      <c r="F375" t="s">
        <v>684</v>
      </c>
      <c r="G375" t="s">
        <v>122</v>
      </c>
      <c r="H375" t="s">
        <v>15</v>
      </c>
      <c r="I375" s="1">
        <v>39861.595138888886</v>
      </c>
      <c r="J375">
        <v>21.306940000000001</v>
      </c>
      <c r="K375">
        <v>-157.85833</v>
      </c>
      <c r="L375">
        <v>96813</v>
      </c>
    </row>
    <row r="376" spans="1:12" x14ac:dyDescent="0.45">
      <c r="A376" s="1">
        <v>39836.579861111109</v>
      </c>
      <c r="B376" t="s">
        <v>10</v>
      </c>
      <c r="C376">
        <v>1200</v>
      </c>
      <c r="D376" t="s">
        <v>16</v>
      </c>
      <c r="E376" t="s">
        <v>685</v>
      </c>
      <c r="F376" t="s">
        <v>95</v>
      </c>
      <c r="G376" t="s">
        <v>35</v>
      </c>
      <c r="H376" t="s">
        <v>15</v>
      </c>
      <c r="I376" s="1">
        <v>39861.636111111111</v>
      </c>
      <c r="J376">
        <v>40.911389999999997</v>
      </c>
      <c r="K376">
        <v>-73.782780000000002</v>
      </c>
      <c r="L376">
        <v>10801</v>
      </c>
    </row>
    <row r="377" spans="1:12" x14ac:dyDescent="0.45">
      <c r="A377" s="1">
        <v>39825.491666666669</v>
      </c>
      <c r="B377" t="s">
        <v>10</v>
      </c>
      <c r="C377">
        <v>1200</v>
      </c>
      <c r="D377" t="s">
        <v>16</v>
      </c>
      <c r="E377" t="s">
        <v>50</v>
      </c>
      <c r="F377" t="s">
        <v>686</v>
      </c>
      <c r="G377" t="s">
        <v>687</v>
      </c>
      <c r="H377" t="s">
        <v>15</v>
      </c>
      <c r="I377" s="1">
        <v>39861.645138888889</v>
      </c>
      <c r="J377">
        <v>44.178600000000003</v>
      </c>
      <c r="K377">
        <v>-70.716399999999993</v>
      </c>
      <c r="L377">
        <v>4088</v>
      </c>
    </row>
    <row r="378" spans="1:12" x14ac:dyDescent="0.45">
      <c r="A378" s="1">
        <v>39842.638888888891</v>
      </c>
      <c r="B378" t="s">
        <v>10</v>
      </c>
      <c r="C378">
        <v>1200</v>
      </c>
      <c r="D378" t="s">
        <v>16</v>
      </c>
      <c r="E378" t="s">
        <v>688</v>
      </c>
      <c r="F378" t="s">
        <v>689</v>
      </c>
      <c r="G378" t="s">
        <v>98</v>
      </c>
      <c r="H378" t="s">
        <v>15</v>
      </c>
      <c r="I378" s="1">
        <v>39861.686805555553</v>
      </c>
      <c r="J378">
        <v>39.758890000000001</v>
      </c>
      <c r="K378">
        <v>-84.191670000000002</v>
      </c>
      <c r="L378">
        <v>45402</v>
      </c>
    </row>
    <row r="379" spans="1:12" x14ac:dyDescent="0.45">
      <c r="A379" s="1">
        <v>39832.587500000001</v>
      </c>
      <c r="B379" t="s">
        <v>10</v>
      </c>
      <c r="C379">
        <v>1200</v>
      </c>
      <c r="D379" t="s">
        <v>16</v>
      </c>
      <c r="E379" t="s">
        <v>690</v>
      </c>
      <c r="F379" t="s">
        <v>691</v>
      </c>
      <c r="G379" t="s">
        <v>93</v>
      </c>
      <c r="H379" t="s">
        <v>15</v>
      </c>
      <c r="I379" s="1">
        <v>39862.345833333333</v>
      </c>
      <c r="J379">
        <v>34.225560000000002</v>
      </c>
      <c r="K379">
        <v>-77.944999999999993</v>
      </c>
      <c r="L379">
        <v>28401</v>
      </c>
    </row>
    <row r="380" spans="1:12" x14ac:dyDescent="0.45">
      <c r="A380" s="1">
        <v>39822.627083333333</v>
      </c>
      <c r="B380" t="s">
        <v>10</v>
      </c>
      <c r="C380">
        <v>1200</v>
      </c>
      <c r="D380" t="s">
        <v>11</v>
      </c>
      <c r="E380" t="s">
        <v>692</v>
      </c>
      <c r="F380" t="s">
        <v>198</v>
      </c>
      <c r="G380" t="s">
        <v>167</v>
      </c>
      <c r="H380" t="s">
        <v>15</v>
      </c>
      <c r="I380" s="1">
        <v>39862.660416666666</v>
      </c>
      <c r="J380">
        <v>47.606389999999998</v>
      </c>
      <c r="K380">
        <v>-122.33083000000001</v>
      </c>
      <c r="L380">
        <v>98104</v>
      </c>
    </row>
    <row r="381" spans="1:12" x14ac:dyDescent="0.45">
      <c r="A381" s="1">
        <v>39836.294444444444</v>
      </c>
      <c r="B381" t="s">
        <v>10</v>
      </c>
      <c r="C381">
        <v>1200</v>
      </c>
      <c r="D381" t="s">
        <v>63</v>
      </c>
      <c r="E381" t="s">
        <v>693</v>
      </c>
      <c r="F381" t="s">
        <v>694</v>
      </c>
      <c r="G381" t="s">
        <v>218</v>
      </c>
      <c r="H381" t="s">
        <v>15</v>
      </c>
      <c r="I381" s="1">
        <v>39862.704861111109</v>
      </c>
      <c r="J381">
        <v>41.1175</v>
      </c>
      <c r="K381">
        <v>-73.408330000000007</v>
      </c>
      <c r="L381">
        <v>6851</v>
      </c>
    </row>
    <row r="382" spans="1:12" x14ac:dyDescent="0.45">
      <c r="A382" s="1">
        <v>39832.677777777775</v>
      </c>
      <c r="B382" t="s">
        <v>10</v>
      </c>
      <c r="C382">
        <v>1200</v>
      </c>
      <c r="D382" t="s">
        <v>16</v>
      </c>
      <c r="E382" t="s">
        <v>695</v>
      </c>
      <c r="F382" t="s">
        <v>696</v>
      </c>
      <c r="G382" t="s">
        <v>239</v>
      </c>
      <c r="H382" t="s">
        <v>15</v>
      </c>
      <c r="I382" s="1">
        <v>39862.818055555559</v>
      </c>
      <c r="J382">
        <v>40.340829999999997</v>
      </c>
      <c r="K382">
        <v>-76.411670000000001</v>
      </c>
      <c r="L382">
        <v>17042</v>
      </c>
    </row>
    <row r="383" spans="1:12" x14ac:dyDescent="0.45">
      <c r="A383" s="1">
        <v>39828.755555555559</v>
      </c>
      <c r="B383" t="s">
        <v>20</v>
      </c>
      <c r="C383">
        <v>3600</v>
      </c>
      <c r="D383" t="s">
        <v>63</v>
      </c>
      <c r="E383" t="s">
        <v>416</v>
      </c>
      <c r="F383" t="s">
        <v>697</v>
      </c>
      <c r="G383" t="s">
        <v>239</v>
      </c>
      <c r="H383" t="s">
        <v>15</v>
      </c>
      <c r="I383" s="1">
        <v>39863.138194444444</v>
      </c>
      <c r="J383">
        <v>40.037219999999998</v>
      </c>
      <c r="K383">
        <v>-75.349440000000001</v>
      </c>
      <c r="L383">
        <v>19085</v>
      </c>
    </row>
    <row r="384" spans="1:12" x14ac:dyDescent="0.45">
      <c r="A384" s="1">
        <v>39825.727777777778</v>
      </c>
      <c r="B384" t="s">
        <v>10</v>
      </c>
      <c r="C384">
        <v>1200</v>
      </c>
      <c r="D384" t="s">
        <v>63</v>
      </c>
      <c r="E384" t="s">
        <v>698</v>
      </c>
      <c r="F384" t="s">
        <v>536</v>
      </c>
      <c r="G384" t="s">
        <v>292</v>
      </c>
      <c r="H384" t="s">
        <v>15</v>
      </c>
      <c r="I384" s="1">
        <v>39863.339583333334</v>
      </c>
      <c r="J384">
        <v>36.174999999999997</v>
      </c>
      <c r="K384">
        <v>-115.13639000000001</v>
      </c>
      <c r="L384">
        <v>89101</v>
      </c>
    </row>
    <row r="385" spans="1:12" x14ac:dyDescent="0.45">
      <c r="A385" s="1">
        <v>39837.529861111114</v>
      </c>
      <c r="B385" t="s">
        <v>10</v>
      </c>
      <c r="C385">
        <v>1200</v>
      </c>
      <c r="D385" t="s">
        <v>11</v>
      </c>
      <c r="E385" t="s">
        <v>699</v>
      </c>
      <c r="F385" t="s">
        <v>550</v>
      </c>
      <c r="G385" t="s">
        <v>35</v>
      </c>
      <c r="H385" t="s">
        <v>15</v>
      </c>
      <c r="I385" s="1">
        <v>39863.436111111114</v>
      </c>
      <c r="J385">
        <v>41.256390000000003</v>
      </c>
      <c r="K385">
        <v>-74.360280000000003</v>
      </c>
      <c r="L385">
        <v>10990</v>
      </c>
    </row>
    <row r="386" spans="1:12" x14ac:dyDescent="0.45">
      <c r="A386" s="1">
        <v>39820.450694444444</v>
      </c>
      <c r="B386" t="s">
        <v>20</v>
      </c>
      <c r="C386">
        <v>3600</v>
      </c>
      <c r="D386" t="s">
        <v>11</v>
      </c>
      <c r="E386" t="s">
        <v>700</v>
      </c>
      <c r="F386" t="s">
        <v>301</v>
      </c>
      <c r="G386" t="s">
        <v>104</v>
      </c>
      <c r="H386" t="s">
        <v>15</v>
      </c>
      <c r="I386" s="1">
        <v>39863.446527777778</v>
      </c>
      <c r="J386">
        <v>38.990560000000002</v>
      </c>
      <c r="K386">
        <v>-77.026390000000006</v>
      </c>
      <c r="L386">
        <v>20910</v>
      </c>
    </row>
    <row r="387" spans="1:12" x14ac:dyDescent="0.45">
      <c r="A387" s="1">
        <v>39824.712500000001</v>
      </c>
      <c r="B387" t="s">
        <v>10</v>
      </c>
      <c r="C387">
        <v>1200</v>
      </c>
      <c r="D387" t="s">
        <v>11</v>
      </c>
      <c r="E387" t="s">
        <v>701</v>
      </c>
      <c r="F387" t="s">
        <v>702</v>
      </c>
      <c r="G387" t="s">
        <v>49</v>
      </c>
      <c r="H387" t="s">
        <v>15</v>
      </c>
      <c r="I387" s="1">
        <v>39863.503472222219</v>
      </c>
      <c r="J387">
        <v>38.581670000000003</v>
      </c>
      <c r="K387">
        <v>-121.49333</v>
      </c>
      <c r="L387">
        <v>95814</v>
      </c>
    </row>
    <row r="388" spans="1:12" x14ac:dyDescent="0.45">
      <c r="A388" s="1">
        <v>39840.263888888891</v>
      </c>
      <c r="B388" t="s">
        <v>10</v>
      </c>
      <c r="C388">
        <v>1200</v>
      </c>
      <c r="D388" t="s">
        <v>16</v>
      </c>
      <c r="E388" t="s">
        <v>703</v>
      </c>
      <c r="F388" t="s">
        <v>704</v>
      </c>
      <c r="G388" t="s">
        <v>66</v>
      </c>
      <c r="H388" t="s">
        <v>15</v>
      </c>
      <c r="I388" s="1">
        <v>39863.702777777777</v>
      </c>
      <c r="J388">
        <v>38.81194</v>
      </c>
      <c r="K388">
        <v>-77.636669999999995</v>
      </c>
      <c r="L388">
        <v>20169</v>
      </c>
    </row>
    <row r="389" spans="1:12" x14ac:dyDescent="0.45">
      <c r="A389" s="1">
        <v>39817.682638888888</v>
      </c>
      <c r="B389" t="s">
        <v>10</v>
      </c>
      <c r="C389">
        <v>1200</v>
      </c>
      <c r="D389" t="s">
        <v>11</v>
      </c>
      <c r="E389" t="s">
        <v>705</v>
      </c>
      <c r="F389" t="s">
        <v>399</v>
      </c>
      <c r="G389" t="s">
        <v>69</v>
      </c>
      <c r="H389" t="s">
        <v>15</v>
      </c>
      <c r="I389" s="1">
        <v>39863.815972222219</v>
      </c>
      <c r="J389">
        <v>33.509169999999997</v>
      </c>
      <c r="K389">
        <v>-111.89833</v>
      </c>
      <c r="L389">
        <v>85251</v>
      </c>
    </row>
    <row r="390" spans="1:12" x14ac:dyDescent="0.45">
      <c r="A390" s="1">
        <v>39819.518055555556</v>
      </c>
      <c r="B390" t="s">
        <v>10</v>
      </c>
      <c r="C390">
        <v>1200</v>
      </c>
      <c r="D390" t="s">
        <v>11</v>
      </c>
      <c r="E390" t="s">
        <v>706</v>
      </c>
      <c r="F390" t="s">
        <v>707</v>
      </c>
      <c r="G390" t="s">
        <v>215</v>
      </c>
      <c r="H390" t="s">
        <v>15</v>
      </c>
      <c r="I390" s="1">
        <v>39863.822222222225</v>
      </c>
      <c r="J390">
        <v>42.375</v>
      </c>
      <c r="K390">
        <v>-71.106110000000001</v>
      </c>
      <c r="L390">
        <v>2138</v>
      </c>
    </row>
    <row r="391" spans="1:12" x14ac:dyDescent="0.45">
      <c r="A391" s="1">
        <v>39839.776388888888</v>
      </c>
      <c r="B391" t="s">
        <v>10</v>
      </c>
      <c r="C391">
        <v>1200</v>
      </c>
      <c r="D391" t="s">
        <v>11</v>
      </c>
      <c r="E391" t="s">
        <v>708</v>
      </c>
      <c r="F391" t="s">
        <v>709</v>
      </c>
      <c r="G391" t="s">
        <v>60</v>
      </c>
      <c r="H391" t="s">
        <v>15</v>
      </c>
      <c r="I391" s="1">
        <v>39864.339583333334</v>
      </c>
      <c r="J391">
        <v>26.010829999999999</v>
      </c>
      <c r="K391">
        <v>-80.149720000000002</v>
      </c>
      <c r="L391">
        <v>33020</v>
      </c>
    </row>
    <row r="392" spans="1:12" x14ac:dyDescent="0.45">
      <c r="A392" s="1">
        <v>39831.559027777781</v>
      </c>
      <c r="B392" t="s">
        <v>10</v>
      </c>
      <c r="C392">
        <v>1200</v>
      </c>
      <c r="D392" t="s">
        <v>11</v>
      </c>
      <c r="E392" t="s">
        <v>133</v>
      </c>
      <c r="F392" t="s">
        <v>710</v>
      </c>
      <c r="G392" t="s">
        <v>218</v>
      </c>
      <c r="H392" t="s">
        <v>15</v>
      </c>
      <c r="I392" s="1">
        <v>39864.422222222223</v>
      </c>
      <c r="J392">
        <v>41.403060000000004</v>
      </c>
      <c r="K392">
        <v>-72.451390000000004</v>
      </c>
      <c r="L392">
        <v>6412</v>
      </c>
    </row>
    <row r="393" spans="1:12" x14ac:dyDescent="0.45">
      <c r="A393" s="1">
        <v>39831.789583333331</v>
      </c>
      <c r="B393" t="s">
        <v>10</v>
      </c>
      <c r="C393">
        <v>1200</v>
      </c>
      <c r="D393" t="s">
        <v>16</v>
      </c>
      <c r="E393" t="s">
        <v>711</v>
      </c>
      <c r="F393" t="s">
        <v>65</v>
      </c>
      <c r="G393" t="s">
        <v>66</v>
      </c>
      <c r="H393" t="s">
        <v>15</v>
      </c>
      <c r="I393" s="1">
        <v>39864.481944444444</v>
      </c>
      <c r="J393">
        <v>38.968609999999998</v>
      </c>
      <c r="K393">
        <v>-77.341390000000004</v>
      </c>
      <c r="L393">
        <v>20190</v>
      </c>
    </row>
    <row r="394" spans="1:12" x14ac:dyDescent="0.45">
      <c r="A394" s="1">
        <v>39829.800694444442</v>
      </c>
      <c r="B394" t="s">
        <v>10</v>
      </c>
      <c r="C394">
        <v>1200</v>
      </c>
      <c r="D394" t="s">
        <v>16</v>
      </c>
      <c r="E394" t="s">
        <v>712</v>
      </c>
      <c r="F394" t="s">
        <v>201</v>
      </c>
      <c r="G394" t="s">
        <v>78</v>
      </c>
      <c r="H394" t="s">
        <v>15</v>
      </c>
      <c r="I394" s="1">
        <v>39864.57916666667</v>
      </c>
      <c r="J394">
        <v>34.075279999999999</v>
      </c>
      <c r="K394">
        <v>-84.294169999999994</v>
      </c>
      <c r="L394">
        <v>30009</v>
      </c>
    </row>
    <row r="395" spans="1:12" x14ac:dyDescent="0.45">
      <c r="A395" s="1">
        <v>39844.642361111109</v>
      </c>
      <c r="B395" t="s">
        <v>10</v>
      </c>
      <c r="C395">
        <v>1200</v>
      </c>
      <c r="D395" t="s">
        <v>11</v>
      </c>
      <c r="E395" t="s">
        <v>50</v>
      </c>
      <c r="F395" t="s">
        <v>713</v>
      </c>
      <c r="G395" t="s">
        <v>78</v>
      </c>
      <c r="H395" t="s">
        <v>15</v>
      </c>
      <c r="I395" s="1">
        <v>39864.661805555559</v>
      </c>
      <c r="J395">
        <v>34.91583</v>
      </c>
      <c r="K395">
        <v>-85.109170000000006</v>
      </c>
      <c r="L395">
        <v>30736</v>
      </c>
    </row>
    <row r="396" spans="1:12" x14ac:dyDescent="0.45">
      <c r="A396" s="1">
        <v>39822.372916666667</v>
      </c>
      <c r="B396" t="s">
        <v>10</v>
      </c>
      <c r="C396">
        <v>1200</v>
      </c>
      <c r="D396" t="s">
        <v>16</v>
      </c>
      <c r="E396" t="s">
        <v>266</v>
      </c>
      <c r="F396" t="s">
        <v>714</v>
      </c>
      <c r="G396" t="s">
        <v>26</v>
      </c>
      <c r="H396" t="s">
        <v>15</v>
      </c>
      <c r="I396" s="1">
        <v>39864.697916666664</v>
      </c>
      <c r="J396">
        <v>40.147799999999997</v>
      </c>
      <c r="K396">
        <v>-74.213300000000004</v>
      </c>
      <c r="L396">
        <v>7731</v>
      </c>
    </row>
    <row r="397" spans="1:12" x14ac:dyDescent="0.45">
      <c r="A397" s="1">
        <v>39823.637499999997</v>
      </c>
      <c r="B397" t="s">
        <v>20</v>
      </c>
      <c r="C397">
        <v>3600</v>
      </c>
      <c r="D397" t="s">
        <v>16</v>
      </c>
      <c r="E397" t="s">
        <v>708</v>
      </c>
      <c r="F397" t="s">
        <v>715</v>
      </c>
      <c r="G397" t="s">
        <v>49</v>
      </c>
      <c r="H397" t="s">
        <v>15</v>
      </c>
      <c r="I397" s="1">
        <v>39864.933333333334</v>
      </c>
      <c r="J397">
        <v>33.66028</v>
      </c>
      <c r="K397">
        <v>-117.99833</v>
      </c>
      <c r="L397">
        <v>92648</v>
      </c>
    </row>
    <row r="398" spans="1:12" x14ac:dyDescent="0.45">
      <c r="A398" s="1">
        <v>39829.824305555558</v>
      </c>
      <c r="B398" t="s">
        <v>10</v>
      </c>
      <c r="C398">
        <v>1200</v>
      </c>
      <c r="D398" t="s">
        <v>63</v>
      </c>
      <c r="E398" t="s">
        <v>716</v>
      </c>
      <c r="F398" t="s">
        <v>56</v>
      </c>
      <c r="G398" t="s">
        <v>49</v>
      </c>
      <c r="H398" t="s">
        <v>15</v>
      </c>
      <c r="I398" s="1">
        <v>39864.964583333334</v>
      </c>
      <c r="J398">
        <v>37.226669999999999</v>
      </c>
      <c r="K398">
        <v>-121.97360999999999</v>
      </c>
      <c r="L398">
        <v>95032</v>
      </c>
    </row>
    <row r="399" spans="1:12" x14ac:dyDescent="0.45">
      <c r="A399" s="1">
        <v>39830.383333333331</v>
      </c>
      <c r="B399" t="s">
        <v>10</v>
      </c>
      <c r="C399">
        <v>1200</v>
      </c>
      <c r="D399" t="s">
        <v>63</v>
      </c>
      <c r="E399" t="s">
        <v>75</v>
      </c>
      <c r="F399" t="s">
        <v>695</v>
      </c>
      <c r="G399" t="s">
        <v>66</v>
      </c>
      <c r="H399" t="s">
        <v>15</v>
      </c>
      <c r="I399" s="1">
        <v>39865.201388888891</v>
      </c>
      <c r="J399">
        <v>38.804720000000003</v>
      </c>
      <c r="K399">
        <v>-77.047219999999996</v>
      </c>
      <c r="L399">
        <v>22314</v>
      </c>
    </row>
    <row r="400" spans="1:12" x14ac:dyDescent="0.45">
      <c r="A400" s="1">
        <v>39840.631249999999</v>
      </c>
      <c r="B400" t="s">
        <v>10</v>
      </c>
      <c r="C400">
        <v>1200</v>
      </c>
      <c r="D400" t="s">
        <v>11</v>
      </c>
      <c r="E400" t="s">
        <v>717</v>
      </c>
      <c r="F400" t="s">
        <v>718</v>
      </c>
      <c r="G400" t="s">
        <v>567</v>
      </c>
      <c r="H400" t="s">
        <v>15</v>
      </c>
      <c r="I400" s="1">
        <v>39865.317361111112</v>
      </c>
      <c r="J400">
        <v>43.552219999999998</v>
      </c>
      <c r="K400">
        <v>-87.961669999999998</v>
      </c>
      <c r="L400">
        <v>53075</v>
      </c>
    </row>
    <row r="401" spans="1:12" x14ac:dyDescent="0.45">
      <c r="A401" s="1">
        <v>39838.90902777778</v>
      </c>
      <c r="B401" t="s">
        <v>10</v>
      </c>
      <c r="C401">
        <v>1200</v>
      </c>
      <c r="D401" t="s">
        <v>16</v>
      </c>
      <c r="E401" t="s">
        <v>719</v>
      </c>
      <c r="F401" t="s">
        <v>136</v>
      </c>
      <c r="G401" t="s">
        <v>49</v>
      </c>
      <c r="H401" t="s">
        <v>15</v>
      </c>
      <c r="I401" s="1">
        <v>39865.393055555556</v>
      </c>
      <c r="J401">
        <v>37.774999999999999</v>
      </c>
      <c r="K401">
        <v>-122.41833</v>
      </c>
      <c r="L401">
        <v>94103</v>
      </c>
    </row>
    <row r="402" spans="1:12" x14ac:dyDescent="0.45">
      <c r="A402" s="1">
        <v>39830.587500000001</v>
      </c>
      <c r="B402" t="s">
        <v>10</v>
      </c>
      <c r="C402">
        <v>1200</v>
      </c>
      <c r="D402" t="s">
        <v>63</v>
      </c>
      <c r="E402" t="s">
        <v>720</v>
      </c>
      <c r="F402" t="s">
        <v>721</v>
      </c>
      <c r="G402" t="s">
        <v>35</v>
      </c>
      <c r="H402" t="s">
        <v>15</v>
      </c>
      <c r="I402" s="1">
        <v>39865.543749999997</v>
      </c>
      <c r="J402">
        <v>41.204169999999998</v>
      </c>
      <c r="K402">
        <v>-73.727500000000006</v>
      </c>
      <c r="L402">
        <v>10549</v>
      </c>
    </row>
    <row r="403" spans="1:12" x14ac:dyDescent="0.45">
      <c r="A403" s="1">
        <v>39825.5</v>
      </c>
      <c r="B403" t="s">
        <v>10</v>
      </c>
      <c r="C403">
        <v>1200</v>
      </c>
      <c r="D403" t="s">
        <v>16</v>
      </c>
      <c r="E403" t="s">
        <v>722</v>
      </c>
      <c r="F403" t="s">
        <v>723</v>
      </c>
      <c r="G403" t="s">
        <v>687</v>
      </c>
      <c r="H403" t="s">
        <v>15</v>
      </c>
      <c r="I403" s="1">
        <v>39865.78125</v>
      </c>
      <c r="J403">
        <v>44.946109999999997</v>
      </c>
      <c r="K403">
        <v>-68.644440000000003</v>
      </c>
      <c r="L403">
        <v>4461</v>
      </c>
    </row>
    <row r="404" spans="1:12" x14ac:dyDescent="0.45">
      <c r="A404" s="1">
        <v>39838.84375</v>
      </c>
      <c r="B404" t="s">
        <v>10</v>
      </c>
      <c r="C404">
        <v>1200</v>
      </c>
      <c r="D404" t="s">
        <v>11</v>
      </c>
      <c r="E404" t="s">
        <v>145</v>
      </c>
      <c r="F404" t="s">
        <v>724</v>
      </c>
      <c r="G404" t="s">
        <v>35</v>
      </c>
      <c r="H404" t="s">
        <v>15</v>
      </c>
      <c r="I404" s="1">
        <v>39866.493750000001</v>
      </c>
      <c r="J404">
        <v>41.221899999999998</v>
      </c>
      <c r="K404">
        <v>-73.887</v>
      </c>
      <c r="L404">
        <v>10520</v>
      </c>
    </row>
    <row r="405" spans="1:12" x14ac:dyDescent="0.45">
      <c r="A405" s="1">
        <v>39843.375</v>
      </c>
      <c r="B405" t="s">
        <v>10</v>
      </c>
      <c r="C405">
        <v>1200</v>
      </c>
      <c r="D405" t="s">
        <v>16</v>
      </c>
      <c r="E405" t="s">
        <v>725</v>
      </c>
      <c r="F405" t="s">
        <v>178</v>
      </c>
      <c r="G405" t="s">
        <v>32</v>
      </c>
      <c r="H405" t="s">
        <v>15</v>
      </c>
      <c r="I405" s="1">
        <v>39866.665277777778</v>
      </c>
      <c r="J405">
        <v>36.16583</v>
      </c>
      <c r="K405">
        <v>-86.784440000000004</v>
      </c>
      <c r="L405">
        <v>37219</v>
      </c>
    </row>
    <row r="406" spans="1:12" x14ac:dyDescent="0.45">
      <c r="A406" s="1">
        <v>39817.429166666669</v>
      </c>
      <c r="B406" t="s">
        <v>10</v>
      </c>
      <c r="C406">
        <v>1200</v>
      </c>
      <c r="D406" t="s">
        <v>16</v>
      </c>
      <c r="E406" t="s">
        <v>726</v>
      </c>
      <c r="F406" t="s">
        <v>727</v>
      </c>
      <c r="G406" t="s">
        <v>60</v>
      </c>
      <c r="H406" t="s">
        <v>15</v>
      </c>
      <c r="I406" s="1">
        <v>39866.775000000001</v>
      </c>
      <c r="J406">
        <v>26.141670000000001</v>
      </c>
      <c r="K406">
        <v>-81.795000000000002</v>
      </c>
      <c r="L406">
        <v>34102</v>
      </c>
    </row>
    <row r="407" spans="1:12" x14ac:dyDescent="0.45">
      <c r="A407" s="1">
        <v>39836.622916666667</v>
      </c>
      <c r="B407" t="s">
        <v>10</v>
      </c>
      <c r="C407">
        <v>1200</v>
      </c>
      <c r="D407" t="s">
        <v>16</v>
      </c>
      <c r="E407" t="s">
        <v>728</v>
      </c>
      <c r="F407" t="s">
        <v>729</v>
      </c>
      <c r="G407" t="s">
        <v>26</v>
      </c>
      <c r="H407" t="s">
        <v>15</v>
      </c>
      <c r="I407" s="1">
        <v>39866.783333333333</v>
      </c>
      <c r="J407">
        <v>40.594499999999996</v>
      </c>
      <c r="K407">
        <v>-74.624399999999994</v>
      </c>
      <c r="L407">
        <v>8807</v>
      </c>
    </row>
    <row r="408" spans="1:12" x14ac:dyDescent="0.45">
      <c r="A408" s="1">
        <v>39825.422222222223</v>
      </c>
      <c r="B408" t="s">
        <v>20</v>
      </c>
      <c r="C408">
        <v>3600</v>
      </c>
      <c r="D408" t="s">
        <v>16</v>
      </c>
      <c r="E408" t="s">
        <v>730</v>
      </c>
      <c r="F408" t="s">
        <v>203</v>
      </c>
      <c r="G408" t="s">
        <v>204</v>
      </c>
      <c r="H408" t="s">
        <v>15</v>
      </c>
      <c r="I408" s="1">
        <v>39866.790277777778</v>
      </c>
      <c r="J408">
        <v>38.895000000000003</v>
      </c>
      <c r="K408">
        <v>-77.036670000000001</v>
      </c>
      <c r="L408">
        <v>20004</v>
      </c>
    </row>
    <row r="409" spans="1:12" x14ac:dyDescent="0.45">
      <c r="A409" s="1">
        <v>39839.636111111111</v>
      </c>
      <c r="B409" t="s">
        <v>10</v>
      </c>
      <c r="C409">
        <v>1200</v>
      </c>
      <c r="D409" t="s">
        <v>11</v>
      </c>
      <c r="E409" t="s">
        <v>731</v>
      </c>
      <c r="F409" t="s">
        <v>732</v>
      </c>
      <c r="G409" t="s">
        <v>93</v>
      </c>
      <c r="H409" t="s">
        <v>15</v>
      </c>
      <c r="I409" s="1">
        <v>39867.218055555553</v>
      </c>
      <c r="J409">
        <v>35.410559999999997</v>
      </c>
      <c r="K409">
        <v>-80.843059999999994</v>
      </c>
      <c r="L409">
        <v>28078</v>
      </c>
    </row>
    <row r="410" spans="1:12" x14ac:dyDescent="0.45">
      <c r="A410" s="1">
        <v>39828.663888888892</v>
      </c>
      <c r="B410" t="s">
        <v>20</v>
      </c>
      <c r="C410">
        <v>3600</v>
      </c>
      <c r="D410" t="s">
        <v>11</v>
      </c>
      <c r="E410" t="s">
        <v>733</v>
      </c>
      <c r="F410" t="s">
        <v>734</v>
      </c>
      <c r="G410" t="s">
        <v>507</v>
      </c>
      <c r="H410" t="s">
        <v>15</v>
      </c>
      <c r="I410" s="1">
        <v>39867.26666666667</v>
      </c>
      <c r="J410">
        <v>39.698610000000002</v>
      </c>
      <c r="K410">
        <v>-86.463610000000003</v>
      </c>
      <c r="L410">
        <v>46168</v>
      </c>
    </row>
    <row r="411" spans="1:12" x14ac:dyDescent="0.45">
      <c r="A411" s="1">
        <v>39815.865972222222</v>
      </c>
      <c r="B411" t="s">
        <v>10</v>
      </c>
      <c r="C411">
        <v>1200</v>
      </c>
      <c r="D411" t="s">
        <v>11</v>
      </c>
      <c r="E411" t="s">
        <v>735</v>
      </c>
      <c r="F411" t="s">
        <v>736</v>
      </c>
      <c r="G411" t="s">
        <v>38</v>
      </c>
      <c r="H411" t="s">
        <v>15</v>
      </c>
      <c r="I411" s="1">
        <v>39867.288888888892</v>
      </c>
      <c r="J411">
        <v>33.01444</v>
      </c>
      <c r="K411">
        <v>-97.096670000000003</v>
      </c>
      <c r="L411">
        <v>75022</v>
      </c>
    </row>
    <row r="412" spans="1:12" x14ac:dyDescent="0.45">
      <c r="A412" s="1">
        <v>39838.400000000001</v>
      </c>
      <c r="B412" t="s">
        <v>10</v>
      </c>
      <c r="C412">
        <v>1200</v>
      </c>
      <c r="D412" t="s">
        <v>11</v>
      </c>
      <c r="E412" t="s">
        <v>737</v>
      </c>
      <c r="F412" t="s">
        <v>738</v>
      </c>
      <c r="G412" t="s">
        <v>113</v>
      </c>
      <c r="H412" t="s">
        <v>15</v>
      </c>
      <c r="I412" s="1">
        <v>39867.290277777778</v>
      </c>
      <c r="J412">
        <v>42.68056</v>
      </c>
      <c r="K412">
        <v>-83.133889999999994</v>
      </c>
      <c r="L412">
        <v>48307</v>
      </c>
    </row>
    <row r="413" spans="1:12" x14ac:dyDescent="0.45">
      <c r="A413" s="1">
        <v>39819.756944444445</v>
      </c>
      <c r="B413" t="s">
        <v>10</v>
      </c>
      <c r="C413">
        <v>1200</v>
      </c>
      <c r="D413" t="s">
        <v>11</v>
      </c>
      <c r="E413" t="s">
        <v>739</v>
      </c>
      <c r="F413" t="s">
        <v>740</v>
      </c>
      <c r="G413" t="s">
        <v>98</v>
      </c>
      <c r="H413" t="s">
        <v>15</v>
      </c>
      <c r="I413" s="1">
        <v>39867.482638888891</v>
      </c>
      <c r="J413">
        <v>39.961109999999998</v>
      </c>
      <c r="K413">
        <v>-82.998890000000003</v>
      </c>
      <c r="L413">
        <v>43215</v>
      </c>
    </row>
    <row r="414" spans="1:12" x14ac:dyDescent="0.45">
      <c r="A414" s="1">
        <v>39844.259722222225</v>
      </c>
      <c r="B414" t="s">
        <v>10</v>
      </c>
      <c r="C414">
        <v>1200</v>
      </c>
      <c r="D414" t="s">
        <v>16</v>
      </c>
      <c r="E414" t="s">
        <v>212</v>
      </c>
      <c r="F414" t="s">
        <v>741</v>
      </c>
      <c r="G414" t="s">
        <v>35</v>
      </c>
      <c r="H414" t="s">
        <v>15</v>
      </c>
      <c r="I414" s="1">
        <v>39867.566666666666</v>
      </c>
      <c r="J414">
        <v>40.997779999999999</v>
      </c>
      <c r="K414">
        <v>-72.293059999999997</v>
      </c>
      <c r="L414">
        <v>11963</v>
      </c>
    </row>
    <row r="415" spans="1:12" x14ac:dyDescent="0.45">
      <c r="A415" s="1">
        <v>39819.396527777775</v>
      </c>
      <c r="B415" t="s">
        <v>10</v>
      </c>
      <c r="C415">
        <v>1200</v>
      </c>
      <c r="D415" t="s">
        <v>11</v>
      </c>
      <c r="E415" t="s">
        <v>742</v>
      </c>
      <c r="F415" t="s">
        <v>492</v>
      </c>
      <c r="G415" t="s">
        <v>49</v>
      </c>
      <c r="H415" t="s">
        <v>15</v>
      </c>
      <c r="I415" s="1">
        <v>39867.652083333334</v>
      </c>
      <c r="J415">
        <v>32.71528</v>
      </c>
      <c r="K415">
        <v>-117.15639</v>
      </c>
      <c r="L415">
        <v>92101</v>
      </c>
    </row>
    <row r="416" spans="1:12" x14ac:dyDescent="0.45">
      <c r="A416" s="1">
        <v>39834.313194444447</v>
      </c>
      <c r="B416" t="s">
        <v>10</v>
      </c>
      <c r="C416">
        <v>1200</v>
      </c>
      <c r="D416" t="s">
        <v>16</v>
      </c>
      <c r="E416" t="s">
        <v>743</v>
      </c>
      <c r="F416" t="s">
        <v>691</v>
      </c>
      <c r="G416" t="s">
        <v>744</v>
      </c>
      <c r="H416" t="s">
        <v>15</v>
      </c>
      <c r="I416" s="1">
        <v>39867.686805555553</v>
      </c>
      <c r="J416">
        <v>39.745829999999998</v>
      </c>
      <c r="K416">
        <v>-75.546940000000006</v>
      </c>
      <c r="L416">
        <v>19801</v>
      </c>
    </row>
    <row r="417" spans="1:12" x14ac:dyDescent="0.45">
      <c r="A417" s="1">
        <v>39842.506944444445</v>
      </c>
      <c r="B417" t="s">
        <v>10</v>
      </c>
      <c r="C417">
        <v>1200</v>
      </c>
      <c r="D417" t="s">
        <v>63</v>
      </c>
      <c r="E417" t="s">
        <v>183</v>
      </c>
      <c r="F417" t="s">
        <v>494</v>
      </c>
      <c r="G417" t="s">
        <v>167</v>
      </c>
      <c r="H417" t="s">
        <v>15</v>
      </c>
      <c r="I417" s="1">
        <v>39867.915277777778</v>
      </c>
      <c r="J417">
        <v>47.61056</v>
      </c>
      <c r="K417">
        <v>-122.19944</v>
      </c>
      <c r="L417">
        <v>98004</v>
      </c>
    </row>
    <row r="418" spans="1:12" x14ac:dyDescent="0.45">
      <c r="A418" s="1">
        <v>39821.80972222222</v>
      </c>
      <c r="B418" t="s">
        <v>20</v>
      </c>
      <c r="C418">
        <v>3600</v>
      </c>
      <c r="D418" t="s">
        <v>11</v>
      </c>
      <c r="E418" t="s">
        <v>745</v>
      </c>
      <c r="F418" t="s">
        <v>746</v>
      </c>
      <c r="G418" t="s">
        <v>78</v>
      </c>
      <c r="H418" t="s">
        <v>15</v>
      </c>
      <c r="I418" s="1">
        <v>39868.348611111112</v>
      </c>
      <c r="J418">
        <v>33.81861</v>
      </c>
      <c r="K418">
        <v>-84.582499999999996</v>
      </c>
      <c r="L418">
        <v>30126</v>
      </c>
    </row>
    <row r="419" spans="1:12" x14ac:dyDescent="0.45">
      <c r="A419" s="1">
        <v>39823.668055555558</v>
      </c>
      <c r="B419" t="s">
        <v>10</v>
      </c>
      <c r="C419">
        <v>1200</v>
      </c>
      <c r="D419" t="s">
        <v>11</v>
      </c>
      <c r="E419" t="s">
        <v>747</v>
      </c>
      <c r="F419" t="s">
        <v>492</v>
      </c>
      <c r="G419" t="s">
        <v>49</v>
      </c>
      <c r="H419" t="s">
        <v>15</v>
      </c>
      <c r="I419" s="1">
        <v>39868.355555555558</v>
      </c>
      <c r="J419">
        <v>32.71528</v>
      </c>
      <c r="K419">
        <v>-117.15639</v>
      </c>
      <c r="L419">
        <v>92101</v>
      </c>
    </row>
    <row r="420" spans="1:12" x14ac:dyDescent="0.45">
      <c r="A420" s="1">
        <v>39836.550694444442</v>
      </c>
      <c r="B420" t="s">
        <v>10</v>
      </c>
      <c r="C420">
        <v>1200</v>
      </c>
      <c r="D420" t="s">
        <v>16</v>
      </c>
      <c r="E420" t="s">
        <v>748</v>
      </c>
      <c r="F420" t="s">
        <v>404</v>
      </c>
      <c r="G420" t="s">
        <v>193</v>
      </c>
      <c r="H420" t="s">
        <v>15</v>
      </c>
      <c r="I420" s="1">
        <v>39868.365277777775</v>
      </c>
      <c r="J420">
        <v>44.98</v>
      </c>
      <c r="K420">
        <v>-93.26361</v>
      </c>
      <c r="L420">
        <v>55401</v>
      </c>
    </row>
    <row r="421" spans="1:12" x14ac:dyDescent="0.45">
      <c r="A421" s="1">
        <v>39840.612500000003</v>
      </c>
      <c r="B421" t="s">
        <v>20</v>
      </c>
      <c r="C421">
        <v>3600</v>
      </c>
      <c r="D421" t="s">
        <v>16</v>
      </c>
      <c r="E421" t="s">
        <v>749</v>
      </c>
      <c r="F421" t="s">
        <v>333</v>
      </c>
      <c r="G421" t="s">
        <v>66</v>
      </c>
      <c r="H421" t="s">
        <v>15</v>
      </c>
      <c r="I421" s="1">
        <v>39868.693055555559</v>
      </c>
      <c r="J421">
        <v>38.890279999999997</v>
      </c>
      <c r="K421">
        <v>-77.084440000000001</v>
      </c>
      <c r="L421">
        <v>22201</v>
      </c>
    </row>
    <row r="422" spans="1:12" x14ac:dyDescent="0.45">
      <c r="A422" s="1">
        <v>39842.511111111111</v>
      </c>
      <c r="B422" t="s">
        <v>10</v>
      </c>
      <c r="C422">
        <v>1200</v>
      </c>
      <c r="D422" t="s">
        <v>16</v>
      </c>
      <c r="E422" t="s">
        <v>626</v>
      </c>
      <c r="F422" t="s">
        <v>750</v>
      </c>
      <c r="G422" t="s">
        <v>60</v>
      </c>
      <c r="H422" t="s">
        <v>15</v>
      </c>
      <c r="I422" s="1">
        <v>39868.770138888889</v>
      </c>
      <c r="J422">
        <v>29.474720000000001</v>
      </c>
      <c r="K422">
        <v>-82.86</v>
      </c>
      <c r="L422">
        <v>32626</v>
      </c>
    </row>
    <row r="423" spans="1:12" x14ac:dyDescent="0.45">
      <c r="A423" s="1">
        <v>39832.736111111109</v>
      </c>
      <c r="B423" t="s">
        <v>10</v>
      </c>
      <c r="C423">
        <v>1200</v>
      </c>
      <c r="D423" t="s">
        <v>11</v>
      </c>
      <c r="E423" t="s">
        <v>751</v>
      </c>
      <c r="F423" t="s">
        <v>752</v>
      </c>
      <c r="G423" t="s">
        <v>215</v>
      </c>
      <c r="H423" t="s">
        <v>15</v>
      </c>
      <c r="I423" s="1">
        <v>39869.102777777778</v>
      </c>
      <c r="J423">
        <v>42.336939999999998</v>
      </c>
      <c r="K423">
        <v>-71.209720000000004</v>
      </c>
      <c r="L423">
        <v>2459</v>
      </c>
    </row>
    <row r="424" spans="1:12" x14ac:dyDescent="0.45">
      <c r="A424" s="1">
        <v>39843.438194444447</v>
      </c>
      <c r="B424" t="s">
        <v>10</v>
      </c>
      <c r="C424">
        <v>1200</v>
      </c>
      <c r="D424" t="s">
        <v>16</v>
      </c>
      <c r="E424" t="s">
        <v>753</v>
      </c>
      <c r="F424" t="s">
        <v>754</v>
      </c>
      <c r="G424" t="s">
        <v>130</v>
      </c>
      <c r="H424" t="s">
        <v>15</v>
      </c>
      <c r="I424" s="1">
        <v>39869.320833333331</v>
      </c>
      <c r="J424">
        <v>39.372219999999999</v>
      </c>
      <c r="K424">
        <v>-104.85556</v>
      </c>
      <c r="L424">
        <v>80104</v>
      </c>
    </row>
    <row r="425" spans="1:12" x14ac:dyDescent="0.45">
      <c r="A425" s="1">
        <v>39814.697222222225</v>
      </c>
      <c r="B425" t="s">
        <v>10</v>
      </c>
      <c r="C425">
        <v>1200</v>
      </c>
      <c r="D425" t="s">
        <v>63</v>
      </c>
      <c r="E425" t="s">
        <v>755</v>
      </c>
      <c r="F425" t="s">
        <v>229</v>
      </c>
      <c r="G425" t="s">
        <v>104</v>
      </c>
      <c r="H425" t="s">
        <v>15</v>
      </c>
      <c r="I425" s="1">
        <v>39869.449999999997</v>
      </c>
      <c r="J425">
        <v>39.083889999999997</v>
      </c>
      <c r="K425">
        <v>-77.153059999999996</v>
      </c>
      <c r="L425">
        <v>20850</v>
      </c>
    </row>
    <row r="426" spans="1:12" x14ac:dyDescent="0.45">
      <c r="A426" s="1">
        <v>39838.482638888891</v>
      </c>
      <c r="B426" t="s">
        <v>230</v>
      </c>
      <c r="C426">
        <v>7500</v>
      </c>
      <c r="D426" t="s">
        <v>16</v>
      </c>
      <c r="E426" t="s">
        <v>756</v>
      </c>
      <c r="F426" t="s">
        <v>473</v>
      </c>
      <c r="G426" t="s">
        <v>38</v>
      </c>
      <c r="H426" t="s">
        <v>15</v>
      </c>
      <c r="I426" s="1">
        <v>39869.598611111112</v>
      </c>
      <c r="J426">
        <v>29.538609999999998</v>
      </c>
      <c r="K426">
        <v>-95.447220000000002</v>
      </c>
      <c r="L426">
        <v>77545</v>
      </c>
    </row>
    <row r="427" spans="1:12" x14ac:dyDescent="0.45">
      <c r="A427" s="1">
        <v>39839.584722222222</v>
      </c>
      <c r="B427" t="s">
        <v>10</v>
      </c>
      <c r="C427">
        <v>1200</v>
      </c>
      <c r="D427" t="s">
        <v>16</v>
      </c>
      <c r="E427" t="s">
        <v>355</v>
      </c>
      <c r="F427" t="s">
        <v>473</v>
      </c>
      <c r="G427" t="s">
        <v>38</v>
      </c>
      <c r="H427" t="s">
        <v>15</v>
      </c>
      <c r="I427" s="1">
        <v>39869.598611111112</v>
      </c>
      <c r="J427">
        <v>29.538609999999998</v>
      </c>
      <c r="K427">
        <v>-95.447220000000002</v>
      </c>
      <c r="L427">
        <v>77545</v>
      </c>
    </row>
    <row r="428" spans="1:12" x14ac:dyDescent="0.45">
      <c r="A428" s="1">
        <v>39829.435416666667</v>
      </c>
      <c r="B428" t="s">
        <v>10</v>
      </c>
      <c r="C428">
        <v>1200</v>
      </c>
      <c r="D428" t="s">
        <v>16</v>
      </c>
      <c r="E428" t="s">
        <v>624</v>
      </c>
      <c r="F428" t="s">
        <v>757</v>
      </c>
      <c r="G428" t="s">
        <v>38</v>
      </c>
      <c r="H428" t="s">
        <v>15</v>
      </c>
      <c r="I428" s="1">
        <v>39869.724999999999</v>
      </c>
      <c r="J428">
        <v>30.388059999999999</v>
      </c>
      <c r="K428">
        <v>-95.696110000000004</v>
      </c>
      <c r="L428">
        <v>77356</v>
      </c>
    </row>
    <row r="429" spans="1:12" x14ac:dyDescent="0.45">
      <c r="A429" s="1">
        <v>39838.772916666669</v>
      </c>
      <c r="B429" t="s">
        <v>10</v>
      </c>
      <c r="C429">
        <v>1200</v>
      </c>
      <c r="D429" t="s">
        <v>16</v>
      </c>
      <c r="E429" t="s">
        <v>419</v>
      </c>
      <c r="F429" t="s">
        <v>758</v>
      </c>
      <c r="G429" t="s">
        <v>29</v>
      </c>
      <c r="H429" t="s">
        <v>15</v>
      </c>
      <c r="I429" s="1">
        <v>39869.810416666667</v>
      </c>
      <c r="J429">
        <v>41.25056</v>
      </c>
      <c r="K429">
        <v>-87.831389999999999</v>
      </c>
      <c r="L429">
        <v>60950</v>
      </c>
    </row>
    <row r="430" spans="1:12" x14ac:dyDescent="0.45">
      <c r="A430" s="1">
        <v>39825.72152777778</v>
      </c>
      <c r="B430" t="s">
        <v>20</v>
      </c>
      <c r="C430">
        <v>3600</v>
      </c>
      <c r="D430" t="s">
        <v>16</v>
      </c>
      <c r="E430" t="s">
        <v>759</v>
      </c>
      <c r="F430" t="s">
        <v>283</v>
      </c>
      <c r="G430" t="s">
        <v>60</v>
      </c>
      <c r="H430" t="s">
        <v>15</v>
      </c>
      <c r="I430" s="1">
        <v>39870.029166666667</v>
      </c>
      <c r="J430">
        <v>28.021940000000001</v>
      </c>
      <c r="K430">
        <v>-81.733059999999995</v>
      </c>
      <c r="L430">
        <v>33880</v>
      </c>
    </row>
    <row r="431" spans="1:12" x14ac:dyDescent="0.45">
      <c r="A431" s="1">
        <v>39828.640277777777</v>
      </c>
      <c r="B431" t="s">
        <v>10</v>
      </c>
      <c r="C431">
        <v>1200</v>
      </c>
      <c r="D431" t="s">
        <v>11</v>
      </c>
      <c r="E431" t="s">
        <v>760</v>
      </c>
      <c r="F431" t="s">
        <v>87</v>
      </c>
      <c r="G431" t="s">
        <v>60</v>
      </c>
      <c r="H431" t="s">
        <v>15</v>
      </c>
      <c r="I431" s="1">
        <v>39870.244444444441</v>
      </c>
      <c r="J431">
        <v>26.121939999999999</v>
      </c>
      <c r="K431">
        <v>-80.143609999999995</v>
      </c>
      <c r="L431">
        <v>33301</v>
      </c>
    </row>
    <row r="432" spans="1:12" x14ac:dyDescent="0.45">
      <c r="A432" s="1">
        <v>39839.234722222223</v>
      </c>
      <c r="B432" t="s">
        <v>20</v>
      </c>
      <c r="C432">
        <v>3600</v>
      </c>
      <c r="D432" t="s">
        <v>63</v>
      </c>
      <c r="E432" t="s">
        <v>761</v>
      </c>
      <c r="F432" t="s">
        <v>762</v>
      </c>
      <c r="G432" t="s">
        <v>239</v>
      </c>
      <c r="H432" t="s">
        <v>15</v>
      </c>
      <c r="I432" s="1">
        <v>39870.25277777778</v>
      </c>
      <c r="J432">
        <v>40.694719999999997</v>
      </c>
      <c r="K432">
        <v>-80.131110000000007</v>
      </c>
      <c r="L432">
        <v>16066</v>
      </c>
    </row>
    <row r="433" spans="1:12" x14ac:dyDescent="0.45">
      <c r="A433" s="1">
        <v>39837.443055555559</v>
      </c>
      <c r="B433" t="s">
        <v>10</v>
      </c>
      <c r="C433">
        <v>1200</v>
      </c>
      <c r="D433" t="s">
        <v>11</v>
      </c>
      <c r="E433" t="s">
        <v>763</v>
      </c>
      <c r="F433" t="s">
        <v>333</v>
      </c>
      <c r="G433" t="s">
        <v>66</v>
      </c>
      <c r="H433" t="s">
        <v>15</v>
      </c>
      <c r="I433" s="1">
        <v>39870.255555555559</v>
      </c>
      <c r="J433">
        <v>38.890279999999997</v>
      </c>
      <c r="K433">
        <v>-77.084440000000001</v>
      </c>
      <c r="L433">
        <v>22201</v>
      </c>
    </row>
    <row r="434" spans="1:12" x14ac:dyDescent="0.45">
      <c r="A434" s="1">
        <v>39815.3125</v>
      </c>
      <c r="B434" t="s">
        <v>10</v>
      </c>
      <c r="C434">
        <v>1200</v>
      </c>
      <c r="D434" t="s">
        <v>16</v>
      </c>
      <c r="E434" t="s">
        <v>376</v>
      </c>
      <c r="F434" t="s">
        <v>764</v>
      </c>
      <c r="G434" t="s">
        <v>35</v>
      </c>
      <c r="H434" t="s">
        <v>15</v>
      </c>
      <c r="I434" s="1">
        <v>39870.259722222225</v>
      </c>
      <c r="J434">
        <v>40.835000000000001</v>
      </c>
      <c r="K434">
        <v>-73.13167</v>
      </c>
      <c r="L434">
        <v>11767</v>
      </c>
    </row>
    <row r="435" spans="1:12" x14ac:dyDescent="0.45">
      <c r="A435" s="1">
        <v>39839.276388888888</v>
      </c>
      <c r="B435" t="s">
        <v>10</v>
      </c>
      <c r="C435">
        <v>1200</v>
      </c>
      <c r="D435" t="s">
        <v>11</v>
      </c>
      <c r="E435" t="s">
        <v>745</v>
      </c>
      <c r="F435" t="s">
        <v>695</v>
      </c>
      <c r="G435" t="s">
        <v>66</v>
      </c>
      <c r="H435" t="s">
        <v>15</v>
      </c>
      <c r="I435" s="1">
        <v>39870.302777777775</v>
      </c>
      <c r="J435">
        <v>38.804720000000003</v>
      </c>
      <c r="K435">
        <v>-77.047219999999996</v>
      </c>
      <c r="L435">
        <v>22314</v>
      </c>
    </row>
    <row r="436" spans="1:12" x14ac:dyDescent="0.45">
      <c r="A436" s="1">
        <v>39839.333333333336</v>
      </c>
      <c r="B436" t="s">
        <v>10</v>
      </c>
      <c r="C436">
        <v>1200</v>
      </c>
      <c r="D436" t="s">
        <v>63</v>
      </c>
      <c r="E436" t="s">
        <v>674</v>
      </c>
      <c r="F436" t="s">
        <v>765</v>
      </c>
      <c r="G436" t="s">
        <v>603</v>
      </c>
      <c r="H436" t="s">
        <v>15</v>
      </c>
      <c r="I436" s="1">
        <v>39870.325694444444</v>
      </c>
      <c r="J436">
        <v>32.236939999999997</v>
      </c>
      <c r="K436">
        <v>-80.860560000000007</v>
      </c>
      <c r="L436">
        <v>29910</v>
      </c>
    </row>
    <row r="437" spans="1:12" x14ac:dyDescent="0.45">
      <c r="A437" s="1">
        <v>39824.361805555556</v>
      </c>
      <c r="B437" t="s">
        <v>10</v>
      </c>
      <c r="C437">
        <v>1200</v>
      </c>
      <c r="D437" t="s">
        <v>63</v>
      </c>
      <c r="E437" t="s">
        <v>766</v>
      </c>
      <c r="F437" t="s">
        <v>767</v>
      </c>
      <c r="G437" t="s">
        <v>60</v>
      </c>
      <c r="H437" t="s">
        <v>15</v>
      </c>
      <c r="I437" s="1">
        <v>39870.345138888886</v>
      </c>
      <c r="J437">
        <v>28.698609999999999</v>
      </c>
      <c r="K437">
        <v>-81.308329999999998</v>
      </c>
      <c r="L437">
        <v>32708</v>
      </c>
    </row>
    <row r="438" spans="1:12" x14ac:dyDescent="0.45">
      <c r="A438" s="1">
        <v>39834.438888888886</v>
      </c>
      <c r="B438" t="s">
        <v>10</v>
      </c>
      <c r="C438">
        <v>1200</v>
      </c>
      <c r="D438" t="s">
        <v>16</v>
      </c>
      <c r="E438" t="s">
        <v>755</v>
      </c>
      <c r="F438" t="s">
        <v>768</v>
      </c>
      <c r="G438" t="s">
        <v>215</v>
      </c>
      <c r="H438" t="s">
        <v>15</v>
      </c>
      <c r="I438" s="1">
        <v>39870.359722222223</v>
      </c>
      <c r="J438">
        <v>42.599719999999998</v>
      </c>
      <c r="K438">
        <v>-71.367779999999996</v>
      </c>
      <c r="L438">
        <v>1824</v>
      </c>
    </row>
    <row r="439" spans="1:12" x14ac:dyDescent="0.45">
      <c r="A439" s="1">
        <v>39844.758333333331</v>
      </c>
      <c r="B439" t="s">
        <v>10</v>
      </c>
      <c r="C439">
        <v>1200</v>
      </c>
      <c r="D439" t="s">
        <v>11</v>
      </c>
      <c r="E439" t="s">
        <v>769</v>
      </c>
      <c r="F439" t="s">
        <v>108</v>
      </c>
      <c r="G439" t="s">
        <v>98</v>
      </c>
      <c r="H439" t="s">
        <v>15</v>
      </c>
      <c r="I439" s="1">
        <v>39870.502083333333</v>
      </c>
      <c r="J439">
        <v>39.161940000000001</v>
      </c>
      <c r="K439">
        <v>-84.456940000000003</v>
      </c>
      <c r="L439">
        <v>45212</v>
      </c>
    </row>
    <row r="440" spans="1:12" x14ac:dyDescent="0.45">
      <c r="A440" s="1">
        <v>39835.649305555555</v>
      </c>
      <c r="B440" t="s">
        <v>10</v>
      </c>
      <c r="C440">
        <v>1200</v>
      </c>
      <c r="D440" t="s">
        <v>11</v>
      </c>
      <c r="E440" t="s">
        <v>770</v>
      </c>
      <c r="F440" t="s">
        <v>71</v>
      </c>
      <c r="G440" t="s">
        <v>38</v>
      </c>
      <c r="H440" t="s">
        <v>15</v>
      </c>
      <c r="I440" s="1">
        <v>39870.504166666666</v>
      </c>
      <c r="J440">
        <v>29.763059999999999</v>
      </c>
      <c r="K440">
        <v>-95.363060000000004</v>
      </c>
      <c r="L440">
        <v>77002</v>
      </c>
    </row>
    <row r="441" spans="1:12" x14ac:dyDescent="0.45">
      <c r="A441" s="1">
        <v>39818.474999999999</v>
      </c>
      <c r="B441" t="s">
        <v>10</v>
      </c>
      <c r="C441">
        <v>1200</v>
      </c>
      <c r="D441" t="s">
        <v>63</v>
      </c>
      <c r="E441" t="s">
        <v>771</v>
      </c>
      <c r="F441" t="s">
        <v>772</v>
      </c>
      <c r="G441" t="s">
        <v>49</v>
      </c>
      <c r="H441" t="s">
        <v>15</v>
      </c>
      <c r="I441" s="1">
        <v>39870.510416666664</v>
      </c>
      <c r="J441">
        <v>38.017220000000002</v>
      </c>
      <c r="K441">
        <v>-122.28749999999999</v>
      </c>
      <c r="L441">
        <v>94547</v>
      </c>
    </row>
    <row r="442" spans="1:12" x14ac:dyDescent="0.45">
      <c r="A442" s="1">
        <v>39836.474305555559</v>
      </c>
      <c r="B442" t="s">
        <v>10</v>
      </c>
      <c r="C442">
        <v>1200</v>
      </c>
      <c r="D442" t="s">
        <v>16</v>
      </c>
      <c r="E442" t="s">
        <v>773</v>
      </c>
      <c r="F442" t="s">
        <v>774</v>
      </c>
      <c r="G442" t="s">
        <v>35</v>
      </c>
      <c r="H442" t="s">
        <v>15</v>
      </c>
      <c r="I442" s="1">
        <v>39870.511805555558</v>
      </c>
      <c r="J442">
        <v>41.700279999999999</v>
      </c>
      <c r="K442">
        <v>-73.921390000000002</v>
      </c>
      <c r="L442">
        <v>12601</v>
      </c>
    </row>
    <row r="443" spans="1:12" x14ac:dyDescent="0.45">
      <c r="A443" s="1">
        <v>39820.871527777781</v>
      </c>
      <c r="B443" t="s">
        <v>10</v>
      </c>
      <c r="C443">
        <v>1200</v>
      </c>
      <c r="D443" t="s">
        <v>16</v>
      </c>
      <c r="E443" t="s">
        <v>775</v>
      </c>
      <c r="F443" t="s">
        <v>108</v>
      </c>
      <c r="G443" t="s">
        <v>98</v>
      </c>
      <c r="H443" t="s">
        <v>15</v>
      </c>
      <c r="I443" s="1">
        <v>39870.51666666667</v>
      </c>
      <c r="J443">
        <v>39.161940000000001</v>
      </c>
      <c r="K443">
        <v>-84.456940000000003</v>
      </c>
      <c r="L443">
        <v>45212</v>
      </c>
    </row>
    <row r="444" spans="1:12" x14ac:dyDescent="0.45">
      <c r="A444" s="1">
        <v>39826.402777777781</v>
      </c>
      <c r="B444" t="s">
        <v>10</v>
      </c>
      <c r="C444">
        <v>1200</v>
      </c>
      <c r="D444" t="s">
        <v>11</v>
      </c>
      <c r="E444" t="s">
        <v>674</v>
      </c>
      <c r="F444" t="s">
        <v>776</v>
      </c>
      <c r="G444" t="s">
        <v>215</v>
      </c>
      <c r="H444" t="s">
        <v>15</v>
      </c>
      <c r="I444" s="1">
        <v>39870.53125</v>
      </c>
      <c r="J444">
        <v>41.865000000000002</v>
      </c>
      <c r="K444">
        <v>-69.991669999999999</v>
      </c>
      <c r="L444">
        <v>2642</v>
      </c>
    </row>
    <row r="445" spans="1:12" x14ac:dyDescent="0.45">
      <c r="A445" s="1">
        <v>39838.637499999997</v>
      </c>
      <c r="B445" t="s">
        <v>20</v>
      </c>
      <c r="C445">
        <v>3600</v>
      </c>
      <c r="D445" t="s">
        <v>11</v>
      </c>
      <c r="E445" t="s">
        <v>777</v>
      </c>
      <c r="F445" t="s">
        <v>778</v>
      </c>
      <c r="G445" t="s">
        <v>275</v>
      </c>
      <c r="H445" t="s">
        <v>15</v>
      </c>
      <c r="I445" s="1">
        <v>39870.540277777778</v>
      </c>
      <c r="J445">
        <v>57.053060000000002</v>
      </c>
      <c r="K445">
        <v>-135.33000000000001</v>
      </c>
      <c r="L445">
        <v>99835</v>
      </c>
    </row>
    <row r="446" spans="1:12" x14ac:dyDescent="0.45">
      <c r="A446" s="1">
        <v>39826.29791666667</v>
      </c>
      <c r="B446" t="s">
        <v>20</v>
      </c>
      <c r="C446">
        <v>3600</v>
      </c>
      <c r="D446" t="s">
        <v>63</v>
      </c>
      <c r="E446" t="s">
        <v>606</v>
      </c>
      <c r="F446" t="s">
        <v>156</v>
      </c>
      <c r="G446" t="s">
        <v>29</v>
      </c>
      <c r="H446" t="s">
        <v>15</v>
      </c>
      <c r="I446" s="1">
        <v>39870.634722222225</v>
      </c>
      <c r="J446">
        <v>41.85</v>
      </c>
      <c r="K446">
        <v>-87.65</v>
      </c>
      <c r="L446">
        <v>60608</v>
      </c>
    </row>
    <row r="447" spans="1:12" x14ac:dyDescent="0.45">
      <c r="A447" s="1">
        <v>39816.460416666669</v>
      </c>
      <c r="B447" t="s">
        <v>10</v>
      </c>
      <c r="C447">
        <v>1200</v>
      </c>
      <c r="D447" t="s">
        <v>16</v>
      </c>
      <c r="E447" t="s">
        <v>779</v>
      </c>
      <c r="F447" t="s">
        <v>780</v>
      </c>
      <c r="G447" t="s">
        <v>167</v>
      </c>
      <c r="H447" t="s">
        <v>15</v>
      </c>
      <c r="I447" s="1">
        <v>39870.645833333336</v>
      </c>
      <c r="J447">
        <v>47.641939999999998</v>
      </c>
      <c r="K447">
        <v>-122.07917</v>
      </c>
      <c r="L447">
        <v>98074</v>
      </c>
    </row>
    <row r="448" spans="1:12" x14ac:dyDescent="0.45">
      <c r="A448" s="1">
        <v>39818.329861111109</v>
      </c>
      <c r="B448" t="s">
        <v>10</v>
      </c>
      <c r="C448">
        <v>1200</v>
      </c>
      <c r="D448" t="s">
        <v>16</v>
      </c>
      <c r="E448" t="s">
        <v>319</v>
      </c>
      <c r="F448" t="s">
        <v>781</v>
      </c>
      <c r="G448" t="s">
        <v>122</v>
      </c>
      <c r="H448" t="s">
        <v>15</v>
      </c>
      <c r="I448" s="1">
        <v>39870.740972222222</v>
      </c>
      <c r="J448">
        <v>21.315560000000001</v>
      </c>
      <c r="K448">
        <v>-158.00721999999999</v>
      </c>
      <c r="L448">
        <v>96706</v>
      </c>
    </row>
    <row r="449" spans="1:12" x14ac:dyDescent="0.45">
      <c r="A449" s="1">
        <v>39838.611111111109</v>
      </c>
      <c r="B449" t="s">
        <v>10</v>
      </c>
      <c r="C449">
        <v>1200</v>
      </c>
      <c r="D449" t="s">
        <v>11</v>
      </c>
      <c r="E449" t="s">
        <v>782</v>
      </c>
      <c r="F449" t="s">
        <v>783</v>
      </c>
      <c r="G449" t="s">
        <v>93</v>
      </c>
      <c r="H449" t="s">
        <v>15</v>
      </c>
      <c r="I449" s="1">
        <v>39870.776388888888</v>
      </c>
      <c r="J449">
        <v>35.782499999999999</v>
      </c>
      <c r="K449">
        <v>-80.887500000000003</v>
      </c>
      <c r="L449">
        <v>28677</v>
      </c>
    </row>
    <row r="450" spans="1:12" x14ac:dyDescent="0.45">
      <c r="A450" s="1">
        <v>39838.746527777781</v>
      </c>
      <c r="B450" t="s">
        <v>10</v>
      </c>
      <c r="C450">
        <v>1200</v>
      </c>
      <c r="D450" t="s">
        <v>11</v>
      </c>
      <c r="E450" t="s">
        <v>199</v>
      </c>
      <c r="F450" t="s">
        <v>784</v>
      </c>
      <c r="G450" t="s">
        <v>122</v>
      </c>
      <c r="H450" t="s">
        <v>15</v>
      </c>
      <c r="I450" s="1">
        <v>39870.847916666666</v>
      </c>
      <c r="J450">
        <v>22.078330000000001</v>
      </c>
      <c r="K450">
        <v>-159.32194000000001</v>
      </c>
      <c r="L450">
        <v>96746</v>
      </c>
    </row>
    <row r="451" spans="1:12" x14ac:dyDescent="0.45">
      <c r="A451" s="1">
        <v>39816.537499999999</v>
      </c>
      <c r="B451" t="s">
        <v>10</v>
      </c>
      <c r="C451">
        <v>1200</v>
      </c>
      <c r="D451" t="s">
        <v>16</v>
      </c>
      <c r="E451" t="s">
        <v>785</v>
      </c>
      <c r="F451" t="s">
        <v>786</v>
      </c>
      <c r="G451" t="s">
        <v>49</v>
      </c>
      <c r="H451" t="s">
        <v>15</v>
      </c>
      <c r="I451" s="1">
        <v>39870.848611111112</v>
      </c>
      <c r="J451">
        <v>34.18083</v>
      </c>
      <c r="K451">
        <v>-118.30806</v>
      </c>
      <c r="L451">
        <v>91502</v>
      </c>
    </row>
    <row r="452" spans="1:12" x14ac:dyDescent="0.45">
      <c r="A452" s="1">
        <v>39823.397222222222</v>
      </c>
      <c r="B452" t="s">
        <v>20</v>
      </c>
      <c r="C452">
        <v>3600</v>
      </c>
      <c r="D452" t="s">
        <v>16</v>
      </c>
      <c r="E452" t="s">
        <v>787</v>
      </c>
      <c r="F452" t="s">
        <v>788</v>
      </c>
      <c r="G452" t="s">
        <v>603</v>
      </c>
      <c r="H452" t="s">
        <v>15</v>
      </c>
      <c r="I452" s="1">
        <v>39871.314583333333</v>
      </c>
      <c r="J452">
        <v>32.21611</v>
      </c>
      <c r="K452">
        <v>-80.752780000000001</v>
      </c>
      <c r="L452">
        <v>29926</v>
      </c>
    </row>
    <row r="453" spans="1:12" x14ac:dyDescent="0.45">
      <c r="A453" s="1">
        <v>39835.53125</v>
      </c>
      <c r="B453" t="s">
        <v>230</v>
      </c>
      <c r="C453">
        <v>7500</v>
      </c>
      <c r="D453" t="s">
        <v>11</v>
      </c>
      <c r="E453" t="s">
        <v>789</v>
      </c>
      <c r="F453" t="s">
        <v>790</v>
      </c>
      <c r="G453" t="s">
        <v>49</v>
      </c>
      <c r="H453" t="s">
        <v>15</v>
      </c>
      <c r="I453" s="1">
        <v>39871.450694444444</v>
      </c>
      <c r="J453">
        <v>33.218330000000002</v>
      </c>
      <c r="K453">
        <v>-117.03333000000001</v>
      </c>
      <c r="L453">
        <v>92082</v>
      </c>
    </row>
    <row r="454" spans="1:12" x14ac:dyDescent="0.45">
      <c r="A454" s="1">
        <v>39819.757638888892</v>
      </c>
      <c r="B454" t="s">
        <v>20</v>
      </c>
      <c r="C454">
        <v>100000</v>
      </c>
      <c r="D454" t="s">
        <v>16</v>
      </c>
      <c r="E454" t="s">
        <v>791</v>
      </c>
      <c r="F454" t="s">
        <v>792</v>
      </c>
      <c r="G454" t="s">
        <v>215</v>
      </c>
      <c r="H454" t="s">
        <v>15</v>
      </c>
      <c r="I454" s="1">
        <v>39871.541666666664</v>
      </c>
      <c r="J454">
        <v>42.470829999999999</v>
      </c>
      <c r="K454">
        <v>-70.918059999999997</v>
      </c>
      <c r="L454">
        <v>1907</v>
      </c>
    </row>
    <row r="455" spans="1:12" x14ac:dyDescent="0.45">
      <c r="A455" s="1">
        <v>39838.451388888891</v>
      </c>
      <c r="B455" t="s">
        <v>10</v>
      </c>
      <c r="C455">
        <v>1200</v>
      </c>
      <c r="D455" t="s">
        <v>16</v>
      </c>
      <c r="E455" t="s">
        <v>793</v>
      </c>
      <c r="F455" t="s">
        <v>306</v>
      </c>
      <c r="G455" t="s">
        <v>38</v>
      </c>
      <c r="H455" t="s">
        <v>15</v>
      </c>
      <c r="I455" s="1">
        <v>39871.613888888889</v>
      </c>
      <c r="J455">
        <v>29.42389</v>
      </c>
      <c r="K455">
        <v>-98.49333</v>
      </c>
      <c r="L455">
        <v>78205</v>
      </c>
    </row>
    <row r="456" spans="1:12" x14ac:dyDescent="0.45">
      <c r="A456" s="1">
        <v>39827.359722222223</v>
      </c>
      <c r="B456" t="s">
        <v>10</v>
      </c>
      <c r="C456">
        <v>1200</v>
      </c>
      <c r="D456" t="s">
        <v>11</v>
      </c>
      <c r="E456" t="s">
        <v>794</v>
      </c>
      <c r="F456" t="s">
        <v>795</v>
      </c>
      <c r="G456" t="s">
        <v>558</v>
      </c>
      <c r="H456" t="s">
        <v>15</v>
      </c>
      <c r="I456" s="1">
        <v>39871.717361111114</v>
      </c>
      <c r="J456">
        <v>41.676940000000002</v>
      </c>
      <c r="K456">
        <v>-71.266670000000005</v>
      </c>
      <c r="L456">
        <v>2809</v>
      </c>
    </row>
    <row r="457" spans="1:12" x14ac:dyDescent="0.45">
      <c r="A457" s="1">
        <v>39820.760416666664</v>
      </c>
      <c r="B457" t="s">
        <v>10</v>
      </c>
      <c r="C457">
        <v>1200</v>
      </c>
      <c r="D457" t="s">
        <v>16</v>
      </c>
      <c r="E457" t="s">
        <v>796</v>
      </c>
      <c r="F457" t="s">
        <v>797</v>
      </c>
      <c r="G457" t="s">
        <v>38</v>
      </c>
      <c r="H457" t="s">
        <v>15</v>
      </c>
      <c r="I457" s="1">
        <v>39871.796527777777</v>
      </c>
      <c r="J457">
        <v>33.138330000000003</v>
      </c>
      <c r="K457">
        <v>-96.110560000000007</v>
      </c>
      <c r="L457">
        <v>75401</v>
      </c>
    </row>
    <row r="458" spans="1:12" x14ac:dyDescent="0.45">
      <c r="A458" s="1">
        <v>39816.888194444444</v>
      </c>
      <c r="B458" t="s">
        <v>10</v>
      </c>
      <c r="C458">
        <v>1200</v>
      </c>
      <c r="D458" t="s">
        <v>11</v>
      </c>
      <c r="E458" t="s">
        <v>798</v>
      </c>
      <c r="F458" t="s">
        <v>799</v>
      </c>
      <c r="G458" t="s">
        <v>49</v>
      </c>
      <c r="H458" t="s">
        <v>15</v>
      </c>
      <c r="I458" s="1">
        <v>39871.902777777781</v>
      </c>
      <c r="J458">
        <v>33.800559999999997</v>
      </c>
      <c r="K458">
        <v>-118.38916999999999</v>
      </c>
      <c r="L458">
        <v>90274</v>
      </c>
    </row>
    <row r="459" spans="1:12" x14ac:dyDescent="0.45">
      <c r="A459" s="1">
        <v>39842.559027777781</v>
      </c>
      <c r="B459" t="s">
        <v>10</v>
      </c>
      <c r="C459">
        <v>1200</v>
      </c>
      <c r="D459" t="s">
        <v>16</v>
      </c>
      <c r="E459" t="s">
        <v>800</v>
      </c>
      <c r="F459" t="s">
        <v>801</v>
      </c>
      <c r="G459" t="s">
        <v>130</v>
      </c>
      <c r="H459" t="s">
        <v>15</v>
      </c>
      <c r="I459" s="1">
        <v>39872.352083333331</v>
      </c>
      <c r="J459">
        <v>39.65361</v>
      </c>
      <c r="K459">
        <v>-105.19056</v>
      </c>
      <c r="L459">
        <v>80465</v>
      </c>
    </row>
    <row r="460" spans="1:12" x14ac:dyDescent="0.45">
      <c r="A460" s="1">
        <v>39836.419444444444</v>
      </c>
      <c r="B460" t="s">
        <v>10</v>
      </c>
      <c r="C460">
        <v>1200</v>
      </c>
      <c r="D460" t="s">
        <v>16</v>
      </c>
      <c r="E460" t="s">
        <v>802</v>
      </c>
      <c r="F460" t="s">
        <v>803</v>
      </c>
      <c r="G460" t="s">
        <v>49</v>
      </c>
      <c r="H460" t="s">
        <v>15</v>
      </c>
      <c r="I460" s="1">
        <v>39872.415972222225</v>
      </c>
      <c r="J460">
        <v>34.098329999999997</v>
      </c>
      <c r="K460">
        <v>-118.32583</v>
      </c>
      <c r="L460">
        <v>90028</v>
      </c>
    </row>
    <row r="461" spans="1:12" x14ac:dyDescent="0.45">
      <c r="A461" s="1">
        <v>39841.47152777778</v>
      </c>
      <c r="B461" t="s">
        <v>10</v>
      </c>
      <c r="C461">
        <v>1200</v>
      </c>
      <c r="D461" t="s">
        <v>11</v>
      </c>
      <c r="E461" t="s">
        <v>804</v>
      </c>
      <c r="F461" t="s">
        <v>801</v>
      </c>
      <c r="G461" t="s">
        <v>130</v>
      </c>
      <c r="H461" t="s">
        <v>15</v>
      </c>
      <c r="I461" s="1">
        <v>39872.720833333333</v>
      </c>
      <c r="J461">
        <v>39.65361</v>
      </c>
      <c r="K461">
        <v>-105.19056</v>
      </c>
      <c r="L461">
        <v>80465</v>
      </c>
    </row>
    <row r="462" spans="1:12" x14ac:dyDescent="0.45">
      <c r="A462" s="1">
        <v>39820.741666666669</v>
      </c>
      <c r="B462" t="s">
        <v>10</v>
      </c>
      <c r="C462">
        <v>1200</v>
      </c>
      <c r="D462" t="s">
        <v>16</v>
      </c>
      <c r="E462" t="s">
        <v>805</v>
      </c>
      <c r="F462" t="s">
        <v>806</v>
      </c>
      <c r="G462" t="s">
        <v>78</v>
      </c>
      <c r="H462" t="s">
        <v>15</v>
      </c>
      <c r="I462" s="1">
        <v>39872.831250000003</v>
      </c>
      <c r="J462">
        <v>33.517220000000002</v>
      </c>
      <c r="K462">
        <v>-82.075829999999996</v>
      </c>
      <c r="L462">
        <v>30907</v>
      </c>
    </row>
    <row r="463" spans="1:12" x14ac:dyDescent="0.45">
      <c r="A463" s="1">
        <v>39814.183333333334</v>
      </c>
      <c r="B463" t="s">
        <v>230</v>
      </c>
      <c r="C463">
        <v>100000</v>
      </c>
      <c r="D463" t="s">
        <v>63</v>
      </c>
      <c r="E463" t="s">
        <v>807</v>
      </c>
      <c r="F463" t="s">
        <v>808</v>
      </c>
      <c r="G463" t="s">
        <v>35</v>
      </c>
      <c r="H463" t="s">
        <v>15</v>
      </c>
      <c r="I463" s="1">
        <v>39873.306250000001</v>
      </c>
      <c r="J463">
        <v>42.946939999999998</v>
      </c>
      <c r="K463">
        <v>-76.42944</v>
      </c>
      <c r="L463">
        <v>13152</v>
      </c>
    </row>
    <row r="464" spans="1:12" x14ac:dyDescent="0.45">
      <c r="A464" s="1">
        <v>39825.895833333336</v>
      </c>
      <c r="B464" t="s">
        <v>10</v>
      </c>
      <c r="C464">
        <v>1200</v>
      </c>
      <c r="D464" t="s">
        <v>11</v>
      </c>
      <c r="E464" t="s">
        <v>809</v>
      </c>
      <c r="F464" t="s">
        <v>810</v>
      </c>
      <c r="G464" t="s">
        <v>567</v>
      </c>
      <c r="H464" t="s">
        <v>15</v>
      </c>
      <c r="I464" s="1">
        <v>39873.426388888889</v>
      </c>
      <c r="J464">
        <v>43.073059999999998</v>
      </c>
      <c r="K464">
        <v>-89.401110000000003</v>
      </c>
      <c r="L464">
        <v>53715</v>
      </c>
    </row>
    <row r="465" spans="1:11" x14ac:dyDescent="0.45">
      <c r="A465" s="1">
        <v>39815.261805555558</v>
      </c>
      <c r="B465" t="s">
        <v>10</v>
      </c>
      <c r="C465">
        <v>1200</v>
      </c>
      <c r="D465" t="s">
        <v>16</v>
      </c>
      <c r="E465" t="s">
        <v>811</v>
      </c>
      <c r="F465" t="s">
        <v>812</v>
      </c>
      <c r="G465" t="s">
        <v>813</v>
      </c>
      <c r="H465" t="s">
        <v>814</v>
      </c>
      <c r="I465" s="1">
        <v>39815.255555555559</v>
      </c>
      <c r="J465">
        <v>51.5</v>
      </c>
      <c r="K465">
        <v>-1.1166666999999999</v>
      </c>
    </row>
    <row r="466" spans="1:11" x14ac:dyDescent="0.45">
      <c r="A466" s="1">
        <v>39819.322916666664</v>
      </c>
      <c r="B466" t="s">
        <v>20</v>
      </c>
      <c r="C466">
        <v>100000</v>
      </c>
      <c r="D466" t="s">
        <v>11</v>
      </c>
      <c r="E466" t="s">
        <v>815</v>
      </c>
      <c r="F466" t="s">
        <v>816</v>
      </c>
      <c r="G466" t="s">
        <v>813</v>
      </c>
      <c r="H466" t="s">
        <v>814</v>
      </c>
      <c r="I466" s="1">
        <v>39819.386805555558</v>
      </c>
      <c r="J466">
        <v>51.527209999999997</v>
      </c>
      <c r="K466">
        <v>0.14559</v>
      </c>
    </row>
    <row r="467" spans="1:11" x14ac:dyDescent="0.45">
      <c r="A467" s="1">
        <v>39819.538888888892</v>
      </c>
      <c r="B467" t="s">
        <v>10</v>
      </c>
      <c r="C467">
        <v>1200</v>
      </c>
      <c r="D467" t="s">
        <v>11</v>
      </c>
      <c r="E467" t="s">
        <v>817</v>
      </c>
      <c r="F467" t="s">
        <v>818</v>
      </c>
      <c r="G467" t="s">
        <v>813</v>
      </c>
      <c r="H467" t="s">
        <v>814</v>
      </c>
      <c r="I467" s="1">
        <v>39819.563194444447</v>
      </c>
      <c r="J467">
        <v>53.5</v>
      </c>
      <c r="K467">
        <v>-2.2166667000000002</v>
      </c>
    </row>
    <row r="468" spans="1:11" x14ac:dyDescent="0.45">
      <c r="A468" s="1">
        <v>39815.122916666667</v>
      </c>
      <c r="B468" t="s">
        <v>10</v>
      </c>
      <c r="C468">
        <v>1200</v>
      </c>
      <c r="D468" t="s">
        <v>11</v>
      </c>
      <c r="E468" t="s">
        <v>819</v>
      </c>
      <c r="F468" t="s">
        <v>816</v>
      </c>
      <c r="G468" t="s">
        <v>813</v>
      </c>
      <c r="H468" t="s">
        <v>814</v>
      </c>
      <c r="I468" s="1">
        <v>39820.551388888889</v>
      </c>
      <c r="J468">
        <v>51.527209999999997</v>
      </c>
      <c r="K468">
        <v>0.14559</v>
      </c>
    </row>
    <row r="469" spans="1:11" x14ac:dyDescent="0.45">
      <c r="A469" s="1">
        <v>39822.665277777778</v>
      </c>
      <c r="B469" t="s">
        <v>10</v>
      </c>
      <c r="C469">
        <v>1200</v>
      </c>
      <c r="D469" t="s">
        <v>16</v>
      </c>
      <c r="E469" t="s">
        <v>820</v>
      </c>
      <c r="F469" t="s">
        <v>821</v>
      </c>
      <c r="G469" t="s">
        <v>813</v>
      </c>
      <c r="H469" t="s">
        <v>814</v>
      </c>
      <c r="I469" s="1">
        <v>39823.552777777775</v>
      </c>
      <c r="J469">
        <v>51.4</v>
      </c>
      <c r="K469">
        <v>-1.3166667000000001</v>
      </c>
    </row>
    <row r="470" spans="1:11" x14ac:dyDescent="0.45">
      <c r="A470" s="1">
        <v>39815.254861111112</v>
      </c>
      <c r="B470" t="s">
        <v>10</v>
      </c>
      <c r="C470">
        <v>1200</v>
      </c>
      <c r="D470" t="s">
        <v>11</v>
      </c>
      <c r="E470" t="s">
        <v>307</v>
      </c>
      <c r="F470" t="s">
        <v>822</v>
      </c>
      <c r="G470" t="s">
        <v>813</v>
      </c>
      <c r="H470" t="s">
        <v>814</v>
      </c>
      <c r="I470" s="1">
        <v>39825.1</v>
      </c>
      <c r="J470">
        <v>51.676666699999998</v>
      </c>
      <c r="K470">
        <v>-2.0180555999999998</v>
      </c>
    </row>
    <row r="471" spans="1:11" x14ac:dyDescent="0.45">
      <c r="A471" s="1">
        <v>39817.580555555556</v>
      </c>
      <c r="B471" t="s">
        <v>10</v>
      </c>
      <c r="C471">
        <v>1200</v>
      </c>
      <c r="D471" t="s">
        <v>16</v>
      </c>
      <c r="E471" t="s">
        <v>823</v>
      </c>
      <c r="F471" t="s">
        <v>824</v>
      </c>
      <c r="G471" t="s">
        <v>813</v>
      </c>
      <c r="H471" t="s">
        <v>814</v>
      </c>
      <c r="I471" s="1">
        <v>39825.234722222223</v>
      </c>
      <c r="J471">
        <v>51.116666700000003</v>
      </c>
      <c r="K471">
        <v>-0.81666669999999997</v>
      </c>
    </row>
    <row r="472" spans="1:11" x14ac:dyDescent="0.45">
      <c r="A472" s="1">
        <v>39825.220833333333</v>
      </c>
      <c r="B472" t="s">
        <v>10</v>
      </c>
      <c r="C472">
        <v>1200</v>
      </c>
      <c r="D472" t="s">
        <v>16</v>
      </c>
      <c r="E472" t="s">
        <v>825</v>
      </c>
      <c r="F472" t="s">
        <v>826</v>
      </c>
      <c r="G472" t="s">
        <v>813</v>
      </c>
      <c r="H472" t="s">
        <v>814</v>
      </c>
      <c r="I472" s="1">
        <v>39825.338888888888</v>
      </c>
      <c r="J472">
        <v>50.9</v>
      </c>
      <c r="K472">
        <v>-1.4</v>
      </c>
    </row>
    <row r="473" spans="1:11" x14ac:dyDescent="0.45">
      <c r="A473" s="1">
        <v>39824.443055555559</v>
      </c>
      <c r="B473" t="s">
        <v>10</v>
      </c>
      <c r="C473">
        <v>1200</v>
      </c>
      <c r="D473" t="s">
        <v>16</v>
      </c>
      <c r="E473" t="s">
        <v>827</v>
      </c>
      <c r="F473" t="s">
        <v>828</v>
      </c>
      <c r="G473" t="s">
        <v>829</v>
      </c>
      <c r="H473" t="s">
        <v>814</v>
      </c>
      <c r="I473" s="1">
        <v>39826.10833333333</v>
      </c>
      <c r="J473">
        <v>54.65</v>
      </c>
      <c r="K473">
        <v>-5.7333333</v>
      </c>
    </row>
    <row r="474" spans="1:11" x14ac:dyDescent="0.45">
      <c r="A474" s="1">
        <v>39823.585416666669</v>
      </c>
      <c r="B474" t="s">
        <v>10</v>
      </c>
      <c r="C474">
        <v>1200</v>
      </c>
      <c r="D474" t="s">
        <v>16</v>
      </c>
      <c r="E474" t="s">
        <v>802</v>
      </c>
      <c r="F474" t="s">
        <v>830</v>
      </c>
      <c r="G474" t="s">
        <v>813</v>
      </c>
      <c r="H474" t="s">
        <v>814</v>
      </c>
      <c r="I474" s="1">
        <v>39827.098611111112</v>
      </c>
      <c r="J474">
        <v>51.9</v>
      </c>
      <c r="K474">
        <v>-2.0833333000000001</v>
      </c>
    </row>
    <row r="475" spans="1:11" x14ac:dyDescent="0.45">
      <c r="A475" s="1">
        <v>39821.30972222222</v>
      </c>
      <c r="B475" t="s">
        <v>10</v>
      </c>
      <c r="C475">
        <v>1200</v>
      </c>
      <c r="D475" t="s">
        <v>16</v>
      </c>
      <c r="E475" t="s">
        <v>831</v>
      </c>
      <c r="F475" t="s">
        <v>832</v>
      </c>
      <c r="G475" t="s">
        <v>813</v>
      </c>
      <c r="H475" t="s">
        <v>814</v>
      </c>
      <c r="I475" s="1">
        <v>39828.066666666666</v>
      </c>
      <c r="J475">
        <v>50.716666699999998</v>
      </c>
      <c r="K475">
        <v>-1.8833333000000001</v>
      </c>
    </row>
    <row r="476" spans="1:11" x14ac:dyDescent="0.45">
      <c r="A476" s="1">
        <v>39828.433333333334</v>
      </c>
      <c r="B476" t="s">
        <v>10</v>
      </c>
      <c r="C476">
        <v>1200</v>
      </c>
      <c r="D476" t="s">
        <v>11</v>
      </c>
      <c r="E476" t="s">
        <v>833</v>
      </c>
      <c r="F476" t="s">
        <v>834</v>
      </c>
      <c r="G476" t="s">
        <v>813</v>
      </c>
      <c r="H476" t="s">
        <v>814</v>
      </c>
      <c r="I476" s="1">
        <v>39830.195833333331</v>
      </c>
      <c r="J476">
        <v>53.966666699999998</v>
      </c>
      <c r="K476">
        <v>-1.0833333000000001</v>
      </c>
    </row>
    <row r="477" spans="1:11" x14ac:dyDescent="0.45">
      <c r="A477" s="1">
        <v>39822.647222222222</v>
      </c>
      <c r="B477" t="s">
        <v>10</v>
      </c>
      <c r="C477">
        <v>1200</v>
      </c>
      <c r="D477" t="s">
        <v>16</v>
      </c>
      <c r="E477" t="s">
        <v>81</v>
      </c>
      <c r="F477" t="s">
        <v>835</v>
      </c>
      <c r="G477" t="s">
        <v>813</v>
      </c>
      <c r="H477" t="s">
        <v>814</v>
      </c>
      <c r="I477" s="1">
        <v>39830.502083333333</v>
      </c>
      <c r="J477">
        <v>51.266666700000002</v>
      </c>
      <c r="K477">
        <v>-1.0833333000000001</v>
      </c>
    </row>
    <row r="478" spans="1:11" x14ac:dyDescent="0.45">
      <c r="A478" s="1">
        <v>39831.481944444444</v>
      </c>
      <c r="B478" t="s">
        <v>20</v>
      </c>
      <c r="C478">
        <v>100000</v>
      </c>
      <c r="D478" t="s">
        <v>11</v>
      </c>
      <c r="E478" t="s">
        <v>787</v>
      </c>
      <c r="F478" t="s">
        <v>836</v>
      </c>
      <c r="G478" t="s">
        <v>813</v>
      </c>
      <c r="H478" t="s">
        <v>814</v>
      </c>
      <c r="I478" s="1">
        <v>39831.435416666667</v>
      </c>
      <c r="J478">
        <v>51.4166667</v>
      </c>
      <c r="K478">
        <v>-0.25</v>
      </c>
    </row>
    <row r="479" spans="1:11" x14ac:dyDescent="0.45">
      <c r="A479" s="1">
        <v>39831.193055555559</v>
      </c>
      <c r="B479" t="s">
        <v>10</v>
      </c>
      <c r="C479">
        <v>1200</v>
      </c>
      <c r="D479" t="s">
        <v>11</v>
      </c>
      <c r="E479" t="s">
        <v>322</v>
      </c>
      <c r="F479" t="s">
        <v>837</v>
      </c>
      <c r="G479" t="s">
        <v>813</v>
      </c>
      <c r="H479" t="s">
        <v>814</v>
      </c>
      <c r="I479" s="1">
        <v>39831.498611111114</v>
      </c>
      <c r="J479">
        <v>54.65</v>
      </c>
      <c r="K479">
        <v>-1.6666666999999999</v>
      </c>
    </row>
    <row r="480" spans="1:11" x14ac:dyDescent="0.45">
      <c r="A480" s="1">
        <v>39832.466666666667</v>
      </c>
      <c r="B480" t="s">
        <v>10</v>
      </c>
      <c r="C480">
        <v>1200</v>
      </c>
      <c r="D480" t="s">
        <v>11</v>
      </c>
      <c r="E480" t="s">
        <v>133</v>
      </c>
      <c r="F480" t="s">
        <v>838</v>
      </c>
      <c r="G480" t="s">
        <v>839</v>
      </c>
      <c r="H480" t="s">
        <v>814</v>
      </c>
      <c r="I480" s="1">
        <v>39833.024305555555</v>
      </c>
      <c r="J480">
        <v>57.133333299999997</v>
      </c>
      <c r="K480">
        <v>-2.1</v>
      </c>
    </row>
    <row r="481" spans="1:11" x14ac:dyDescent="0.45">
      <c r="A481" s="1">
        <v>39833.132638888892</v>
      </c>
      <c r="B481" t="s">
        <v>10</v>
      </c>
      <c r="C481">
        <v>1200</v>
      </c>
      <c r="D481" t="s">
        <v>11</v>
      </c>
      <c r="E481" t="s">
        <v>840</v>
      </c>
      <c r="F481" t="s">
        <v>841</v>
      </c>
      <c r="G481" t="s">
        <v>813</v>
      </c>
      <c r="H481" t="s">
        <v>814</v>
      </c>
      <c r="I481" s="1">
        <v>39833.129166666666</v>
      </c>
      <c r="J481">
        <v>53.533333300000002</v>
      </c>
      <c r="K481">
        <v>-2.6166667000000001</v>
      </c>
    </row>
    <row r="482" spans="1:11" x14ac:dyDescent="0.45">
      <c r="A482" s="1">
        <v>39833.243055555555</v>
      </c>
      <c r="B482" t="s">
        <v>10</v>
      </c>
      <c r="C482">
        <v>1200</v>
      </c>
      <c r="D482" t="s">
        <v>11</v>
      </c>
      <c r="E482" t="s">
        <v>626</v>
      </c>
      <c r="F482" t="s">
        <v>842</v>
      </c>
      <c r="G482" t="s">
        <v>813</v>
      </c>
      <c r="H482" t="s">
        <v>814</v>
      </c>
      <c r="I482" s="1">
        <v>39833.323611111111</v>
      </c>
      <c r="J482">
        <v>54.8333333</v>
      </c>
      <c r="K482">
        <v>-3.2833332999999998</v>
      </c>
    </row>
    <row r="483" spans="1:11" x14ac:dyDescent="0.45">
      <c r="A483" s="1">
        <v>39816.353472222225</v>
      </c>
      <c r="B483" t="s">
        <v>10</v>
      </c>
      <c r="C483">
        <v>1200</v>
      </c>
      <c r="D483" t="s">
        <v>11</v>
      </c>
      <c r="E483" t="s">
        <v>843</v>
      </c>
      <c r="F483" t="s">
        <v>844</v>
      </c>
      <c r="G483" t="s">
        <v>813</v>
      </c>
      <c r="H483" t="s">
        <v>814</v>
      </c>
      <c r="I483" s="1">
        <v>39833.479861111111</v>
      </c>
      <c r="J483">
        <v>52.033333300000002</v>
      </c>
      <c r="K483">
        <v>-0.7</v>
      </c>
    </row>
    <row r="484" spans="1:11" x14ac:dyDescent="0.45">
      <c r="A484" s="1">
        <v>39834.09375</v>
      </c>
      <c r="B484" t="s">
        <v>10</v>
      </c>
      <c r="C484">
        <v>1200</v>
      </c>
      <c r="D484" t="s">
        <v>11</v>
      </c>
      <c r="E484" t="s">
        <v>802</v>
      </c>
      <c r="F484" t="s">
        <v>816</v>
      </c>
      <c r="G484" t="s">
        <v>813</v>
      </c>
      <c r="H484" t="s">
        <v>814</v>
      </c>
      <c r="I484" s="1">
        <v>39835.573611111111</v>
      </c>
      <c r="J484">
        <v>51.527209999999997</v>
      </c>
      <c r="K484">
        <v>0.14559</v>
      </c>
    </row>
    <row r="485" spans="1:11" x14ac:dyDescent="0.45">
      <c r="A485" s="1">
        <v>39819.179166666669</v>
      </c>
      <c r="B485" t="s">
        <v>10</v>
      </c>
      <c r="C485">
        <v>1200</v>
      </c>
      <c r="D485" t="s">
        <v>11</v>
      </c>
      <c r="E485" t="s">
        <v>845</v>
      </c>
      <c r="F485" t="s">
        <v>846</v>
      </c>
      <c r="G485" t="s">
        <v>839</v>
      </c>
      <c r="H485" t="s">
        <v>814</v>
      </c>
      <c r="I485" s="1">
        <v>39836.140277777777</v>
      </c>
      <c r="J485">
        <v>55.95</v>
      </c>
      <c r="K485">
        <v>-3.2</v>
      </c>
    </row>
    <row r="486" spans="1:11" x14ac:dyDescent="0.45">
      <c r="A486" s="1">
        <v>39827.131249999999</v>
      </c>
      <c r="B486" t="s">
        <v>10</v>
      </c>
      <c r="C486">
        <v>1200</v>
      </c>
      <c r="D486" t="s">
        <v>16</v>
      </c>
      <c r="E486" t="s">
        <v>88</v>
      </c>
      <c r="F486" t="s">
        <v>847</v>
      </c>
      <c r="G486" t="s">
        <v>839</v>
      </c>
      <c r="H486" t="s">
        <v>814</v>
      </c>
      <c r="I486" s="1">
        <v>39837.091666666667</v>
      </c>
      <c r="J486">
        <v>56.3333333</v>
      </c>
      <c r="K486">
        <v>-3.25</v>
      </c>
    </row>
    <row r="487" spans="1:11" x14ac:dyDescent="0.45">
      <c r="A487" s="1">
        <v>39837.375694444447</v>
      </c>
      <c r="B487" t="s">
        <v>20</v>
      </c>
      <c r="C487">
        <v>100000</v>
      </c>
      <c r="D487" t="s">
        <v>11</v>
      </c>
      <c r="E487" t="s">
        <v>464</v>
      </c>
      <c r="F487" t="s">
        <v>848</v>
      </c>
      <c r="G487" t="s">
        <v>839</v>
      </c>
      <c r="H487" t="s">
        <v>814</v>
      </c>
      <c r="I487" s="1">
        <v>39837.334722222222</v>
      </c>
      <c r="J487">
        <v>56.6666667</v>
      </c>
      <c r="K487">
        <v>-3</v>
      </c>
    </row>
    <row r="488" spans="1:11" x14ac:dyDescent="0.45">
      <c r="A488" s="1">
        <v>39824.298611111109</v>
      </c>
      <c r="B488" t="s">
        <v>20</v>
      </c>
      <c r="C488">
        <v>100000</v>
      </c>
      <c r="D488" t="s">
        <v>11</v>
      </c>
      <c r="E488" t="s">
        <v>849</v>
      </c>
      <c r="F488" t="s">
        <v>850</v>
      </c>
      <c r="G488" t="s">
        <v>813</v>
      </c>
      <c r="H488" t="s">
        <v>814</v>
      </c>
      <c r="I488" s="1">
        <v>39837.620833333334</v>
      </c>
      <c r="J488">
        <v>51.216666699999998</v>
      </c>
      <c r="K488">
        <v>-0.56666669999999997</v>
      </c>
    </row>
    <row r="489" spans="1:11" x14ac:dyDescent="0.45">
      <c r="A489" s="1">
        <v>39824.665972222225</v>
      </c>
      <c r="B489" t="s">
        <v>10</v>
      </c>
      <c r="C489">
        <v>1200</v>
      </c>
      <c r="D489" t="s">
        <v>11</v>
      </c>
      <c r="E489" t="s">
        <v>851</v>
      </c>
      <c r="F489" t="s">
        <v>852</v>
      </c>
      <c r="G489" t="s">
        <v>813</v>
      </c>
      <c r="H489" t="s">
        <v>814</v>
      </c>
      <c r="I489" s="1">
        <v>39838.127083333333</v>
      </c>
      <c r="J489">
        <v>51.866666700000003</v>
      </c>
      <c r="K489">
        <v>0.1666667</v>
      </c>
    </row>
    <row r="490" spans="1:11" x14ac:dyDescent="0.45">
      <c r="A490" s="1">
        <v>39814.38958333333</v>
      </c>
      <c r="B490" t="s">
        <v>10</v>
      </c>
      <c r="C490">
        <v>1200</v>
      </c>
      <c r="D490" t="s">
        <v>16</v>
      </c>
      <c r="E490" t="s">
        <v>853</v>
      </c>
      <c r="F490" t="s">
        <v>854</v>
      </c>
      <c r="G490" t="s">
        <v>813</v>
      </c>
      <c r="H490" t="s">
        <v>814</v>
      </c>
      <c r="I490" s="1">
        <v>39838.452777777777</v>
      </c>
      <c r="J490">
        <v>53.816666699999999</v>
      </c>
      <c r="K490">
        <v>-3.05</v>
      </c>
    </row>
    <row r="491" spans="1:11" x14ac:dyDescent="0.45">
      <c r="A491" s="1">
        <v>39824.48333333333</v>
      </c>
      <c r="B491" t="s">
        <v>10</v>
      </c>
      <c r="C491">
        <v>1200</v>
      </c>
      <c r="D491" t="s">
        <v>16</v>
      </c>
      <c r="E491" t="s">
        <v>855</v>
      </c>
      <c r="F491" t="s">
        <v>816</v>
      </c>
      <c r="G491" t="s">
        <v>813</v>
      </c>
      <c r="H491" t="s">
        <v>814</v>
      </c>
      <c r="I491" s="1">
        <v>39838.469444444447</v>
      </c>
      <c r="J491">
        <v>51.513339999999999</v>
      </c>
      <c r="K491">
        <v>-8.8950000000000001E-2</v>
      </c>
    </row>
    <row r="492" spans="1:11" x14ac:dyDescent="0.45">
      <c r="A492" s="1">
        <v>39820.197916666664</v>
      </c>
      <c r="B492" t="s">
        <v>10</v>
      </c>
      <c r="C492">
        <v>1200</v>
      </c>
      <c r="D492" t="s">
        <v>63</v>
      </c>
      <c r="E492" t="s">
        <v>817</v>
      </c>
      <c r="F492" t="s">
        <v>816</v>
      </c>
      <c r="G492" t="s">
        <v>813</v>
      </c>
      <c r="H492" t="s">
        <v>814</v>
      </c>
      <c r="I492" s="1">
        <v>39839.334027777775</v>
      </c>
      <c r="J492">
        <v>51.527209999999997</v>
      </c>
      <c r="K492">
        <v>0.14559</v>
      </c>
    </row>
    <row r="493" spans="1:11" x14ac:dyDescent="0.45">
      <c r="A493" s="1">
        <v>39839.373611111114</v>
      </c>
      <c r="B493" t="s">
        <v>10</v>
      </c>
      <c r="C493">
        <v>1200</v>
      </c>
      <c r="D493" t="s">
        <v>16</v>
      </c>
      <c r="E493" t="s">
        <v>856</v>
      </c>
      <c r="F493" t="s">
        <v>816</v>
      </c>
      <c r="G493" t="s">
        <v>813</v>
      </c>
      <c r="H493" t="s">
        <v>814</v>
      </c>
      <c r="I493" s="1">
        <v>39839.468055555553</v>
      </c>
      <c r="J493">
        <v>51.527209999999997</v>
      </c>
      <c r="K493">
        <v>0.14559</v>
      </c>
    </row>
    <row r="494" spans="1:11" x14ac:dyDescent="0.45">
      <c r="A494" s="1">
        <v>39818.231249999997</v>
      </c>
      <c r="B494" t="s">
        <v>10</v>
      </c>
      <c r="C494">
        <v>1200</v>
      </c>
      <c r="D494" t="s">
        <v>16</v>
      </c>
      <c r="E494" t="s">
        <v>454</v>
      </c>
      <c r="F494" t="s">
        <v>816</v>
      </c>
      <c r="G494" t="s">
        <v>813</v>
      </c>
      <c r="H494" t="s">
        <v>814</v>
      </c>
      <c r="I494" s="1">
        <v>39840.200694444444</v>
      </c>
      <c r="J494">
        <v>51.527209999999997</v>
      </c>
      <c r="K494">
        <v>0.14559</v>
      </c>
    </row>
    <row r="495" spans="1:11" x14ac:dyDescent="0.45">
      <c r="A495" s="1">
        <v>39840.215277777781</v>
      </c>
      <c r="B495" t="s">
        <v>10</v>
      </c>
      <c r="C495">
        <v>1200</v>
      </c>
      <c r="D495" t="s">
        <v>11</v>
      </c>
      <c r="E495" t="s">
        <v>857</v>
      </c>
      <c r="F495" t="s">
        <v>858</v>
      </c>
      <c r="G495" t="s">
        <v>813</v>
      </c>
      <c r="H495" t="s">
        <v>814</v>
      </c>
      <c r="I495" s="1">
        <v>39840.20208333333</v>
      </c>
      <c r="J495">
        <v>51.5</v>
      </c>
      <c r="K495">
        <v>-0.58333330000000005</v>
      </c>
    </row>
    <row r="496" spans="1:11" x14ac:dyDescent="0.45">
      <c r="A496" s="1">
        <v>39815.637499999997</v>
      </c>
      <c r="B496" t="s">
        <v>10</v>
      </c>
      <c r="C496">
        <v>1200</v>
      </c>
      <c r="D496" t="s">
        <v>16</v>
      </c>
      <c r="E496" t="s">
        <v>646</v>
      </c>
      <c r="F496" t="s">
        <v>859</v>
      </c>
      <c r="G496" t="s">
        <v>813</v>
      </c>
      <c r="H496" t="s">
        <v>814</v>
      </c>
      <c r="I496" s="1">
        <v>39841.05972222222</v>
      </c>
      <c r="J496">
        <v>52.016666700000002</v>
      </c>
      <c r="K496">
        <v>0.25</v>
      </c>
    </row>
    <row r="497" spans="1:11" x14ac:dyDescent="0.45">
      <c r="A497" s="1">
        <v>39841.296527777777</v>
      </c>
      <c r="B497" t="s">
        <v>10</v>
      </c>
      <c r="C497">
        <v>1200</v>
      </c>
      <c r="D497" t="s">
        <v>11</v>
      </c>
      <c r="E497" t="s">
        <v>802</v>
      </c>
      <c r="F497" t="s">
        <v>860</v>
      </c>
      <c r="G497" t="s">
        <v>813</v>
      </c>
      <c r="H497" t="s">
        <v>814</v>
      </c>
      <c r="I497" s="1">
        <v>39841.304166666669</v>
      </c>
      <c r="J497">
        <v>52.4</v>
      </c>
      <c r="K497">
        <v>-1.6333333000000001</v>
      </c>
    </row>
    <row r="498" spans="1:11" x14ac:dyDescent="0.45">
      <c r="A498" s="1">
        <v>39837.167361111111</v>
      </c>
      <c r="B498" t="s">
        <v>10</v>
      </c>
      <c r="C498">
        <v>1200</v>
      </c>
      <c r="D498" t="s">
        <v>11</v>
      </c>
      <c r="E498" t="s">
        <v>861</v>
      </c>
      <c r="F498" t="s">
        <v>862</v>
      </c>
      <c r="G498" t="s">
        <v>813</v>
      </c>
      <c r="H498" t="s">
        <v>814</v>
      </c>
      <c r="I498" s="1">
        <v>39841.425000000003</v>
      </c>
      <c r="J498">
        <v>51.9166667</v>
      </c>
      <c r="K498">
        <v>-0.65</v>
      </c>
    </row>
    <row r="499" spans="1:11" x14ac:dyDescent="0.45">
      <c r="A499" s="1">
        <v>39815.218055555553</v>
      </c>
      <c r="B499" t="s">
        <v>10</v>
      </c>
      <c r="C499">
        <v>1200</v>
      </c>
      <c r="D499" t="s">
        <v>11</v>
      </c>
      <c r="E499" t="s">
        <v>863</v>
      </c>
      <c r="F499" t="s">
        <v>864</v>
      </c>
      <c r="G499" t="s">
        <v>813</v>
      </c>
      <c r="H499" t="s">
        <v>814</v>
      </c>
      <c r="I499" s="1">
        <v>39841.463194444441</v>
      </c>
      <c r="J499">
        <v>54.5833333</v>
      </c>
      <c r="K499">
        <v>-1.4166666999999999</v>
      </c>
    </row>
    <row r="500" spans="1:11" x14ac:dyDescent="0.45">
      <c r="A500" s="1">
        <v>39826.347222222219</v>
      </c>
      <c r="B500" t="s">
        <v>10</v>
      </c>
      <c r="C500">
        <v>1200</v>
      </c>
      <c r="D500" t="s">
        <v>16</v>
      </c>
      <c r="E500" t="s">
        <v>865</v>
      </c>
      <c r="F500" t="s">
        <v>866</v>
      </c>
      <c r="G500" t="s">
        <v>813</v>
      </c>
      <c r="H500" t="s">
        <v>814</v>
      </c>
      <c r="I500" s="1">
        <v>39842.142361111109</v>
      </c>
      <c r="J500">
        <v>51.3</v>
      </c>
      <c r="K500">
        <v>-0.05</v>
      </c>
    </row>
    <row r="501" spans="1:11" x14ac:dyDescent="0.45">
      <c r="A501" s="1">
        <v>39826.479861111111</v>
      </c>
      <c r="B501" t="s">
        <v>10</v>
      </c>
      <c r="C501">
        <v>1200</v>
      </c>
      <c r="D501" t="s">
        <v>11</v>
      </c>
      <c r="E501" t="s">
        <v>867</v>
      </c>
      <c r="F501" t="s">
        <v>868</v>
      </c>
      <c r="G501" t="s">
        <v>813</v>
      </c>
      <c r="H501" t="s">
        <v>814</v>
      </c>
      <c r="I501" s="1">
        <v>39842.533333333333</v>
      </c>
      <c r="J501">
        <v>50.8</v>
      </c>
      <c r="K501">
        <v>-1.1333333000000001</v>
      </c>
    </row>
    <row r="502" spans="1:11" x14ac:dyDescent="0.45">
      <c r="A502" s="1">
        <v>39818.472916666666</v>
      </c>
      <c r="B502" t="s">
        <v>10</v>
      </c>
      <c r="C502">
        <v>1200</v>
      </c>
      <c r="D502" t="s">
        <v>11</v>
      </c>
      <c r="E502" t="s">
        <v>869</v>
      </c>
      <c r="F502" t="s">
        <v>870</v>
      </c>
      <c r="G502" t="s">
        <v>813</v>
      </c>
      <c r="H502" t="s">
        <v>814</v>
      </c>
      <c r="I502" s="1">
        <v>39843.245833333334</v>
      </c>
      <c r="J502">
        <v>50.983333299999998</v>
      </c>
      <c r="K502">
        <v>-0.6</v>
      </c>
    </row>
    <row r="503" spans="1:11" x14ac:dyDescent="0.45">
      <c r="A503" s="1">
        <v>39844.383333333331</v>
      </c>
      <c r="B503" t="s">
        <v>10</v>
      </c>
      <c r="C503">
        <v>1200</v>
      </c>
      <c r="D503" t="s">
        <v>11</v>
      </c>
      <c r="E503" t="s">
        <v>871</v>
      </c>
      <c r="F503" t="s">
        <v>872</v>
      </c>
      <c r="G503" t="s">
        <v>813</v>
      </c>
      <c r="H503" t="s">
        <v>814</v>
      </c>
      <c r="I503" s="1">
        <v>39844.380555555559</v>
      </c>
      <c r="J503">
        <v>51.433333300000001</v>
      </c>
      <c r="K503">
        <v>-1</v>
      </c>
    </row>
    <row r="504" spans="1:11" x14ac:dyDescent="0.45">
      <c r="A504" s="1">
        <v>39844.375</v>
      </c>
      <c r="B504" t="s">
        <v>10</v>
      </c>
      <c r="C504">
        <v>1200</v>
      </c>
      <c r="D504" t="s">
        <v>11</v>
      </c>
      <c r="E504" t="s">
        <v>873</v>
      </c>
      <c r="F504" t="s">
        <v>816</v>
      </c>
      <c r="G504" t="s">
        <v>813</v>
      </c>
      <c r="H504" t="s">
        <v>814</v>
      </c>
      <c r="I504" s="1">
        <v>39844.421527777777</v>
      </c>
      <c r="J504">
        <v>51.513339999999999</v>
      </c>
      <c r="K504">
        <v>-8.8950000000000001E-2</v>
      </c>
    </row>
    <row r="505" spans="1:11" x14ac:dyDescent="0.45">
      <c r="A505" s="1">
        <v>39835.522222222222</v>
      </c>
      <c r="B505" t="s">
        <v>10</v>
      </c>
      <c r="C505">
        <v>1200</v>
      </c>
      <c r="D505" t="s">
        <v>16</v>
      </c>
      <c r="E505" t="s">
        <v>874</v>
      </c>
      <c r="F505" t="s">
        <v>816</v>
      </c>
      <c r="G505" t="s">
        <v>813</v>
      </c>
      <c r="H505" t="s">
        <v>814</v>
      </c>
      <c r="I505" s="1">
        <v>39844.613194444442</v>
      </c>
      <c r="J505">
        <v>51.527209999999997</v>
      </c>
      <c r="K505">
        <v>0.14559</v>
      </c>
    </row>
    <row r="506" spans="1:11" x14ac:dyDescent="0.45">
      <c r="A506" s="1">
        <v>39839.203472222223</v>
      </c>
      <c r="B506" t="s">
        <v>10</v>
      </c>
      <c r="C506">
        <v>1200</v>
      </c>
      <c r="D506" t="s">
        <v>11</v>
      </c>
      <c r="E506" t="s">
        <v>875</v>
      </c>
      <c r="F506" t="s">
        <v>816</v>
      </c>
      <c r="G506" t="s">
        <v>813</v>
      </c>
      <c r="H506" t="s">
        <v>814</v>
      </c>
      <c r="I506" s="1">
        <v>39845.408333333333</v>
      </c>
      <c r="J506">
        <v>51.527209999999997</v>
      </c>
      <c r="K506">
        <v>0.14559</v>
      </c>
    </row>
    <row r="507" spans="1:11" x14ac:dyDescent="0.45">
      <c r="A507" s="1">
        <v>39822.151388888888</v>
      </c>
      <c r="B507" t="s">
        <v>10</v>
      </c>
      <c r="C507">
        <v>1200</v>
      </c>
      <c r="D507" t="s">
        <v>11</v>
      </c>
      <c r="E507" t="s">
        <v>876</v>
      </c>
      <c r="F507" t="s">
        <v>877</v>
      </c>
      <c r="G507" t="s">
        <v>829</v>
      </c>
      <c r="H507" t="s">
        <v>814</v>
      </c>
      <c r="I507" s="1">
        <v>39845.495138888888</v>
      </c>
      <c r="J507">
        <v>54.466666699999998</v>
      </c>
      <c r="K507">
        <v>-6.3333332999999996</v>
      </c>
    </row>
    <row r="508" spans="1:11" x14ac:dyDescent="0.45">
      <c r="A508" s="1">
        <v>39818.546527777777</v>
      </c>
      <c r="B508" t="s">
        <v>10</v>
      </c>
      <c r="C508">
        <v>1200</v>
      </c>
      <c r="D508" t="s">
        <v>11</v>
      </c>
      <c r="E508" t="s">
        <v>231</v>
      </c>
      <c r="F508" t="s">
        <v>878</v>
      </c>
      <c r="G508" t="s">
        <v>813</v>
      </c>
      <c r="H508" t="s">
        <v>814</v>
      </c>
      <c r="I508" s="1">
        <v>39845.935416666667</v>
      </c>
      <c r="J508">
        <v>51.616666700000003</v>
      </c>
      <c r="K508">
        <v>0.31666670000000002</v>
      </c>
    </row>
    <row r="509" spans="1:11" x14ac:dyDescent="0.45">
      <c r="A509" s="1">
        <v>39828.643055555556</v>
      </c>
      <c r="B509" t="s">
        <v>10</v>
      </c>
      <c r="C509">
        <v>1200</v>
      </c>
      <c r="D509" t="s">
        <v>11</v>
      </c>
      <c r="E509" t="s">
        <v>419</v>
      </c>
      <c r="F509" t="s">
        <v>879</v>
      </c>
      <c r="G509" t="s">
        <v>813</v>
      </c>
      <c r="H509" t="s">
        <v>814</v>
      </c>
      <c r="I509" s="1">
        <v>39846.036805555559</v>
      </c>
      <c r="J509">
        <v>53.5833333</v>
      </c>
      <c r="K509">
        <v>-2.4333333000000001</v>
      </c>
    </row>
    <row r="510" spans="1:11" x14ac:dyDescent="0.45">
      <c r="A510" s="1">
        <v>39821.34097222222</v>
      </c>
      <c r="B510" t="s">
        <v>10</v>
      </c>
      <c r="C510">
        <v>1200</v>
      </c>
      <c r="D510" t="s">
        <v>16</v>
      </c>
      <c r="E510" t="s">
        <v>547</v>
      </c>
      <c r="F510" t="s">
        <v>880</v>
      </c>
      <c r="G510" t="s">
        <v>813</v>
      </c>
      <c r="H510" t="s">
        <v>814</v>
      </c>
      <c r="I510" s="1">
        <v>39847.07916666667</v>
      </c>
      <c r="J510">
        <v>51.633333299999997</v>
      </c>
      <c r="K510">
        <v>-0.76666670000000003</v>
      </c>
    </row>
    <row r="511" spans="1:11" x14ac:dyDescent="0.45">
      <c r="A511" s="1">
        <v>39837.432638888888</v>
      </c>
      <c r="B511" t="s">
        <v>10</v>
      </c>
      <c r="C511">
        <v>1200</v>
      </c>
      <c r="D511" t="s">
        <v>11</v>
      </c>
      <c r="E511" t="s">
        <v>881</v>
      </c>
      <c r="F511" t="s">
        <v>834</v>
      </c>
      <c r="G511" t="s">
        <v>813</v>
      </c>
      <c r="H511" t="s">
        <v>814</v>
      </c>
      <c r="I511" s="1">
        <v>39847.539583333331</v>
      </c>
      <c r="J511">
        <v>53.966666699999998</v>
      </c>
      <c r="K511">
        <v>-1.0833333000000001</v>
      </c>
    </row>
    <row r="512" spans="1:11" x14ac:dyDescent="0.45">
      <c r="A512" s="1">
        <v>39814.666666666664</v>
      </c>
      <c r="B512" t="s">
        <v>10</v>
      </c>
      <c r="C512">
        <v>1200</v>
      </c>
      <c r="D512" t="s">
        <v>11</v>
      </c>
      <c r="E512" t="s">
        <v>882</v>
      </c>
      <c r="F512" t="s">
        <v>879</v>
      </c>
      <c r="G512" t="s">
        <v>813</v>
      </c>
      <c r="H512" t="s">
        <v>814</v>
      </c>
      <c r="I512" s="1">
        <v>39847.697916666664</v>
      </c>
      <c r="J512">
        <v>53.5833333</v>
      </c>
      <c r="K512">
        <v>-2.4333333000000001</v>
      </c>
    </row>
    <row r="513" spans="1:11" x14ac:dyDescent="0.45">
      <c r="A513" s="1">
        <v>39829.532638888886</v>
      </c>
      <c r="B513" t="s">
        <v>10</v>
      </c>
      <c r="C513">
        <v>1200</v>
      </c>
      <c r="D513" t="s">
        <v>11</v>
      </c>
      <c r="E513" t="s">
        <v>883</v>
      </c>
      <c r="F513" t="s">
        <v>816</v>
      </c>
      <c r="G513" t="s">
        <v>813</v>
      </c>
      <c r="H513" t="s">
        <v>814</v>
      </c>
      <c r="I513" s="1">
        <v>39848.092361111114</v>
      </c>
      <c r="J513">
        <v>51.527209999999997</v>
      </c>
      <c r="K513">
        <v>0.14559</v>
      </c>
    </row>
    <row r="514" spans="1:11" x14ac:dyDescent="0.45">
      <c r="A514" s="1">
        <v>39815.324305555558</v>
      </c>
      <c r="B514" t="s">
        <v>10</v>
      </c>
      <c r="C514">
        <v>1200</v>
      </c>
      <c r="D514" t="s">
        <v>16</v>
      </c>
      <c r="E514" t="s">
        <v>884</v>
      </c>
      <c r="F514" t="s">
        <v>816</v>
      </c>
      <c r="G514" t="s">
        <v>813</v>
      </c>
      <c r="H514" t="s">
        <v>814</v>
      </c>
      <c r="I514" s="1">
        <v>39848.368055555555</v>
      </c>
      <c r="J514">
        <v>51.5</v>
      </c>
      <c r="K514">
        <v>-0.1166667</v>
      </c>
    </row>
    <row r="515" spans="1:11" x14ac:dyDescent="0.45">
      <c r="A515" s="1">
        <v>39823.342361111114</v>
      </c>
      <c r="B515" t="s">
        <v>10</v>
      </c>
      <c r="C515">
        <v>1200</v>
      </c>
      <c r="D515" t="s">
        <v>16</v>
      </c>
      <c r="E515" t="s">
        <v>387</v>
      </c>
      <c r="F515" t="s">
        <v>846</v>
      </c>
      <c r="G515" t="s">
        <v>839</v>
      </c>
      <c r="H515" t="s">
        <v>814</v>
      </c>
      <c r="I515" s="1">
        <v>39848.547222222223</v>
      </c>
      <c r="J515">
        <v>55.95</v>
      </c>
      <c r="K515">
        <v>-3.2</v>
      </c>
    </row>
    <row r="516" spans="1:11" x14ac:dyDescent="0.45">
      <c r="A516" s="1">
        <v>39840.105555555558</v>
      </c>
      <c r="B516" t="s">
        <v>10</v>
      </c>
      <c r="C516">
        <v>1200</v>
      </c>
      <c r="D516" t="s">
        <v>11</v>
      </c>
      <c r="E516" t="s">
        <v>885</v>
      </c>
      <c r="F516" t="s">
        <v>886</v>
      </c>
      <c r="G516" t="s">
        <v>839</v>
      </c>
      <c r="H516" t="s">
        <v>814</v>
      </c>
      <c r="I516" s="1">
        <v>39849.135416666664</v>
      </c>
      <c r="J516">
        <v>56.4</v>
      </c>
      <c r="K516">
        <v>-3.4333333000000001</v>
      </c>
    </row>
    <row r="517" spans="1:11" x14ac:dyDescent="0.45">
      <c r="A517" s="1">
        <v>39831.566666666666</v>
      </c>
      <c r="B517" t="s">
        <v>10</v>
      </c>
      <c r="C517">
        <v>1200</v>
      </c>
      <c r="D517" t="s">
        <v>63</v>
      </c>
      <c r="E517" t="s">
        <v>887</v>
      </c>
      <c r="F517" t="s">
        <v>816</v>
      </c>
      <c r="G517" t="s">
        <v>813</v>
      </c>
      <c r="H517" t="s">
        <v>814</v>
      </c>
      <c r="I517" s="1">
        <v>39849.136805555558</v>
      </c>
      <c r="J517">
        <v>51.513339999999999</v>
      </c>
      <c r="K517">
        <v>-8.8950000000000001E-2</v>
      </c>
    </row>
    <row r="518" spans="1:11" x14ac:dyDescent="0.45">
      <c r="A518" s="1">
        <v>39831.487500000003</v>
      </c>
      <c r="B518" t="s">
        <v>10</v>
      </c>
      <c r="C518">
        <v>1200</v>
      </c>
      <c r="D518" t="s">
        <v>11</v>
      </c>
      <c r="E518" t="s">
        <v>888</v>
      </c>
      <c r="F518" t="s">
        <v>889</v>
      </c>
      <c r="G518" t="s">
        <v>813</v>
      </c>
      <c r="H518" t="s">
        <v>814</v>
      </c>
      <c r="I518" s="1">
        <v>39849.26458333333</v>
      </c>
      <c r="J518">
        <v>51.2</v>
      </c>
      <c r="K518">
        <v>0.58333330000000005</v>
      </c>
    </row>
    <row r="519" spans="1:11" x14ac:dyDescent="0.45">
      <c r="A519" s="1">
        <v>39843.49722222222</v>
      </c>
      <c r="B519" t="s">
        <v>10</v>
      </c>
      <c r="C519">
        <v>1200</v>
      </c>
      <c r="D519" t="s">
        <v>16</v>
      </c>
      <c r="E519" t="s">
        <v>444</v>
      </c>
      <c r="F519" t="s">
        <v>890</v>
      </c>
      <c r="G519" t="s">
        <v>813</v>
      </c>
      <c r="H519" t="s">
        <v>814</v>
      </c>
      <c r="I519" s="1">
        <v>39850.00277777778</v>
      </c>
      <c r="J519">
        <v>52.016666700000002</v>
      </c>
      <c r="K519">
        <v>-1.9666667</v>
      </c>
    </row>
    <row r="520" spans="1:11" x14ac:dyDescent="0.45">
      <c r="A520" s="1">
        <v>39827.061111111114</v>
      </c>
      <c r="B520" t="s">
        <v>10</v>
      </c>
      <c r="C520">
        <v>1200</v>
      </c>
      <c r="D520" t="s">
        <v>16</v>
      </c>
      <c r="E520" t="s">
        <v>815</v>
      </c>
      <c r="F520" t="s">
        <v>844</v>
      </c>
      <c r="G520" t="s">
        <v>813</v>
      </c>
      <c r="H520" t="s">
        <v>814</v>
      </c>
      <c r="I520" s="1">
        <v>39851.018055555556</v>
      </c>
      <c r="J520">
        <v>52.033333300000002</v>
      </c>
      <c r="K520">
        <v>-0.7</v>
      </c>
    </row>
    <row r="521" spans="1:11" x14ac:dyDescent="0.45">
      <c r="A521" s="1">
        <v>39818.640972222223</v>
      </c>
      <c r="B521" t="s">
        <v>10</v>
      </c>
      <c r="C521">
        <v>1200</v>
      </c>
      <c r="D521" t="s">
        <v>11</v>
      </c>
      <c r="E521" t="s">
        <v>891</v>
      </c>
      <c r="F521" t="s">
        <v>892</v>
      </c>
      <c r="G521" t="s">
        <v>813</v>
      </c>
      <c r="H521" t="s">
        <v>814</v>
      </c>
      <c r="I521" s="1">
        <v>39851.463888888888</v>
      </c>
      <c r="J521">
        <v>52.25</v>
      </c>
      <c r="K521">
        <v>-2.7</v>
      </c>
    </row>
    <row r="522" spans="1:11" x14ac:dyDescent="0.45">
      <c r="A522" s="1">
        <v>39837.304166666669</v>
      </c>
      <c r="B522" t="s">
        <v>20</v>
      </c>
      <c r="C522">
        <v>100000</v>
      </c>
      <c r="D522" t="s">
        <v>11</v>
      </c>
      <c r="E522" t="s">
        <v>450</v>
      </c>
      <c r="F522" t="s">
        <v>848</v>
      </c>
      <c r="G522" t="s">
        <v>839</v>
      </c>
      <c r="H522" t="s">
        <v>814</v>
      </c>
      <c r="I522" s="1">
        <v>39852.119444444441</v>
      </c>
      <c r="J522">
        <v>56.6666667</v>
      </c>
      <c r="K522">
        <v>-3</v>
      </c>
    </row>
    <row r="523" spans="1:11" x14ac:dyDescent="0.45">
      <c r="A523" s="1">
        <v>39827.522916666669</v>
      </c>
      <c r="B523" t="s">
        <v>10</v>
      </c>
      <c r="C523">
        <v>1200</v>
      </c>
      <c r="D523" t="s">
        <v>11</v>
      </c>
      <c r="E523" t="s">
        <v>893</v>
      </c>
      <c r="F523" t="s">
        <v>894</v>
      </c>
      <c r="G523" t="s">
        <v>813</v>
      </c>
      <c r="H523" t="s">
        <v>814</v>
      </c>
      <c r="I523" s="1">
        <v>39852.958333333336</v>
      </c>
      <c r="J523">
        <v>51.75</v>
      </c>
      <c r="K523">
        <v>-1.25</v>
      </c>
    </row>
    <row r="524" spans="1:11" x14ac:dyDescent="0.45">
      <c r="A524" s="1">
        <v>39814.529166666667</v>
      </c>
      <c r="B524" t="s">
        <v>10</v>
      </c>
      <c r="C524">
        <v>1200</v>
      </c>
      <c r="D524" t="s">
        <v>11</v>
      </c>
      <c r="E524" t="s">
        <v>895</v>
      </c>
      <c r="F524" t="s">
        <v>896</v>
      </c>
      <c r="G524" t="s">
        <v>813</v>
      </c>
      <c r="H524" t="s">
        <v>814</v>
      </c>
      <c r="I524" s="1">
        <v>39853.119444444441</v>
      </c>
      <c r="J524">
        <v>50.7</v>
      </c>
      <c r="K524">
        <v>-3.5333332999999998</v>
      </c>
    </row>
    <row r="525" spans="1:11" x14ac:dyDescent="0.45">
      <c r="A525" s="1">
        <v>39828.21597222222</v>
      </c>
      <c r="B525" t="s">
        <v>20</v>
      </c>
      <c r="C525">
        <v>100000</v>
      </c>
      <c r="D525" t="s">
        <v>11</v>
      </c>
      <c r="E525" t="s">
        <v>446</v>
      </c>
      <c r="F525" t="s">
        <v>816</v>
      </c>
      <c r="G525" t="s">
        <v>813</v>
      </c>
      <c r="H525" t="s">
        <v>814</v>
      </c>
      <c r="I525" s="1">
        <v>39853.195833333331</v>
      </c>
      <c r="J525">
        <v>51.527209999999997</v>
      </c>
      <c r="K525">
        <v>0.14559</v>
      </c>
    </row>
    <row r="526" spans="1:11" x14ac:dyDescent="0.45">
      <c r="A526" s="1">
        <v>39832.425694444442</v>
      </c>
      <c r="B526" t="s">
        <v>20</v>
      </c>
      <c r="C526">
        <v>100000</v>
      </c>
      <c r="D526" t="s">
        <v>16</v>
      </c>
      <c r="E526" t="s">
        <v>897</v>
      </c>
      <c r="F526" t="s">
        <v>816</v>
      </c>
      <c r="G526" t="s">
        <v>813</v>
      </c>
      <c r="H526" t="s">
        <v>814</v>
      </c>
      <c r="I526" s="1">
        <v>39853.289583333331</v>
      </c>
      <c r="J526">
        <v>51.513339999999999</v>
      </c>
      <c r="K526">
        <v>-8.8950000000000001E-2</v>
      </c>
    </row>
    <row r="527" spans="1:11" x14ac:dyDescent="0.45">
      <c r="A527" s="1">
        <v>39821.145138888889</v>
      </c>
      <c r="B527" t="s">
        <v>10</v>
      </c>
      <c r="C527">
        <v>1200</v>
      </c>
      <c r="D527" t="s">
        <v>11</v>
      </c>
      <c r="E527" t="s">
        <v>588</v>
      </c>
      <c r="F527" t="s">
        <v>898</v>
      </c>
      <c r="G527" t="s">
        <v>813</v>
      </c>
      <c r="H527" t="s">
        <v>814</v>
      </c>
      <c r="I527" s="1">
        <v>39853.587500000001</v>
      </c>
      <c r="J527">
        <v>53.4166667</v>
      </c>
      <c r="K527">
        <v>-3</v>
      </c>
    </row>
    <row r="528" spans="1:11" x14ac:dyDescent="0.45">
      <c r="A528" s="1">
        <v>39820.561111111114</v>
      </c>
      <c r="B528" t="s">
        <v>10</v>
      </c>
      <c r="C528">
        <v>1200</v>
      </c>
      <c r="D528" t="s">
        <v>11</v>
      </c>
      <c r="E528" t="s">
        <v>674</v>
      </c>
      <c r="F528" t="s">
        <v>899</v>
      </c>
      <c r="G528" t="s">
        <v>813</v>
      </c>
      <c r="H528" t="s">
        <v>814</v>
      </c>
      <c r="I528" s="1">
        <v>39854.527083333334</v>
      </c>
      <c r="J528">
        <v>51.433333300000001</v>
      </c>
      <c r="K528">
        <v>-2</v>
      </c>
    </row>
    <row r="529" spans="1:11" x14ac:dyDescent="0.45">
      <c r="A529" s="1">
        <v>39815.593055555553</v>
      </c>
      <c r="B529" t="s">
        <v>10</v>
      </c>
      <c r="C529">
        <v>1200</v>
      </c>
      <c r="D529" t="s">
        <v>16</v>
      </c>
      <c r="E529" t="s">
        <v>900</v>
      </c>
      <c r="F529" t="s">
        <v>872</v>
      </c>
      <c r="G529" t="s">
        <v>813</v>
      </c>
      <c r="H529" t="s">
        <v>814</v>
      </c>
      <c r="I529" s="1">
        <v>39854.693055555559</v>
      </c>
      <c r="J529">
        <v>51.433333300000001</v>
      </c>
      <c r="K529">
        <v>-1</v>
      </c>
    </row>
    <row r="530" spans="1:11" x14ac:dyDescent="0.45">
      <c r="A530" s="1">
        <v>39841.678472222222</v>
      </c>
      <c r="B530" t="s">
        <v>10</v>
      </c>
      <c r="C530">
        <v>1200</v>
      </c>
      <c r="D530" t="s">
        <v>16</v>
      </c>
      <c r="E530" t="s">
        <v>901</v>
      </c>
      <c r="F530" t="s">
        <v>902</v>
      </c>
      <c r="G530" t="s">
        <v>813</v>
      </c>
      <c r="H530" t="s">
        <v>814</v>
      </c>
      <c r="I530" s="1">
        <v>39854.829861111109</v>
      </c>
      <c r="J530">
        <v>52.4166667</v>
      </c>
      <c r="K530">
        <v>-1.55</v>
      </c>
    </row>
    <row r="531" spans="1:11" x14ac:dyDescent="0.45">
      <c r="A531" s="1">
        <v>39817.536805555559</v>
      </c>
      <c r="B531" t="s">
        <v>10</v>
      </c>
      <c r="C531">
        <v>1200</v>
      </c>
      <c r="D531" t="s">
        <v>16</v>
      </c>
      <c r="E531" t="s">
        <v>903</v>
      </c>
      <c r="F531" t="s">
        <v>904</v>
      </c>
      <c r="G531" t="s">
        <v>813</v>
      </c>
      <c r="H531" t="s">
        <v>814</v>
      </c>
      <c r="I531" s="1">
        <v>39855.00277777778</v>
      </c>
      <c r="J531">
        <v>52.3</v>
      </c>
      <c r="K531">
        <v>-1.5333333</v>
      </c>
    </row>
    <row r="532" spans="1:11" x14ac:dyDescent="0.45">
      <c r="A532" s="1">
        <v>39821.115277777775</v>
      </c>
      <c r="B532" t="s">
        <v>10</v>
      </c>
      <c r="C532">
        <v>1200</v>
      </c>
      <c r="D532" t="s">
        <v>16</v>
      </c>
      <c r="E532" t="s">
        <v>905</v>
      </c>
      <c r="F532" t="s">
        <v>906</v>
      </c>
      <c r="G532" t="s">
        <v>813</v>
      </c>
      <c r="H532" t="s">
        <v>814</v>
      </c>
      <c r="I532" s="1">
        <v>39855.458333333336</v>
      </c>
      <c r="J532">
        <v>51.4166667</v>
      </c>
      <c r="K532">
        <v>0.1166667</v>
      </c>
    </row>
    <row r="533" spans="1:11" x14ac:dyDescent="0.45">
      <c r="A533" s="1">
        <v>39817.170138888891</v>
      </c>
      <c r="B533" t="s">
        <v>10</v>
      </c>
      <c r="C533">
        <v>1200</v>
      </c>
      <c r="D533" t="s">
        <v>16</v>
      </c>
      <c r="E533" t="s">
        <v>907</v>
      </c>
      <c r="F533" t="s">
        <v>908</v>
      </c>
      <c r="G533" t="s">
        <v>813</v>
      </c>
      <c r="H533" t="s">
        <v>814</v>
      </c>
      <c r="I533" s="1">
        <v>39856.520138888889</v>
      </c>
      <c r="J533">
        <v>51.6666667</v>
      </c>
      <c r="K533">
        <v>-0.4</v>
      </c>
    </row>
    <row r="534" spans="1:11" x14ac:dyDescent="0.45">
      <c r="A534" s="1">
        <v>39832.284722222219</v>
      </c>
      <c r="B534" t="s">
        <v>10</v>
      </c>
      <c r="C534">
        <v>1200</v>
      </c>
      <c r="D534" t="s">
        <v>11</v>
      </c>
      <c r="E534" t="s">
        <v>909</v>
      </c>
      <c r="F534" t="s">
        <v>910</v>
      </c>
      <c r="G534" t="s">
        <v>813</v>
      </c>
      <c r="H534" t="s">
        <v>814</v>
      </c>
      <c r="I534" s="1">
        <v>39857.185416666667</v>
      </c>
      <c r="J534">
        <v>50.233333299999998</v>
      </c>
      <c r="K534">
        <v>-5.2333333</v>
      </c>
    </row>
    <row r="535" spans="1:11" x14ac:dyDescent="0.45">
      <c r="A535" s="1">
        <v>39826.566666666666</v>
      </c>
      <c r="B535" t="s">
        <v>10</v>
      </c>
      <c r="C535">
        <v>1200</v>
      </c>
      <c r="D535" t="s">
        <v>11</v>
      </c>
      <c r="E535" t="s">
        <v>911</v>
      </c>
      <c r="F535" t="s">
        <v>816</v>
      </c>
      <c r="G535" t="s">
        <v>813</v>
      </c>
      <c r="H535" t="s">
        <v>814</v>
      </c>
      <c r="I535" s="1">
        <v>39857.27847222222</v>
      </c>
      <c r="J535">
        <v>51.527209999999997</v>
      </c>
      <c r="K535">
        <v>0.14559</v>
      </c>
    </row>
    <row r="536" spans="1:11" x14ac:dyDescent="0.45">
      <c r="A536" s="1">
        <v>39833.245138888888</v>
      </c>
      <c r="B536" t="s">
        <v>10</v>
      </c>
      <c r="C536">
        <v>1200</v>
      </c>
      <c r="D536" t="s">
        <v>16</v>
      </c>
      <c r="E536" t="s">
        <v>912</v>
      </c>
      <c r="F536" t="s">
        <v>894</v>
      </c>
      <c r="G536" t="s">
        <v>813</v>
      </c>
      <c r="H536" t="s">
        <v>814</v>
      </c>
      <c r="I536" s="1">
        <v>39857.59375</v>
      </c>
      <c r="J536">
        <v>51.75</v>
      </c>
      <c r="K536">
        <v>-1.25</v>
      </c>
    </row>
    <row r="537" spans="1:11" x14ac:dyDescent="0.45">
      <c r="A537" s="1">
        <v>39822.621527777781</v>
      </c>
      <c r="B537" t="s">
        <v>10</v>
      </c>
      <c r="C537">
        <v>1200</v>
      </c>
      <c r="D537" t="s">
        <v>11</v>
      </c>
      <c r="E537" t="s">
        <v>606</v>
      </c>
      <c r="F537" t="s">
        <v>913</v>
      </c>
      <c r="G537" t="s">
        <v>813</v>
      </c>
      <c r="H537" t="s">
        <v>814</v>
      </c>
      <c r="I537" s="1">
        <v>39858.310416666667</v>
      </c>
      <c r="J537">
        <v>52.05</v>
      </c>
      <c r="K537">
        <v>-1.3333333000000001</v>
      </c>
    </row>
    <row r="538" spans="1:11" x14ac:dyDescent="0.45">
      <c r="A538" s="1">
        <v>39840.138194444444</v>
      </c>
      <c r="B538" t="s">
        <v>10</v>
      </c>
      <c r="C538">
        <v>1200</v>
      </c>
      <c r="D538" t="s">
        <v>16</v>
      </c>
      <c r="E538" t="s">
        <v>914</v>
      </c>
      <c r="F538" t="s">
        <v>915</v>
      </c>
      <c r="G538" t="s">
        <v>813</v>
      </c>
      <c r="H538" t="s">
        <v>814</v>
      </c>
      <c r="I538" s="1">
        <v>39858.565972222219</v>
      </c>
      <c r="J538">
        <v>51.266666700000002</v>
      </c>
      <c r="K538">
        <v>1.0833333000000001</v>
      </c>
    </row>
    <row r="539" spans="1:11" x14ac:dyDescent="0.45">
      <c r="A539" s="1">
        <v>39835.23541666667</v>
      </c>
      <c r="B539" t="s">
        <v>20</v>
      </c>
      <c r="C539">
        <v>100000</v>
      </c>
      <c r="D539" t="s">
        <v>11</v>
      </c>
      <c r="E539" t="s">
        <v>916</v>
      </c>
      <c r="F539" t="s">
        <v>917</v>
      </c>
      <c r="G539" t="s">
        <v>918</v>
      </c>
      <c r="H539" t="s">
        <v>814</v>
      </c>
      <c r="I539" s="1">
        <v>39859.356944444444</v>
      </c>
      <c r="J539">
        <v>51.633333299999997</v>
      </c>
      <c r="K539">
        <v>-4.0999999999999996</v>
      </c>
    </row>
    <row r="540" spans="1:11" x14ac:dyDescent="0.45">
      <c r="A540" s="1">
        <v>39835.408333333333</v>
      </c>
      <c r="B540" t="s">
        <v>20</v>
      </c>
      <c r="C540">
        <v>100000</v>
      </c>
      <c r="D540" t="s">
        <v>16</v>
      </c>
      <c r="E540" t="s">
        <v>919</v>
      </c>
      <c r="F540" t="s">
        <v>920</v>
      </c>
      <c r="G540" t="s">
        <v>813</v>
      </c>
      <c r="H540" t="s">
        <v>814</v>
      </c>
      <c r="I540" s="1">
        <v>39859.566666666666</v>
      </c>
      <c r="J540">
        <v>51.133333299999997</v>
      </c>
      <c r="K540">
        <v>0.28333330000000001</v>
      </c>
    </row>
    <row r="541" spans="1:11" x14ac:dyDescent="0.45">
      <c r="A541" s="1">
        <v>39815.293749999997</v>
      </c>
      <c r="B541" t="s">
        <v>10</v>
      </c>
      <c r="C541">
        <v>1200</v>
      </c>
      <c r="D541" t="s">
        <v>11</v>
      </c>
      <c r="E541" t="s">
        <v>921</v>
      </c>
      <c r="F541" t="s">
        <v>816</v>
      </c>
      <c r="G541" t="s">
        <v>813</v>
      </c>
      <c r="H541" t="s">
        <v>814</v>
      </c>
      <c r="I541" s="1">
        <v>39859.669444444444</v>
      </c>
      <c r="J541">
        <v>51.527209999999997</v>
      </c>
      <c r="K541">
        <v>0.14559</v>
      </c>
    </row>
    <row r="542" spans="1:11" x14ac:dyDescent="0.45">
      <c r="A542" s="1">
        <v>39815.231249999997</v>
      </c>
      <c r="B542" t="s">
        <v>10</v>
      </c>
      <c r="C542">
        <v>1200</v>
      </c>
      <c r="D542" t="s">
        <v>11</v>
      </c>
      <c r="E542" t="s">
        <v>922</v>
      </c>
      <c r="F542" t="s">
        <v>838</v>
      </c>
      <c r="G542" t="s">
        <v>839</v>
      </c>
      <c r="H542" t="s">
        <v>814</v>
      </c>
      <c r="I542" s="1">
        <v>39860.466666666667</v>
      </c>
      <c r="J542">
        <v>57.133333299999997</v>
      </c>
      <c r="K542">
        <v>-2.1</v>
      </c>
    </row>
    <row r="543" spans="1:11" x14ac:dyDescent="0.45">
      <c r="A543" s="1">
        <v>39838.311805555553</v>
      </c>
      <c r="B543" t="s">
        <v>10</v>
      </c>
      <c r="C543">
        <v>1200</v>
      </c>
      <c r="D543" t="s">
        <v>16</v>
      </c>
      <c r="E543" t="s">
        <v>923</v>
      </c>
      <c r="F543" t="s">
        <v>924</v>
      </c>
      <c r="G543" t="s">
        <v>813</v>
      </c>
      <c r="H543" t="s">
        <v>814</v>
      </c>
      <c r="I543" s="1">
        <v>39861.125</v>
      </c>
      <c r="J543">
        <v>52.2</v>
      </c>
      <c r="K543">
        <v>-2.2000000000000002</v>
      </c>
    </row>
    <row r="544" spans="1:11" x14ac:dyDescent="0.45">
      <c r="A544" s="1">
        <v>39842.991666666669</v>
      </c>
      <c r="B544" t="s">
        <v>10</v>
      </c>
      <c r="C544">
        <v>1200</v>
      </c>
      <c r="D544" t="s">
        <v>11</v>
      </c>
      <c r="E544" t="s">
        <v>538</v>
      </c>
      <c r="F544" t="s">
        <v>925</v>
      </c>
      <c r="G544" t="s">
        <v>813</v>
      </c>
      <c r="H544" t="s">
        <v>814</v>
      </c>
      <c r="I544" s="1">
        <v>39861.240972222222</v>
      </c>
      <c r="J544">
        <v>52.633333299999997</v>
      </c>
      <c r="K544">
        <v>-1.1333333000000001</v>
      </c>
    </row>
    <row r="545" spans="1:11" x14ac:dyDescent="0.45">
      <c r="A545" s="1">
        <v>39824.19027777778</v>
      </c>
      <c r="B545" t="s">
        <v>10</v>
      </c>
      <c r="C545">
        <v>1200</v>
      </c>
      <c r="D545" t="s">
        <v>11</v>
      </c>
      <c r="E545" t="s">
        <v>926</v>
      </c>
      <c r="F545" t="s">
        <v>927</v>
      </c>
      <c r="G545" t="s">
        <v>813</v>
      </c>
      <c r="H545" t="s">
        <v>814</v>
      </c>
      <c r="I545" s="1">
        <v>39863.901388888888</v>
      </c>
      <c r="J545">
        <v>51.6</v>
      </c>
      <c r="K545">
        <v>-0.55000000000000004</v>
      </c>
    </row>
    <row r="546" spans="1:11" x14ac:dyDescent="0.45">
      <c r="A546" s="1">
        <v>39830.277083333334</v>
      </c>
      <c r="B546" t="s">
        <v>10</v>
      </c>
      <c r="C546">
        <v>1200</v>
      </c>
      <c r="D546" t="s">
        <v>16</v>
      </c>
      <c r="E546" t="s">
        <v>928</v>
      </c>
      <c r="F546" t="s">
        <v>519</v>
      </c>
      <c r="G546" t="s">
        <v>813</v>
      </c>
      <c r="H546" t="s">
        <v>814</v>
      </c>
      <c r="I546" s="1">
        <v>39863.979166666664</v>
      </c>
      <c r="J546">
        <v>52.466666699999998</v>
      </c>
      <c r="K546">
        <v>-1.9166666999999999</v>
      </c>
    </row>
    <row r="547" spans="1:11" x14ac:dyDescent="0.45">
      <c r="A547" s="1">
        <v>39838.366666666669</v>
      </c>
      <c r="B547" t="s">
        <v>10</v>
      </c>
      <c r="C547">
        <v>1200</v>
      </c>
      <c r="D547" t="s">
        <v>16</v>
      </c>
      <c r="E547" t="s">
        <v>929</v>
      </c>
      <c r="F547" t="s">
        <v>894</v>
      </c>
      <c r="G547" t="s">
        <v>813</v>
      </c>
      <c r="H547" t="s">
        <v>814</v>
      </c>
      <c r="I547" s="1">
        <v>39865.066666666666</v>
      </c>
      <c r="J547">
        <v>51.75</v>
      </c>
      <c r="K547">
        <v>-1.25</v>
      </c>
    </row>
    <row r="548" spans="1:11" x14ac:dyDescent="0.45">
      <c r="A548" s="1">
        <v>39837.568055555559</v>
      </c>
      <c r="B548" t="s">
        <v>10</v>
      </c>
      <c r="C548">
        <v>1200</v>
      </c>
      <c r="D548" t="s">
        <v>16</v>
      </c>
      <c r="E548" t="s">
        <v>253</v>
      </c>
      <c r="F548" t="s">
        <v>930</v>
      </c>
      <c r="G548" t="s">
        <v>813</v>
      </c>
      <c r="H548" t="s">
        <v>814</v>
      </c>
      <c r="I548" s="1">
        <v>39866</v>
      </c>
      <c r="J548">
        <v>52.383333299999997</v>
      </c>
      <c r="K548">
        <v>-2.25</v>
      </c>
    </row>
    <row r="549" spans="1:11" x14ac:dyDescent="0.45">
      <c r="A549" s="1">
        <v>39825.570138888892</v>
      </c>
      <c r="B549" t="s">
        <v>10</v>
      </c>
      <c r="C549">
        <v>1200</v>
      </c>
      <c r="D549" t="s">
        <v>63</v>
      </c>
      <c r="E549" t="s">
        <v>931</v>
      </c>
      <c r="F549" t="s">
        <v>932</v>
      </c>
      <c r="G549" t="s">
        <v>813</v>
      </c>
      <c r="H549" t="s">
        <v>814</v>
      </c>
      <c r="I549" s="1">
        <v>39866.160416666666</v>
      </c>
      <c r="J549">
        <v>51.35</v>
      </c>
      <c r="K549">
        <v>-0.35</v>
      </c>
    </row>
    <row r="550" spans="1:11" x14ac:dyDescent="0.45">
      <c r="A550" s="1">
        <v>39844.300694444442</v>
      </c>
      <c r="B550" t="s">
        <v>10</v>
      </c>
      <c r="C550">
        <v>1200</v>
      </c>
      <c r="D550" t="s">
        <v>63</v>
      </c>
      <c r="E550" t="s">
        <v>36</v>
      </c>
      <c r="F550" t="s">
        <v>816</v>
      </c>
      <c r="G550" t="s">
        <v>813</v>
      </c>
      <c r="H550" t="s">
        <v>814</v>
      </c>
      <c r="I550" s="1">
        <v>39866.300000000003</v>
      </c>
      <c r="J550">
        <v>51.527209999999997</v>
      </c>
      <c r="K550">
        <v>0.14559</v>
      </c>
    </row>
    <row r="551" spans="1:11" x14ac:dyDescent="0.45">
      <c r="A551" s="1">
        <v>39834.088194444441</v>
      </c>
      <c r="B551" t="s">
        <v>10</v>
      </c>
      <c r="C551">
        <v>1200</v>
      </c>
      <c r="D551" t="s">
        <v>16</v>
      </c>
      <c r="E551" t="s">
        <v>933</v>
      </c>
      <c r="F551" t="s">
        <v>934</v>
      </c>
      <c r="G551" t="s">
        <v>813</v>
      </c>
      <c r="H551" t="s">
        <v>814</v>
      </c>
      <c r="I551" s="1">
        <v>39868.145138888889</v>
      </c>
      <c r="J551">
        <v>50.8333333</v>
      </c>
      <c r="K551">
        <v>-0.78333330000000001</v>
      </c>
    </row>
    <row r="552" spans="1:11" x14ac:dyDescent="0.45">
      <c r="A552" s="1">
        <v>39817.602083333331</v>
      </c>
      <c r="B552" t="s">
        <v>10</v>
      </c>
      <c r="C552">
        <v>1200</v>
      </c>
      <c r="D552" t="s">
        <v>11</v>
      </c>
      <c r="E552" t="s">
        <v>935</v>
      </c>
      <c r="F552" t="s">
        <v>936</v>
      </c>
      <c r="G552" t="s">
        <v>918</v>
      </c>
      <c r="H552" t="s">
        <v>814</v>
      </c>
      <c r="I552" s="1">
        <v>39868.3125</v>
      </c>
      <c r="J552">
        <v>51.5</v>
      </c>
      <c r="K552">
        <v>-3.2</v>
      </c>
    </row>
    <row r="553" spans="1:11" x14ac:dyDescent="0.45">
      <c r="A553" s="1">
        <v>39818.635416666664</v>
      </c>
      <c r="B553" t="s">
        <v>10</v>
      </c>
      <c r="C553">
        <v>1200</v>
      </c>
      <c r="D553" t="s">
        <v>63</v>
      </c>
      <c r="E553" t="s">
        <v>143</v>
      </c>
      <c r="F553" t="s">
        <v>937</v>
      </c>
      <c r="G553" t="s">
        <v>813</v>
      </c>
      <c r="H553" t="s">
        <v>814</v>
      </c>
      <c r="I553" s="1">
        <v>39868.440972222219</v>
      </c>
      <c r="J553">
        <v>51.133333299999997</v>
      </c>
      <c r="K553">
        <v>0.88333329999999999</v>
      </c>
    </row>
    <row r="554" spans="1:11" x14ac:dyDescent="0.45">
      <c r="A554" s="1">
        <v>39838.393750000003</v>
      </c>
      <c r="B554" t="s">
        <v>10</v>
      </c>
      <c r="C554">
        <v>1200</v>
      </c>
      <c r="D554" t="s">
        <v>11</v>
      </c>
      <c r="E554" t="s">
        <v>938</v>
      </c>
      <c r="F554" t="s">
        <v>816</v>
      </c>
      <c r="G554" t="s">
        <v>813</v>
      </c>
      <c r="H554" t="s">
        <v>814</v>
      </c>
      <c r="I554" s="1">
        <v>39868.567361111112</v>
      </c>
      <c r="J554">
        <v>51.527209999999997</v>
      </c>
      <c r="K554">
        <v>0.14559</v>
      </c>
    </row>
    <row r="555" spans="1:11" x14ac:dyDescent="0.45">
      <c r="A555" s="1">
        <v>39820.412499999999</v>
      </c>
      <c r="B555" t="s">
        <v>10</v>
      </c>
      <c r="C555">
        <v>1200</v>
      </c>
      <c r="D555" t="s">
        <v>11</v>
      </c>
      <c r="E555" t="s">
        <v>755</v>
      </c>
      <c r="F555" t="s">
        <v>937</v>
      </c>
      <c r="G555" t="s">
        <v>813</v>
      </c>
      <c r="H555" t="s">
        <v>814</v>
      </c>
      <c r="I555" s="1">
        <v>39869.429166666669</v>
      </c>
      <c r="J555">
        <v>51.1</v>
      </c>
      <c r="K555">
        <v>-4.0999999999999996</v>
      </c>
    </row>
    <row r="556" spans="1:11" x14ac:dyDescent="0.45">
      <c r="A556" s="1">
        <v>39828.489583333336</v>
      </c>
      <c r="B556" t="s">
        <v>10</v>
      </c>
      <c r="C556">
        <v>1200</v>
      </c>
      <c r="D556" t="s">
        <v>16</v>
      </c>
      <c r="E556" t="s">
        <v>308</v>
      </c>
      <c r="F556" t="s">
        <v>908</v>
      </c>
      <c r="G556" t="s">
        <v>813</v>
      </c>
      <c r="H556" t="s">
        <v>814</v>
      </c>
      <c r="I556" s="1">
        <v>39869.63958333333</v>
      </c>
      <c r="J556">
        <v>51.6666667</v>
      </c>
      <c r="K556">
        <v>-0.4</v>
      </c>
    </row>
    <row r="557" spans="1:11" x14ac:dyDescent="0.45">
      <c r="A557" s="1">
        <v>39832.24722222222</v>
      </c>
      <c r="B557" t="s">
        <v>10</v>
      </c>
      <c r="C557">
        <v>1200</v>
      </c>
      <c r="D557" t="s">
        <v>11</v>
      </c>
      <c r="E557" t="s">
        <v>726</v>
      </c>
      <c r="F557" t="s">
        <v>846</v>
      </c>
      <c r="G557" t="s">
        <v>839</v>
      </c>
      <c r="H557" t="s">
        <v>814</v>
      </c>
      <c r="I557" s="1">
        <v>39871.607638888891</v>
      </c>
      <c r="J557">
        <v>55.95</v>
      </c>
      <c r="K557">
        <v>-3.2</v>
      </c>
    </row>
    <row r="558" spans="1:11" x14ac:dyDescent="0.45">
      <c r="A558" s="1">
        <v>39817.394444444442</v>
      </c>
      <c r="B558" t="s">
        <v>10</v>
      </c>
      <c r="C558">
        <v>1200</v>
      </c>
      <c r="D558" t="s">
        <v>11</v>
      </c>
      <c r="E558" t="s">
        <v>939</v>
      </c>
      <c r="F558" t="s">
        <v>940</v>
      </c>
      <c r="G558" t="s">
        <v>813</v>
      </c>
      <c r="H558" t="s">
        <v>814</v>
      </c>
      <c r="I558" s="1">
        <v>39872.102777777778</v>
      </c>
      <c r="J558">
        <v>51.266666700000002</v>
      </c>
      <c r="K558">
        <v>0.51666670000000003</v>
      </c>
    </row>
    <row r="559" spans="1:11" x14ac:dyDescent="0.45">
      <c r="A559" s="1">
        <v>39815.19027777778</v>
      </c>
      <c r="B559" t="s">
        <v>10</v>
      </c>
      <c r="C559">
        <v>1200</v>
      </c>
      <c r="D559" t="s">
        <v>11</v>
      </c>
      <c r="E559" t="s">
        <v>941</v>
      </c>
      <c r="F559" t="s">
        <v>942</v>
      </c>
      <c r="G559" t="s">
        <v>813</v>
      </c>
      <c r="H559" t="s">
        <v>814</v>
      </c>
      <c r="I559" s="1">
        <v>39872.154861111114</v>
      </c>
      <c r="J559">
        <v>51.75</v>
      </c>
      <c r="K559">
        <v>-0.3333333</v>
      </c>
    </row>
    <row r="560" spans="1:11" x14ac:dyDescent="0.45">
      <c r="A560" s="1">
        <v>39840.122916666667</v>
      </c>
      <c r="B560" t="s">
        <v>10</v>
      </c>
      <c r="C560">
        <v>1200</v>
      </c>
      <c r="D560" t="s">
        <v>11</v>
      </c>
      <c r="E560" t="s">
        <v>278</v>
      </c>
      <c r="F560" t="s">
        <v>943</v>
      </c>
      <c r="G560" t="s">
        <v>813</v>
      </c>
      <c r="H560" t="s">
        <v>814</v>
      </c>
      <c r="I560" s="1">
        <v>39872.390277777777</v>
      </c>
      <c r="J560">
        <v>51.383333299999997</v>
      </c>
      <c r="K560">
        <v>0.4</v>
      </c>
    </row>
    <row r="561" spans="1:11" x14ac:dyDescent="0.45">
      <c r="A561" s="1">
        <v>39832.204861111109</v>
      </c>
      <c r="B561" t="s">
        <v>10</v>
      </c>
      <c r="C561">
        <v>1200</v>
      </c>
      <c r="D561" t="s">
        <v>11</v>
      </c>
      <c r="E561" t="s">
        <v>944</v>
      </c>
      <c r="F561" t="s">
        <v>945</v>
      </c>
      <c r="G561" t="s">
        <v>813</v>
      </c>
      <c r="H561" t="s">
        <v>814</v>
      </c>
      <c r="I561" s="1">
        <v>39872.42083333333</v>
      </c>
      <c r="J561">
        <v>50.8333333</v>
      </c>
      <c r="K561">
        <v>-0.15</v>
      </c>
    </row>
    <row r="562" spans="1:11" x14ac:dyDescent="0.45">
      <c r="A562" s="1">
        <v>39833.445833333331</v>
      </c>
      <c r="B562" t="s">
        <v>20</v>
      </c>
      <c r="C562">
        <v>100000</v>
      </c>
      <c r="D562" t="s">
        <v>16</v>
      </c>
      <c r="E562" t="s">
        <v>946</v>
      </c>
      <c r="F562" t="s">
        <v>947</v>
      </c>
      <c r="G562" t="s">
        <v>813</v>
      </c>
      <c r="H562" t="s">
        <v>814</v>
      </c>
      <c r="I562" s="1">
        <v>39873.145138888889</v>
      </c>
      <c r="J562">
        <v>53.65</v>
      </c>
      <c r="K562">
        <v>-1.7833333</v>
      </c>
    </row>
    <row r="563" spans="1:11" x14ac:dyDescent="0.45">
      <c r="A563" s="1">
        <v>39835.600694444445</v>
      </c>
      <c r="B563" t="s">
        <v>10</v>
      </c>
      <c r="C563">
        <v>1200</v>
      </c>
      <c r="D563" t="s">
        <v>11</v>
      </c>
      <c r="E563" t="s">
        <v>948</v>
      </c>
      <c r="F563" t="s">
        <v>949</v>
      </c>
      <c r="G563" t="s">
        <v>829</v>
      </c>
      <c r="H563" t="s">
        <v>814</v>
      </c>
      <c r="I563" s="1">
        <v>39873.150694444441</v>
      </c>
      <c r="J563">
        <v>54.5833333</v>
      </c>
      <c r="K563">
        <v>-5.9333333000000001</v>
      </c>
    </row>
    <row r="564" spans="1:11" x14ac:dyDescent="0.45">
      <c r="A564" s="1">
        <v>39821.496527777781</v>
      </c>
      <c r="B564" t="s">
        <v>10</v>
      </c>
      <c r="C564">
        <v>1200</v>
      </c>
      <c r="D564" t="s">
        <v>16</v>
      </c>
      <c r="E564" t="s">
        <v>950</v>
      </c>
      <c r="F564" t="s">
        <v>951</v>
      </c>
      <c r="G564" t="s">
        <v>813</v>
      </c>
      <c r="H564" t="s">
        <v>814</v>
      </c>
      <c r="I564" s="1">
        <v>39873.311111111114</v>
      </c>
      <c r="J564">
        <v>52.0833333</v>
      </c>
      <c r="K564">
        <v>0.43333329999999998</v>
      </c>
    </row>
    <row r="565" spans="1:11" x14ac:dyDescent="0.45">
      <c r="A565" s="1">
        <v>39827.47152777778</v>
      </c>
      <c r="B565" t="s">
        <v>10</v>
      </c>
      <c r="C565">
        <v>1200</v>
      </c>
      <c r="D565" t="s">
        <v>11</v>
      </c>
      <c r="E565" t="s">
        <v>260</v>
      </c>
      <c r="F565" t="s">
        <v>952</v>
      </c>
      <c r="G565" t="s">
        <v>953</v>
      </c>
      <c r="H565" t="s">
        <v>954</v>
      </c>
      <c r="I565" s="1">
        <v>39827.893055555556</v>
      </c>
      <c r="J565">
        <v>25.209722200000002</v>
      </c>
      <c r="K565">
        <v>55.247777800000001</v>
      </c>
    </row>
    <row r="566" spans="1:11" x14ac:dyDescent="0.45">
      <c r="A566" s="1">
        <v>39830.40902777778</v>
      </c>
      <c r="B566" t="s">
        <v>10</v>
      </c>
      <c r="C566">
        <v>1200</v>
      </c>
      <c r="D566" t="s">
        <v>16</v>
      </c>
      <c r="E566" t="s">
        <v>955</v>
      </c>
      <c r="F566" t="s">
        <v>956</v>
      </c>
      <c r="G566" t="s">
        <v>957</v>
      </c>
      <c r="H566" t="s">
        <v>954</v>
      </c>
      <c r="I566" s="1">
        <v>39843.364583333336</v>
      </c>
      <c r="J566">
        <v>24.466666700000001</v>
      </c>
      <c r="K566">
        <v>54.366666700000003</v>
      </c>
    </row>
    <row r="567" spans="1:11" x14ac:dyDescent="0.45">
      <c r="A567" s="1">
        <v>39823.329861111109</v>
      </c>
      <c r="B567" t="s">
        <v>10</v>
      </c>
      <c r="C567">
        <v>1200</v>
      </c>
      <c r="D567" t="s">
        <v>11</v>
      </c>
      <c r="E567" t="s">
        <v>418</v>
      </c>
      <c r="F567" t="s">
        <v>952</v>
      </c>
      <c r="G567" t="s">
        <v>953</v>
      </c>
      <c r="H567" t="s">
        <v>954</v>
      </c>
      <c r="I567" s="1">
        <v>39845.429166666669</v>
      </c>
      <c r="J567">
        <v>25.209722200000002</v>
      </c>
      <c r="K567">
        <v>55.247777800000001</v>
      </c>
    </row>
    <row r="568" spans="1:11" x14ac:dyDescent="0.45">
      <c r="A568" s="1">
        <v>39838.115277777775</v>
      </c>
      <c r="B568" t="s">
        <v>20</v>
      </c>
      <c r="C568">
        <v>100000</v>
      </c>
      <c r="D568" t="s">
        <v>11</v>
      </c>
      <c r="E568" t="s">
        <v>55</v>
      </c>
      <c r="F568" t="s">
        <v>958</v>
      </c>
      <c r="G568" t="s">
        <v>953</v>
      </c>
      <c r="H568" t="s">
        <v>954</v>
      </c>
      <c r="I568" s="1">
        <v>39852.087500000001</v>
      </c>
      <c r="J568">
        <v>25.252222199999999</v>
      </c>
      <c r="K568">
        <v>55.28</v>
      </c>
    </row>
    <row r="569" spans="1:11" x14ac:dyDescent="0.45">
      <c r="A569" s="1">
        <v>39830.865277777775</v>
      </c>
      <c r="B569" t="s">
        <v>20</v>
      </c>
      <c r="C569">
        <v>100000</v>
      </c>
      <c r="D569" t="s">
        <v>11</v>
      </c>
      <c r="E569" t="s">
        <v>959</v>
      </c>
      <c r="F569" t="s">
        <v>958</v>
      </c>
      <c r="G569" t="s">
        <v>953</v>
      </c>
      <c r="H569" t="s">
        <v>954</v>
      </c>
      <c r="I569" s="1">
        <v>39852.091666666667</v>
      </c>
      <c r="J569">
        <v>25.252222199999999</v>
      </c>
      <c r="K569">
        <v>55.28</v>
      </c>
    </row>
    <row r="570" spans="1:11" x14ac:dyDescent="0.45">
      <c r="A570" s="1">
        <v>39833.839583333334</v>
      </c>
      <c r="B570" t="s">
        <v>10</v>
      </c>
      <c r="C570">
        <v>1200</v>
      </c>
      <c r="D570" t="s">
        <v>11</v>
      </c>
      <c r="E570" t="s">
        <v>960</v>
      </c>
      <c r="F570" t="s">
        <v>958</v>
      </c>
      <c r="G570" t="s">
        <v>953</v>
      </c>
      <c r="H570" t="s">
        <v>954</v>
      </c>
      <c r="I570" s="1">
        <v>39867.292361111111</v>
      </c>
      <c r="J570">
        <v>25.252222199999999</v>
      </c>
      <c r="K570">
        <v>55.28</v>
      </c>
    </row>
    <row r="571" spans="1:11" x14ac:dyDescent="0.45">
      <c r="A571" s="1">
        <v>39824.285416666666</v>
      </c>
      <c r="B571" t="s">
        <v>10</v>
      </c>
      <c r="C571">
        <v>1200</v>
      </c>
      <c r="D571" t="s">
        <v>11</v>
      </c>
      <c r="E571" t="s">
        <v>961</v>
      </c>
      <c r="F571" t="s">
        <v>962</v>
      </c>
      <c r="G571" t="s">
        <v>963</v>
      </c>
      <c r="H571" t="s">
        <v>964</v>
      </c>
      <c r="I571" s="1">
        <v>39864.156944444447</v>
      </c>
      <c r="J571">
        <v>50.516666700000002</v>
      </c>
      <c r="K571">
        <v>30.25</v>
      </c>
    </row>
    <row r="572" spans="1:11" x14ac:dyDescent="0.45">
      <c r="A572" s="1">
        <v>39815.034722222219</v>
      </c>
      <c r="B572" t="s">
        <v>10</v>
      </c>
      <c r="C572">
        <v>1200</v>
      </c>
      <c r="D572" t="s">
        <v>11</v>
      </c>
      <c r="E572" t="s">
        <v>965</v>
      </c>
      <c r="F572" t="s">
        <v>966</v>
      </c>
      <c r="G572" t="s">
        <v>967</v>
      </c>
      <c r="H572" t="s">
        <v>968</v>
      </c>
      <c r="I572" s="1">
        <v>39830.081250000003</v>
      </c>
      <c r="J572">
        <v>40.616666700000003</v>
      </c>
      <c r="K572">
        <v>29.066666699999999</v>
      </c>
    </row>
    <row r="573" spans="1:11" x14ac:dyDescent="0.45">
      <c r="A573" s="1">
        <v>39816.412499999999</v>
      </c>
      <c r="B573" t="s">
        <v>10</v>
      </c>
      <c r="C573">
        <v>1200</v>
      </c>
      <c r="D573" t="s">
        <v>11</v>
      </c>
      <c r="E573" t="s">
        <v>75</v>
      </c>
      <c r="F573" t="s">
        <v>969</v>
      </c>
      <c r="G573" t="s">
        <v>967</v>
      </c>
      <c r="H573" t="s">
        <v>968</v>
      </c>
      <c r="I573" s="1">
        <v>39832.317361111112</v>
      </c>
      <c r="J573">
        <v>41.198055600000004</v>
      </c>
      <c r="K573">
        <v>29.0302778</v>
      </c>
    </row>
    <row r="574" spans="1:11" x14ac:dyDescent="0.45">
      <c r="A574" s="1">
        <v>39821.958333333336</v>
      </c>
      <c r="B574" t="s">
        <v>10</v>
      </c>
      <c r="C574">
        <v>1200</v>
      </c>
      <c r="D574" t="s">
        <v>11</v>
      </c>
      <c r="E574" t="s">
        <v>970</v>
      </c>
      <c r="F574" t="s">
        <v>971</v>
      </c>
      <c r="G574" t="s">
        <v>967</v>
      </c>
      <c r="H574" t="s">
        <v>968</v>
      </c>
      <c r="I574" s="1">
        <v>39861.061805555553</v>
      </c>
      <c r="J574">
        <v>41.159444399999998</v>
      </c>
      <c r="K574">
        <v>28.912777800000001</v>
      </c>
    </row>
    <row r="575" spans="1:11" x14ac:dyDescent="0.45">
      <c r="A575" s="1">
        <v>39835.094444444447</v>
      </c>
      <c r="B575" t="s">
        <v>10</v>
      </c>
      <c r="C575">
        <v>1200</v>
      </c>
      <c r="D575" t="s">
        <v>11</v>
      </c>
      <c r="E575" t="s">
        <v>972</v>
      </c>
      <c r="F575" t="s">
        <v>973</v>
      </c>
      <c r="G575" t="s">
        <v>967</v>
      </c>
      <c r="H575" t="s">
        <v>968</v>
      </c>
      <c r="I575" s="1">
        <v>39862.018750000003</v>
      </c>
      <c r="J575">
        <v>41.1438889</v>
      </c>
      <c r="K575">
        <v>29.090555599999998</v>
      </c>
    </row>
    <row r="576" spans="1:11" x14ac:dyDescent="0.45">
      <c r="A576" s="1">
        <v>39834.526388888888</v>
      </c>
      <c r="B576" t="s">
        <v>10</v>
      </c>
      <c r="C576">
        <v>1200</v>
      </c>
      <c r="D576" t="s">
        <v>11</v>
      </c>
      <c r="E576" t="s">
        <v>974</v>
      </c>
      <c r="F576" t="s">
        <v>967</v>
      </c>
      <c r="G576" t="s">
        <v>967</v>
      </c>
      <c r="H576" t="s">
        <v>968</v>
      </c>
      <c r="I576" s="1">
        <v>39865.579861111109</v>
      </c>
      <c r="J576">
        <v>41.018611100000001</v>
      </c>
      <c r="K576">
        <v>28.964722200000001</v>
      </c>
    </row>
    <row r="577" spans="1:11" x14ac:dyDescent="0.45">
      <c r="A577" s="1">
        <v>39820.554861111108</v>
      </c>
      <c r="B577" t="s">
        <v>10</v>
      </c>
      <c r="C577">
        <v>1200</v>
      </c>
      <c r="D577" t="s">
        <v>11</v>
      </c>
      <c r="E577" t="s">
        <v>975</v>
      </c>
      <c r="F577" t="s">
        <v>976</v>
      </c>
      <c r="G577" t="s">
        <v>976</v>
      </c>
      <c r="H577" t="s">
        <v>968</v>
      </c>
      <c r="I577" s="1">
        <v>39872.412499999999</v>
      </c>
      <c r="J577">
        <v>38.4072222</v>
      </c>
      <c r="K577">
        <v>27.150277800000001</v>
      </c>
    </row>
    <row r="578" spans="1:11" x14ac:dyDescent="0.45">
      <c r="A578" s="1">
        <v>39840.754166666666</v>
      </c>
      <c r="B578" t="s">
        <v>10</v>
      </c>
      <c r="C578">
        <v>1200</v>
      </c>
      <c r="D578" t="s">
        <v>11</v>
      </c>
      <c r="E578" t="s">
        <v>977</v>
      </c>
      <c r="F578" t="s">
        <v>978</v>
      </c>
      <c r="G578" t="s">
        <v>979</v>
      </c>
      <c r="H578" t="s">
        <v>980</v>
      </c>
      <c r="I578" s="1">
        <v>39856.811111111114</v>
      </c>
      <c r="J578">
        <v>25.05</v>
      </c>
      <c r="K578">
        <v>-77.416666699999993</v>
      </c>
    </row>
    <row r="579" spans="1:11" x14ac:dyDescent="0.45">
      <c r="A579" s="1">
        <v>39828.375</v>
      </c>
      <c r="B579" t="s">
        <v>10</v>
      </c>
      <c r="C579">
        <v>1200</v>
      </c>
      <c r="D579" t="s">
        <v>11</v>
      </c>
      <c r="E579" t="s">
        <v>981</v>
      </c>
      <c r="F579" t="s">
        <v>982</v>
      </c>
      <c r="G579" t="s">
        <v>983</v>
      </c>
      <c r="H579" t="s">
        <v>980</v>
      </c>
      <c r="I579" s="1">
        <v>39858.85833333333</v>
      </c>
      <c r="J579">
        <v>26.533333299999999</v>
      </c>
      <c r="K579">
        <v>-78.7</v>
      </c>
    </row>
    <row r="580" spans="1:11" x14ac:dyDescent="0.45">
      <c r="A580" s="1">
        <v>39821.811805555553</v>
      </c>
      <c r="B580" t="s">
        <v>20</v>
      </c>
      <c r="C580">
        <v>100000</v>
      </c>
      <c r="D580" t="s">
        <v>16</v>
      </c>
      <c r="E580" t="s">
        <v>984</v>
      </c>
      <c r="F580" t="s">
        <v>985</v>
      </c>
      <c r="G580" t="s">
        <v>986</v>
      </c>
      <c r="H580" t="s">
        <v>987</v>
      </c>
      <c r="I580" s="1">
        <v>39849.890277777777</v>
      </c>
      <c r="J580">
        <v>13.9166667</v>
      </c>
      <c r="K580">
        <v>100.8166667</v>
      </c>
    </row>
    <row r="581" spans="1:11" x14ac:dyDescent="0.45">
      <c r="A581" s="1">
        <v>39837.972916666666</v>
      </c>
      <c r="B581" t="s">
        <v>10</v>
      </c>
      <c r="C581">
        <v>1200</v>
      </c>
      <c r="D581" t="s">
        <v>11</v>
      </c>
      <c r="E581" t="s">
        <v>988</v>
      </c>
      <c r="F581" t="s">
        <v>989</v>
      </c>
      <c r="G581" t="s">
        <v>989</v>
      </c>
      <c r="H581" t="s">
        <v>987</v>
      </c>
      <c r="I581" s="1">
        <v>39868.050000000003</v>
      </c>
      <c r="J581">
        <v>7.8833333000000003</v>
      </c>
      <c r="K581">
        <v>98.4</v>
      </c>
    </row>
    <row r="582" spans="1:11" x14ac:dyDescent="0.45">
      <c r="A582" s="1">
        <v>39821.082638888889</v>
      </c>
      <c r="B582" t="s">
        <v>10</v>
      </c>
      <c r="C582">
        <v>1200</v>
      </c>
      <c r="D582" t="s">
        <v>16</v>
      </c>
      <c r="E582" t="s">
        <v>990</v>
      </c>
      <c r="F582" t="s">
        <v>991</v>
      </c>
      <c r="G582" t="s">
        <v>992</v>
      </c>
      <c r="H582" t="s">
        <v>993</v>
      </c>
      <c r="I582" s="1">
        <v>39821.305555555555</v>
      </c>
      <c r="J582">
        <v>46.233333299999998</v>
      </c>
      <c r="K582">
        <v>6.2</v>
      </c>
    </row>
    <row r="583" spans="1:11" x14ac:dyDescent="0.45">
      <c r="A583" s="1">
        <v>39820.008333333331</v>
      </c>
      <c r="B583" t="s">
        <v>20</v>
      </c>
      <c r="C583">
        <v>100000</v>
      </c>
      <c r="D583" t="s">
        <v>16</v>
      </c>
      <c r="E583" t="s">
        <v>994</v>
      </c>
      <c r="F583" t="s">
        <v>995</v>
      </c>
      <c r="G583" t="s">
        <v>996</v>
      </c>
      <c r="H583" t="s">
        <v>993</v>
      </c>
      <c r="I583" s="1">
        <v>39825.288194444445</v>
      </c>
      <c r="J583">
        <v>46.533333300000002</v>
      </c>
      <c r="K583">
        <v>6.6666667000000004</v>
      </c>
    </row>
    <row r="584" spans="1:11" x14ac:dyDescent="0.45">
      <c r="A584" s="1">
        <v>39818.577777777777</v>
      </c>
      <c r="B584" t="s">
        <v>10</v>
      </c>
      <c r="C584">
        <v>1200</v>
      </c>
      <c r="D584" t="s">
        <v>16</v>
      </c>
      <c r="E584" t="s">
        <v>722</v>
      </c>
      <c r="F584" t="s">
        <v>997</v>
      </c>
      <c r="G584" t="s">
        <v>996</v>
      </c>
      <c r="H584" t="s">
        <v>993</v>
      </c>
      <c r="I584" s="1">
        <v>39825.586111111108</v>
      </c>
      <c r="J584">
        <v>46.516666700000002</v>
      </c>
      <c r="K584">
        <v>6.5</v>
      </c>
    </row>
    <row r="585" spans="1:11" x14ac:dyDescent="0.45">
      <c r="A585" s="1">
        <v>39831.270833333336</v>
      </c>
      <c r="B585" t="s">
        <v>10</v>
      </c>
      <c r="C585">
        <v>1200</v>
      </c>
      <c r="D585" t="s">
        <v>11</v>
      </c>
      <c r="E585" t="s">
        <v>998</v>
      </c>
      <c r="F585" t="s">
        <v>999</v>
      </c>
      <c r="G585" t="s">
        <v>1000</v>
      </c>
      <c r="H585" t="s">
        <v>993</v>
      </c>
      <c r="I585" s="1">
        <v>39831.26458333333</v>
      </c>
      <c r="J585">
        <v>47.2</v>
      </c>
      <c r="K585">
        <v>8.75</v>
      </c>
    </row>
    <row r="586" spans="1:11" x14ac:dyDescent="0.45">
      <c r="A586" s="1">
        <v>39827.222222222219</v>
      </c>
      <c r="B586" t="s">
        <v>20</v>
      </c>
      <c r="C586">
        <v>100000</v>
      </c>
      <c r="D586" t="s">
        <v>11</v>
      </c>
      <c r="E586" t="s">
        <v>716</v>
      </c>
      <c r="F586" t="s">
        <v>1001</v>
      </c>
      <c r="G586" t="s">
        <v>1002</v>
      </c>
      <c r="H586" t="s">
        <v>993</v>
      </c>
      <c r="I586" s="1">
        <v>39832.546527777777</v>
      </c>
      <c r="J586">
        <v>47.533333300000002</v>
      </c>
      <c r="K586">
        <v>7.5666666999999999</v>
      </c>
    </row>
    <row r="587" spans="1:11" x14ac:dyDescent="0.45">
      <c r="A587" s="1">
        <v>39818.80972222222</v>
      </c>
      <c r="B587" t="s">
        <v>10</v>
      </c>
      <c r="C587">
        <v>1200</v>
      </c>
      <c r="D587" t="s">
        <v>11</v>
      </c>
      <c r="E587" t="s">
        <v>1003</v>
      </c>
      <c r="F587" t="s">
        <v>1004</v>
      </c>
      <c r="G587" t="s">
        <v>1005</v>
      </c>
      <c r="H587" t="s">
        <v>993</v>
      </c>
      <c r="I587" s="1">
        <v>39843.04583333333</v>
      </c>
      <c r="J587">
        <v>47.3</v>
      </c>
      <c r="K587">
        <v>8.5500000000000007</v>
      </c>
    </row>
    <row r="588" spans="1:11" x14ac:dyDescent="0.45">
      <c r="A588" s="1">
        <v>39814.517361111109</v>
      </c>
      <c r="B588" t="s">
        <v>20</v>
      </c>
      <c r="C588">
        <v>100000</v>
      </c>
      <c r="D588" t="s">
        <v>16</v>
      </c>
      <c r="E588" t="s">
        <v>1006</v>
      </c>
      <c r="F588" t="s">
        <v>1007</v>
      </c>
      <c r="G588" t="s">
        <v>1007</v>
      </c>
      <c r="H588" t="s">
        <v>993</v>
      </c>
      <c r="I588" s="1">
        <v>39844.456944444442</v>
      </c>
      <c r="J588">
        <v>47.1666667</v>
      </c>
      <c r="K588">
        <v>8.5166667</v>
      </c>
    </row>
    <row r="589" spans="1:11" x14ac:dyDescent="0.45">
      <c r="A589" s="1">
        <v>39825.420138888891</v>
      </c>
      <c r="B589" t="s">
        <v>20</v>
      </c>
      <c r="C589">
        <v>100000</v>
      </c>
      <c r="D589" t="s">
        <v>63</v>
      </c>
      <c r="E589" t="s">
        <v>807</v>
      </c>
      <c r="F589" t="s">
        <v>1008</v>
      </c>
      <c r="G589" t="s">
        <v>1009</v>
      </c>
      <c r="H589" t="s">
        <v>993</v>
      </c>
      <c r="I589" s="1">
        <v>39846.219444444447</v>
      </c>
      <c r="J589">
        <v>46.2</v>
      </c>
      <c r="K589">
        <v>9.0166667</v>
      </c>
    </row>
    <row r="590" spans="1:11" x14ac:dyDescent="0.45">
      <c r="A590" s="1">
        <v>39818.352777777778</v>
      </c>
      <c r="B590" t="s">
        <v>10</v>
      </c>
      <c r="C590">
        <v>1200</v>
      </c>
      <c r="D590" t="s">
        <v>11</v>
      </c>
      <c r="E590" t="s">
        <v>1010</v>
      </c>
      <c r="F590" t="s">
        <v>1011</v>
      </c>
      <c r="G590" t="s">
        <v>1005</v>
      </c>
      <c r="H590" t="s">
        <v>993</v>
      </c>
      <c r="I590" s="1">
        <v>39848.957638888889</v>
      </c>
      <c r="J590">
        <v>47.25</v>
      </c>
      <c r="K590">
        <v>8.85</v>
      </c>
    </row>
    <row r="591" spans="1:11" x14ac:dyDescent="0.45">
      <c r="A591" s="1">
        <v>39838.368055555555</v>
      </c>
      <c r="B591" t="s">
        <v>10</v>
      </c>
      <c r="C591">
        <v>1200</v>
      </c>
      <c r="D591" t="s">
        <v>16</v>
      </c>
      <c r="E591" t="s">
        <v>1012</v>
      </c>
      <c r="F591" t="s">
        <v>1005</v>
      </c>
      <c r="G591" t="s">
        <v>1005</v>
      </c>
      <c r="H591" t="s">
        <v>993</v>
      </c>
      <c r="I591" s="1">
        <v>39849.463194444441</v>
      </c>
      <c r="J591">
        <v>47.366666700000003</v>
      </c>
      <c r="K591">
        <v>8.5500000000000007</v>
      </c>
    </row>
    <row r="592" spans="1:11" x14ac:dyDescent="0.45">
      <c r="A592" s="1">
        <v>39818.324305555558</v>
      </c>
      <c r="B592" t="s">
        <v>10</v>
      </c>
      <c r="C592">
        <v>1200</v>
      </c>
      <c r="D592" t="s">
        <v>63</v>
      </c>
      <c r="E592" t="s">
        <v>529</v>
      </c>
      <c r="F592" t="s">
        <v>1013</v>
      </c>
      <c r="G592" t="s">
        <v>992</v>
      </c>
      <c r="H592" t="s">
        <v>993</v>
      </c>
      <c r="I592" s="1">
        <v>39849.635416666664</v>
      </c>
      <c r="J592">
        <v>46.283333300000002</v>
      </c>
      <c r="K592">
        <v>6.1666667000000004</v>
      </c>
    </row>
    <row r="593" spans="1:11" x14ac:dyDescent="0.45">
      <c r="A593" s="1">
        <v>39820.542361111111</v>
      </c>
      <c r="B593" t="s">
        <v>20</v>
      </c>
      <c r="C593">
        <v>100000</v>
      </c>
      <c r="D593" t="s">
        <v>11</v>
      </c>
      <c r="E593" t="s">
        <v>656</v>
      </c>
      <c r="F593" t="s">
        <v>1014</v>
      </c>
      <c r="G593" t="s">
        <v>996</v>
      </c>
      <c r="H593" t="s">
        <v>993</v>
      </c>
      <c r="I593" s="1">
        <v>39850.209722222222</v>
      </c>
      <c r="J593">
        <v>46.4166667</v>
      </c>
      <c r="K593">
        <v>6.2</v>
      </c>
    </row>
    <row r="594" spans="1:11" x14ac:dyDescent="0.45">
      <c r="A594" s="1">
        <v>39837.57916666667</v>
      </c>
      <c r="B594" t="s">
        <v>20</v>
      </c>
      <c r="C594">
        <v>100000</v>
      </c>
      <c r="D594" t="s">
        <v>16</v>
      </c>
      <c r="E594" t="s">
        <v>1015</v>
      </c>
      <c r="F594" t="s">
        <v>1016</v>
      </c>
      <c r="G594" t="s">
        <v>1005</v>
      </c>
      <c r="H594" t="s">
        <v>993</v>
      </c>
      <c r="I594" s="1">
        <v>39854.574305555558</v>
      </c>
      <c r="J594">
        <v>47.45</v>
      </c>
      <c r="K594">
        <v>8.5833332999999996</v>
      </c>
    </row>
    <row r="595" spans="1:11" x14ac:dyDescent="0.45">
      <c r="A595" s="1">
        <v>39827.538194444445</v>
      </c>
      <c r="B595" t="s">
        <v>10</v>
      </c>
      <c r="C595">
        <v>1200</v>
      </c>
      <c r="D595" t="s">
        <v>11</v>
      </c>
      <c r="E595" t="s">
        <v>1017</v>
      </c>
      <c r="F595" t="s">
        <v>1018</v>
      </c>
      <c r="G595" t="s">
        <v>1005</v>
      </c>
      <c r="H595" t="s">
        <v>993</v>
      </c>
      <c r="I595" s="1">
        <v>39855.081944444442</v>
      </c>
      <c r="J595">
        <v>47.433333300000001</v>
      </c>
      <c r="K595">
        <v>8.4666666999999993</v>
      </c>
    </row>
    <row r="596" spans="1:11" x14ac:dyDescent="0.45">
      <c r="A596" s="1">
        <v>39840.547222222223</v>
      </c>
      <c r="B596" t="s">
        <v>10</v>
      </c>
      <c r="C596">
        <v>1200</v>
      </c>
      <c r="D596" t="s">
        <v>16</v>
      </c>
      <c r="E596" t="s">
        <v>133</v>
      </c>
      <c r="F596" t="s">
        <v>992</v>
      </c>
      <c r="G596" t="s">
        <v>992</v>
      </c>
      <c r="H596" t="s">
        <v>993</v>
      </c>
      <c r="I596" s="1">
        <v>39855.09652777778</v>
      </c>
      <c r="J596">
        <v>46.2</v>
      </c>
      <c r="K596">
        <v>6.1666667000000004</v>
      </c>
    </row>
    <row r="597" spans="1:11" x14ac:dyDescent="0.45">
      <c r="A597" s="1">
        <v>39816.565972222219</v>
      </c>
      <c r="B597" t="s">
        <v>10</v>
      </c>
      <c r="C597">
        <v>1200</v>
      </c>
      <c r="D597" t="s">
        <v>16</v>
      </c>
      <c r="E597" t="s">
        <v>1019</v>
      </c>
      <c r="F597" t="s">
        <v>1020</v>
      </c>
      <c r="G597" t="s">
        <v>996</v>
      </c>
      <c r="H597" t="s">
        <v>993</v>
      </c>
      <c r="I597" s="1">
        <v>39856.220138888886</v>
      </c>
      <c r="J597">
        <v>46.483333299999998</v>
      </c>
      <c r="K597">
        <v>6.4</v>
      </c>
    </row>
    <row r="598" spans="1:11" x14ac:dyDescent="0.45">
      <c r="A598" s="1">
        <v>39826.613888888889</v>
      </c>
      <c r="B598" t="s">
        <v>20</v>
      </c>
      <c r="C598">
        <v>100000</v>
      </c>
      <c r="D598" t="s">
        <v>11</v>
      </c>
      <c r="E598" t="s">
        <v>1021</v>
      </c>
      <c r="F598" t="s">
        <v>1005</v>
      </c>
      <c r="G598" t="s">
        <v>1005</v>
      </c>
      <c r="H598" t="s">
        <v>993</v>
      </c>
      <c r="I598" s="1">
        <v>39856.505555555559</v>
      </c>
      <c r="J598">
        <v>47.366666700000003</v>
      </c>
      <c r="K598">
        <v>8.5500000000000007</v>
      </c>
    </row>
    <row r="599" spans="1:11" x14ac:dyDescent="0.45">
      <c r="A599" s="1">
        <v>39837.395833333336</v>
      </c>
      <c r="B599" t="s">
        <v>10</v>
      </c>
      <c r="C599">
        <v>1200</v>
      </c>
      <c r="D599" t="s">
        <v>11</v>
      </c>
      <c r="E599" t="s">
        <v>81</v>
      </c>
      <c r="F599" t="s">
        <v>1022</v>
      </c>
      <c r="G599" t="s">
        <v>1022</v>
      </c>
      <c r="H599" t="s">
        <v>993</v>
      </c>
      <c r="I599" s="1">
        <v>39858.572916666664</v>
      </c>
      <c r="J599">
        <v>47</v>
      </c>
      <c r="K599">
        <v>6.9666667000000002</v>
      </c>
    </row>
    <row r="600" spans="1:11" x14ac:dyDescent="0.45">
      <c r="A600" s="1">
        <v>39841.015277777777</v>
      </c>
      <c r="B600" t="s">
        <v>10</v>
      </c>
      <c r="C600">
        <v>1200</v>
      </c>
      <c r="D600" t="s">
        <v>11</v>
      </c>
      <c r="E600" t="s">
        <v>1023</v>
      </c>
      <c r="F600" t="s">
        <v>1024</v>
      </c>
      <c r="G600" t="s">
        <v>1025</v>
      </c>
      <c r="H600" t="s">
        <v>993</v>
      </c>
      <c r="I600" s="1">
        <v>39859.138888888891</v>
      </c>
      <c r="J600">
        <v>47.566666699999999</v>
      </c>
      <c r="K600">
        <v>7.6</v>
      </c>
    </row>
    <row r="601" spans="1:11" x14ac:dyDescent="0.45">
      <c r="A601" s="1">
        <v>39834.994444444441</v>
      </c>
      <c r="B601" t="s">
        <v>10</v>
      </c>
      <c r="C601">
        <v>1200</v>
      </c>
      <c r="D601" t="s">
        <v>11</v>
      </c>
      <c r="E601" t="s">
        <v>419</v>
      </c>
      <c r="F601" t="s">
        <v>1026</v>
      </c>
      <c r="G601" t="s">
        <v>992</v>
      </c>
      <c r="H601" t="s">
        <v>993</v>
      </c>
      <c r="I601" s="1">
        <v>39859.469444444447</v>
      </c>
      <c r="J601">
        <v>46.1666667</v>
      </c>
      <c r="K601">
        <v>6.1166666999999997</v>
      </c>
    </row>
    <row r="602" spans="1:11" x14ac:dyDescent="0.45">
      <c r="A602" s="1">
        <v>39842.042361111111</v>
      </c>
      <c r="B602" t="s">
        <v>10</v>
      </c>
      <c r="C602">
        <v>1200</v>
      </c>
      <c r="D602" t="s">
        <v>16</v>
      </c>
      <c r="E602" t="s">
        <v>1027</v>
      </c>
      <c r="F602" t="s">
        <v>1028</v>
      </c>
      <c r="G602" t="s">
        <v>996</v>
      </c>
      <c r="H602" t="s">
        <v>993</v>
      </c>
      <c r="I602" s="1">
        <v>39860.214583333334</v>
      </c>
      <c r="J602">
        <v>46.4</v>
      </c>
      <c r="K602">
        <v>6.1833333000000001</v>
      </c>
    </row>
    <row r="603" spans="1:11" x14ac:dyDescent="0.45">
      <c r="A603" s="1">
        <v>39840.15625</v>
      </c>
      <c r="B603" t="s">
        <v>20</v>
      </c>
      <c r="C603">
        <v>100000</v>
      </c>
      <c r="D603" t="s">
        <v>11</v>
      </c>
      <c r="E603" t="s">
        <v>1029</v>
      </c>
      <c r="F603" t="s">
        <v>1030</v>
      </c>
      <c r="G603" t="s">
        <v>1030</v>
      </c>
      <c r="H603" t="s">
        <v>993</v>
      </c>
      <c r="I603" s="1">
        <v>39861.155555555553</v>
      </c>
      <c r="J603">
        <v>46.9166667</v>
      </c>
      <c r="K603">
        <v>7.4666667000000002</v>
      </c>
    </row>
    <row r="604" spans="1:11" x14ac:dyDescent="0.45">
      <c r="A604" s="1">
        <v>39825.972916666666</v>
      </c>
      <c r="B604" t="s">
        <v>10</v>
      </c>
      <c r="C604">
        <v>1200</v>
      </c>
      <c r="D604" t="s">
        <v>16</v>
      </c>
      <c r="E604" t="s">
        <v>1031</v>
      </c>
      <c r="F604" t="s">
        <v>1032</v>
      </c>
      <c r="G604" t="s">
        <v>1002</v>
      </c>
      <c r="H604" t="s">
        <v>993</v>
      </c>
      <c r="I604" s="1">
        <v>39861.956250000003</v>
      </c>
      <c r="J604">
        <v>47.516666700000002</v>
      </c>
      <c r="K604">
        <v>7.55</v>
      </c>
    </row>
    <row r="605" spans="1:11" x14ac:dyDescent="0.45">
      <c r="A605" s="1">
        <v>39834.49722222222</v>
      </c>
      <c r="B605" t="s">
        <v>10</v>
      </c>
      <c r="C605">
        <v>1200</v>
      </c>
      <c r="D605" t="s">
        <v>11</v>
      </c>
      <c r="E605" t="s">
        <v>1033</v>
      </c>
      <c r="F605" t="s">
        <v>1034</v>
      </c>
      <c r="G605" t="s">
        <v>1005</v>
      </c>
      <c r="H605" t="s">
        <v>993</v>
      </c>
      <c r="I605" s="1">
        <v>39863.295138888891</v>
      </c>
      <c r="J605">
        <v>47.3333333</v>
      </c>
      <c r="K605">
        <v>8.6166666999999997</v>
      </c>
    </row>
    <row r="606" spans="1:11" x14ac:dyDescent="0.45">
      <c r="A606" s="1">
        <v>39843.262499999997</v>
      </c>
      <c r="B606" t="s">
        <v>20</v>
      </c>
      <c r="C606">
        <v>100000</v>
      </c>
      <c r="D606" t="s">
        <v>16</v>
      </c>
      <c r="E606" t="s">
        <v>911</v>
      </c>
      <c r="F606" t="s">
        <v>1035</v>
      </c>
      <c r="G606" t="s">
        <v>1036</v>
      </c>
      <c r="H606" t="s">
        <v>993</v>
      </c>
      <c r="I606" s="1">
        <v>39863.298611111109</v>
      </c>
      <c r="J606">
        <v>47.4166667</v>
      </c>
      <c r="K606">
        <v>9.6</v>
      </c>
    </row>
    <row r="607" spans="1:11" x14ac:dyDescent="0.45">
      <c r="A607" s="1">
        <v>39834.097222222219</v>
      </c>
      <c r="B607" t="s">
        <v>20</v>
      </c>
      <c r="C607">
        <v>100000</v>
      </c>
      <c r="D607" t="s">
        <v>11</v>
      </c>
      <c r="E607" t="s">
        <v>133</v>
      </c>
      <c r="F607" t="s">
        <v>1037</v>
      </c>
      <c r="G607" t="s">
        <v>992</v>
      </c>
      <c r="H607" t="s">
        <v>993</v>
      </c>
      <c r="I607" s="1">
        <v>39864.359722222223</v>
      </c>
      <c r="J607">
        <v>46.183333300000001</v>
      </c>
      <c r="K607">
        <v>6.1333333000000003</v>
      </c>
    </row>
    <row r="608" spans="1:11" x14ac:dyDescent="0.45">
      <c r="A608" s="1">
        <v>39838.576388888891</v>
      </c>
      <c r="B608" t="s">
        <v>20</v>
      </c>
      <c r="C608">
        <v>100000</v>
      </c>
      <c r="D608" t="s">
        <v>11</v>
      </c>
      <c r="E608" t="s">
        <v>212</v>
      </c>
      <c r="F608" t="s">
        <v>995</v>
      </c>
      <c r="G608" t="s">
        <v>996</v>
      </c>
      <c r="H608" t="s">
        <v>993</v>
      </c>
      <c r="I608" s="1">
        <v>39866.147916666669</v>
      </c>
      <c r="J608">
        <v>46.533333300000002</v>
      </c>
      <c r="K608">
        <v>6.6666667000000004</v>
      </c>
    </row>
    <row r="609" spans="1:11" x14ac:dyDescent="0.45">
      <c r="A609" s="1">
        <v>39843.04791666667</v>
      </c>
      <c r="B609" t="s">
        <v>10</v>
      </c>
      <c r="C609">
        <v>1200</v>
      </c>
      <c r="D609" t="s">
        <v>16</v>
      </c>
      <c r="E609" t="s">
        <v>1038</v>
      </c>
      <c r="F609" t="s">
        <v>1039</v>
      </c>
      <c r="G609" t="s">
        <v>996</v>
      </c>
      <c r="H609" t="s">
        <v>993</v>
      </c>
      <c r="I609" s="1">
        <v>39867.163888888892</v>
      </c>
      <c r="J609">
        <v>46.3</v>
      </c>
      <c r="K609">
        <v>7.05</v>
      </c>
    </row>
    <row r="610" spans="1:11" x14ac:dyDescent="0.45">
      <c r="A610" s="1">
        <v>39821.468055555553</v>
      </c>
      <c r="B610" t="s">
        <v>20</v>
      </c>
      <c r="C610">
        <v>100000</v>
      </c>
      <c r="D610" t="s">
        <v>11</v>
      </c>
      <c r="E610" t="s">
        <v>1040</v>
      </c>
      <c r="F610" t="s">
        <v>1041</v>
      </c>
      <c r="G610" t="s">
        <v>1005</v>
      </c>
      <c r="H610" t="s">
        <v>993</v>
      </c>
      <c r="I610" s="1">
        <v>39867.303472222222</v>
      </c>
      <c r="J610">
        <v>47.283333300000002</v>
      </c>
      <c r="K610">
        <v>8.5333333000000007</v>
      </c>
    </row>
    <row r="611" spans="1:11" x14ac:dyDescent="0.45">
      <c r="A611" s="1">
        <v>39843.60833333333</v>
      </c>
      <c r="B611" t="s">
        <v>10</v>
      </c>
      <c r="C611">
        <v>1200</v>
      </c>
      <c r="D611" t="s">
        <v>11</v>
      </c>
      <c r="E611" t="s">
        <v>1042</v>
      </c>
      <c r="F611" t="s">
        <v>992</v>
      </c>
      <c r="G611" t="s">
        <v>992</v>
      </c>
      <c r="H611" t="s">
        <v>993</v>
      </c>
      <c r="I611" s="1">
        <v>39868.135416666664</v>
      </c>
      <c r="J611">
        <v>46.2</v>
      </c>
      <c r="K611">
        <v>6.1666667000000004</v>
      </c>
    </row>
    <row r="612" spans="1:11" x14ac:dyDescent="0.45">
      <c r="A612" s="1">
        <v>39839.275694444441</v>
      </c>
      <c r="B612" t="s">
        <v>10</v>
      </c>
      <c r="C612">
        <v>1200</v>
      </c>
      <c r="D612" t="s">
        <v>11</v>
      </c>
      <c r="E612" t="s">
        <v>1043</v>
      </c>
      <c r="F612" t="s">
        <v>1044</v>
      </c>
      <c r="G612" t="s">
        <v>1009</v>
      </c>
      <c r="H612" t="s">
        <v>993</v>
      </c>
      <c r="I612" s="1">
        <v>39868.229166666664</v>
      </c>
      <c r="J612">
        <v>46.016666700000002</v>
      </c>
      <c r="K612">
        <v>8.9499999999999993</v>
      </c>
    </row>
    <row r="613" spans="1:11" x14ac:dyDescent="0.45">
      <c r="A613" s="1">
        <v>39821.117361111108</v>
      </c>
      <c r="B613" t="s">
        <v>20</v>
      </c>
      <c r="C613">
        <v>100000</v>
      </c>
      <c r="D613" t="s">
        <v>16</v>
      </c>
      <c r="E613" t="s">
        <v>508</v>
      </c>
      <c r="F613" t="s">
        <v>1045</v>
      </c>
      <c r="G613" t="s">
        <v>996</v>
      </c>
      <c r="H613" t="s">
        <v>993</v>
      </c>
      <c r="I613" s="1">
        <v>39869.067361111112</v>
      </c>
      <c r="J613">
        <v>46.433333300000001</v>
      </c>
      <c r="K613">
        <v>6.25</v>
      </c>
    </row>
    <row r="614" spans="1:11" x14ac:dyDescent="0.45">
      <c r="A614" s="1">
        <v>39829.216666666667</v>
      </c>
      <c r="B614" t="s">
        <v>20</v>
      </c>
      <c r="C614">
        <v>100000</v>
      </c>
      <c r="D614" t="s">
        <v>11</v>
      </c>
      <c r="E614" t="s">
        <v>592</v>
      </c>
      <c r="F614" t="s">
        <v>1046</v>
      </c>
      <c r="G614" t="s">
        <v>1047</v>
      </c>
      <c r="H614" t="s">
        <v>993</v>
      </c>
      <c r="I614" s="1">
        <v>39869.216666666667</v>
      </c>
      <c r="J614">
        <v>47.35</v>
      </c>
      <c r="K614">
        <v>8.3833333000000003</v>
      </c>
    </row>
    <row r="615" spans="1:11" x14ac:dyDescent="0.45">
      <c r="A615" s="1">
        <v>39836.244444444441</v>
      </c>
      <c r="B615" t="s">
        <v>10</v>
      </c>
      <c r="C615">
        <v>1200</v>
      </c>
      <c r="D615" t="s">
        <v>63</v>
      </c>
      <c r="E615" t="s">
        <v>1048</v>
      </c>
      <c r="F615" t="s">
        <v>1007</v>
      </c>
      <c r="G615" t="s">
        <v>1007</v>
      </c>
      <c r="H615" t="s">
        <v>993</v>
      </c>
      <c r="I615" s="1">
        <v>39869.402777777781</v>
      </c>
      <c r="J615">
        <v>47.1666667</v>
      </c>
      <c r="K615">
        <v>8.5166667</v>
      </c>
    </row>
    <row r="616" spans="1:11" x14ac:dyDescent="0.45">
      <c r="A616" s="1">
        <v>39826.393055555556</v>
      </c>
      <c r="B616" t="s">
        <v>10</v>
      </c>
      <c r="C616">
        <v>1200</v>
      </c>
      <c r="D616" t="s">
        <v>11</v>
      </c>
      <c r="E616" t="s">
        <v>1049</v>
      </c>
      <c r="F616" t="s">
        <v>1050</v>
      </c>
      <c r="G616" t="s">
        <v>992</v>
      </c>
      <c r="H616" t="s">
        <v>993</v>
      </c>
      <c r="I616" s="1">
        <v>39869.586805555555</v>
      </c>
      <c r="J616">
        <v>46.283333300000002</v>
      </c>
      <c r="K616">
        <v>6.2166667000000002</v>
      </c>
    </row>
    <row r="617" spans="1:11" x14ac:dyDescent="0.45">
      <c r="A617" s="1">
        <v>39839.570138888892</v>
      </c>
      <c r="B617" t="s">
        <v>10</v>
      </c>
      <c r="C617">
        <v>1200</v>
      </c>
      <c r="D617" t="s">
        <v>16</v>
      </c>
      <c r="E617" t="s">
        <v>1051</v>
      </c>
      <c r="F617" t="s">
        <v>1052</v>
      </c>
      <c r="G617" t="s">
        <v>1047</v>
      </c>
      <c r="H617" t="s">
        <v>993</v>
      </c>
      <c r="I617" s="1">
        <v>39873.132638888892</v>
      </c>
      <c r="J617">
        <v>47.466666699999998</v>
      </c>
      <c r="K617">
        <v>8.3000000000000007</v>
      </c>
    </row>
    <row r="618" spans="1:11" x14ac:dyDescent="0.45">
      <c r="A618" s="1">
        <v>39818.021527777775</v>
      </c>
      <c r="B618" t="s">
        <v>10</v>
      </c>
      <c r="C618">
        <v>1200</v>
      </c>
      <c r="D618" t="s">
        <v>16</v>
      </c>
      <c r="E618" t="s">
        <v>1053</v>
      </c>
      <c r="F618" t="s">
        <v>1054</v>
      </c>
      <c r="G618" t="s">
        <v>1055</v>
      </c>
      <c r="H618" t="s">
        <v>1056</v>
      </c>
      <c r="I618" s="1">
        <v>39825.025694444441</v>
      </c>
      <c r="J618">
        <v>59.283333300000002</v>
      </c>
      <c r="K618">
        <v>18.3</v>
      </c>
    </row>
    <row r="619" spans="1:11" x14ac:dyDescent="0.45">
      <c r="A619" s="1">
        <v>39816.27847222222</v>
      </c>
      <c r="B619" t="s">
        <v>20</v>
      </c>
      <c r="C619">
        <v>100000</v>
      </c>
      <c r="D619" t="s">
        <v>11</v>
      </c>
      <c r="E619" t="s">
        <v>1057</v>
      </c>
      <c r="F619" t="s">
        <v>1058</v>
      </c>
      <c r="G619" t="s">
        <v>1059</v>
      </c>
      <c r="H619" t="s">
        <v>1056</v>
      </c>
      <c r="I619" s="1">
        <v>39835.474999999999</v>
      </c>
      <c r="J619">
        <v>55.6</v>
      </c>
      <c r="K619">
        <v>13</v>
      </c>
    </row>
    <row r="620" spans="1:11" x14ac:dyDescent="0.45">
      <c r="A620" s="1">
        <v>39838.76458333333</v>
      </c>
      <c r="B620" t="s">
        <v>10</v>
      </c>
      <c r="C620">
        <v>1200</v>
      </c>
      <c r="D620" t="s">
        <v>11</v>
      </c>
      <c r="E620" t="s">
        <v>1060</v>
      </c>
      <c r="F620" t="s">
        <v>1061</v>
      </c>
      <c r="G620" t="s">
        <v>1062</v>
      </c>
      <c r="H620" t="s">
        <v>1056</v>
      </c>
      <c r="I620" s="1">
        <v>39841.429861111108</v>
      </c>
      <c r="J620">
        <v>63.8333333</v>
      </c>
      <c r="K620">
        <v>20.25</v>
      </c>
    </row>
    <row r="621" spans="1:11" x14ac:dyDescent="0.45">
      <c r="A621" s="1">
        <v>39841.068055555559</v>
      </c>
      <c r="B621" t="s">
        <v>10</v>
      </c>
      <c r="C621">
        <v>1200</v>
      </c>
      <c r="D621" t="s">
        <v>16</v>
      </c>
      <c r="E621" t="s">
        <v>187</v>
      </c>
      <c r="F621" t="s">
        <v>1055</v>
      </c>
      <c r="G621" t="s">
        <v>1055</v>
      </c>
      <c r="H621" t="s">
        <v>1056</v>
      </c>
      <c r="I621" s="1">
        <v>39843.387499999997</v>
      </c>
      <c r="J621">
        <v>59.3333333</v>
      </c>
      <c r="K621">
        <v>18.05</v>
      </c>
    </row>
    <row r="622" spans="1:11" x14ac:dyDescent="0.45">
      <c r="A622" s="1">
        <v>39825.342361111114</v>
      </c>
      <c r="B622" t="s">
        <v>10</v>
      </c>
      <c r="C622">
        <v>1200</v>
      </c>
      <c r="D622" t="s">
        <v>63</v>
      </c>
      <c r="E622" t="s">
        <v>1063</v>
      </c>
      <c r="F622" t="s">
        <v>1064</v>
      </c>
      <c r="G622" t="s">
        <v>1055</v>
      </c>
      <c r="H622" t="s">
        <v>1056</v>
      </c>
      <c r="I622" s="1">
        <v>39846.250694444447</v>
      </c>
      <c r="J622">
        <v>59.3</v>
      </c>
      <c r="K622">
        <v>18.1666667</v>
      </c>
    </row>
    <row r="623" spans="1:11" x14ac:dyDescent="0.45">
      <c r="A623" s="1">
        <v>39825.515277777777</v>
      </c>
      <c r="B623" t="s">
        <v>10</v>
      </c>
      <c r="C623">
        <v>1200</v>
      </c>
      <c r="D623" t="s">
        <v>16</v>
      </c>
      <c r="E623" t="s">
        <v>1065</v>
      </c>
      <c r="F623" t="s">
        <v>1066</v>
      </c>
      <c r="G623" t="s">
        <v>1067</v>
      </c>
      <c r="H623" t="s">
        <v>1056</v>
      </c>
      <c r="I623" s="1">
        <v>39852.46875</v>
      </c>
      <c r="J623">
        <v>60.3333333</v>
      </c>
      <c r="K623">
        <v>17.5</v>
      </c>
    </row>
    <row r="624" spans="1:11" x14ac:dyDescent="0.45">
      <c r="A624" s="1">
        <v>39840.163194444445</v>
      </c>
      <c r="B624" t="s">
        <v>10</v>
      </c>
      <c r="C624">
        <v>1200</v>
      </c>
      <c r="D624" t="s">
        <v>63</v>
      </c>
      <c r="E624" t="s">
        <v>1068</v>
      </c>
      <c r="F624" t="s">
        <v>1069</v>
      </c>
      <c r="G624" t="s">
        <v>1055</v>
      </c>
      <c r="H624" t="s">
        <v>1056</v>
      </c>
      <c r="I624" s="1">
        <v>39858.442361111112</v>
      </c>
      <c r="J624">
        <v>59.4166667</v>
      </c>
      <c r="K624">
        <v>18.016666699999998</v>
      </c>
    </row>
    <row r="625" spans="1:11" x14ac:dyDescent="0.45">
      <c r="A625" s="1">
        <v>39825.50277777778</v>
      </c>
      <c r="B625" t="s">
        <v>10</v>
      </c>
      <c r="C625">
        <v>1200</v>
      </c>
      <c r="D625" t="s">
        <v>11</v>
      </c>
      <c r="E625" t="s">
        <v>1070</v>
      </c>
      <c r="F625" t="s">
        <v>1064</v>
      </c>
      <c r="G625" t="s">
        <v>1055</v>
      </c>
      <c r="H625" t="s">
        <v>1056</v>
      </c>
      <c r="I625" s="1">
        <v>39858.522222222222</v>
      </c>
      <c r="J625">
        <v>59.3</v>
      </c>
      <c r="K625">
        <v>18.1666667</v>
      </c>
    </row>
    <row r="626" spans="1:11" x14ac:dyDescent="0.45">
      <c r="A626" s="1">
        <v>39832.552083333336</v>
      </c>
      <c r="B626" t="s">
        <v>10</v>
      </c>
      <c r="C626">
        <v>1200</v>
      </c>
      <c r="D626" t="s">
        <v>11</v>
      </c>
      <c r="E626" t="s">
        <v>775</v>
      </c>
      <c r="F626" t="s">
        <v>1071</v>
      </c>
      <c r="G626" t="s">
        <v>1055</v>
      </c>
      <c r="H626" t="s">
        <v>1056</v>
      </c>
      <c r="I626" s="1">
        <v>39859.48541666667</v>
      </c>
      <c r="J626">
        <v>59.383333299999997</v>
      </c>
      <c r="K626">
        <v>18.066666699999999</v>
      </c>
    </row>
    <row r="627" spans="1:11" x14ac:dyDescent="0.45">
      <c r="A627" s="1">
        <v>39844.460416666669</v>
      </c>
      <c r="B627" t="s">
        <v>10</v>
      </c>
      <c r="C627">
        <v>1200</v>
      </c>
      <c r="D627" t="s">
        <v>11</v>
      </c>
      <c r="E627" t="s">
        <v>1072</v>
      </c>
      <c r="F627" t="s">
        <v>1073</v>
      </c>
      <c r="G627" t="s">
        <v>1055</v>
      </c>
      <c r="H627" t="s">
        <v>1056</v>
      </c>
      <c r="I627" s="1">
        <v>39860.505555555559</v>
      </c>
      <c r="J627">
        <v>59.316666699999999</v>
      </c>
      <c r="K627">
        <v>18.1166667</v>
      </c>
    </row>
    <row r="628" spans="1:11" x14ac:dyDescent="0.45">
      <c r="A628" s="1">
        <v>39836.381249999999</v>
      </c>
      <c r="B628" t="s">
        <v>20</v>
      </c>
      <c r="C628">
        <v>100000</v>
      </c>
      <c r="D628" t="s">
        <v>63</v>
      </c>
      <c r="E628" t="s">
        <v>1074</v>
      </c>
      <c r="F628" t="s">
        <v>1075</v>
      </c>
      <c r="G628" t="s">
        <v>1055</v>
      </c>
      <c r="H628" t="s">
        <v>1056</v>
      </c>
      <c r="I628" s="1">
        <v>39862.364583333336</v>
      </c>
      <c r="J628">
        <v>59.366666700000003</v>
      </c>
      <c r="K628">
        <v>18.1333333</v>
      </c>
    </row>
    <row r="629" spans="1:11" x14ac:dyDescent="0.45">
      <c r="A629" s="1">
        <v>39833.616666666669</v>
      </c>
      <c r="B629" t="s">
        <v>20</v>
      </c>
      <c r="C629">
        <v>100000</v>
      </c>
      <c r="D629" t="s">
        <v>11</v>
      </c>
      <c r="E629" t="s">
        <v>600</v>
      </c>
      <c r="F629" t="s">
        <v>1076</v>
      </c>
      <c r="G629" t="s">
        <v>1077</v>
      </c>
      <c r="H629" t="s">
        <v>1056</v>
      </c>
      <c r="I629" s="1">
        <v>39863.223611111112</v>
      </c>
      <c r="J629">
        <v>58.6</v>
      </c>
      <c r="K629">
        <v>16.183333300000001</v>
      </c>
    </row>
    <row r="630" spans="1:11" x14ac:dyDescent="0.45">
      <c r="A630" s="1">
        <v>39844.201388888891</v>
      </c>
      <c r="B630" t="s">
        <v>10</v>
      </c>
      <c r="C630">
        <v>1200</v>
      </c>
      <c r="D630" t="s">
        <v>16</v>
      </c>
      <c r="E630" t="s">
        <v>1078</v>
      </c>
      <c r="F630" t="s">
        <v>1079</v>
      </c>
      <c r="G630" t="s">
        <v>1055</v>
      </c>
      <c r="H630" t="s">
        <v>1056</v>
      </c>
      <c r="I630" s="1">
        <v>39870.550000000003</v>
      </c>
      <c r="J630">
        <v>59.5</v>
      </c>
      <c r="K630">
        <v>18.05</v>
      </c>
    </row>
    <row r="631" spans="1:11" x14ac:dyDescent="0.45">
      <c r="A631" s="1">
        <v>39825.311111111114</v>
      </c>
      <c r="B631" t="s">
        <v>10</v>
      </c>
      <c r="C631">
        <v>1200</v>
      </c>
      <c r="D631" t="s">
        <v>63</v>
      </c>
      <c r="E631" t="s">
        <v>731</v>
      </c>
      <c r="F631" t="s">
        <v>1080</v>
      </c>
      <c r="G631" t="s">
        <v>1081</v>
      </c>
      <c r="H631" t="s">
        <v>1082</v>
      </c>
      <c r="I631" s="1">
        <v>39827.572222222225</v>
      </c>
      <c r="J631">
        <v>37.933333300000001</v>
      </c>
      <c r="K631">
        <v>-1.1333333000000001</v>
      </c>
    </row>
    <row r="632" spans="1:11" x14ac:dyDescent="0.45">
      <c r="A632" s="1">
        <v>39826.586805555555</v>
      </c>
      <c r="B632" t="s">
        <v>10</v>
      </c>
      <c r="C632">
        <v>1200</v>
      </c>
      <c r="D632" t="s">
        <v>63</v>
      </c>
      <c r="E632" t="s">
        <v>1083</v>
      </c>
      <c r="F632" t="s">
        <v>1084</v>
      </c>
      <c r="G632" t="s">
        <v>1085</v>
      </c>
      <c r="H632" t="s">
        <v>1082</v>
      </c>
      <c r="I632" s="1">
        <v>39841.322916666664</v>
      </c>
      <c r="J632">
        <v>41.383333299999997</v>
      </c>
      <c r="K632">
        <v>2.1833333000000001</v>
      </c>
    </row>
    <row r="633" spans="1:11" x14ac:dyDescent="0.45">
      <c r="A633" s="1">
        <v>39840.375694444447</v>
      </c>
      <c r="B633" t="s">
        <v>10</v>
      </c>
      <c r="C633">
        <v>1200</v>
      </c>
      <c r="D633" t="s">
        <v>11</v>
      </c>
      <c r="E633" t="s">
        <v>1086</v>
      </c>
      <c r="F633" t="s">
        <v>1084</v>
      </c>
      <c r="G633" t="s">
        <v>1085</v>
      </c>
      <c r="H633" t="s">
        <v>1082</v>
      </c>
      <c r="I633" s="1">
        <v>39847.040972222225</v>
      </c>
      <c r="J633">
        <v>41.383333299999997</v>
      </c>
      <c r="K633">
        <v>2.1833333000000001</v>
      </c>
    </row>
    <row r="634" spans="1:11" x14ac:dyDescent="0.45">
      <c r="A634" s="1">
        <v>39825.469444444447</v>
      </c>
      <c r="B634" t="s">
        <v>10</v>
      </c>
      <c r="C634">
        <v>1200</v>
      </c>
      <c r="D634" t="s">
        <v>11</v>
      </c>
      <c r="E634" t="s">
        <v>592</v>
      </c>
      <c r="F634" t="s">
        <v>1087</v>
      </c>
      <c r="G634" t="s">
        <v>1087</v>
      </c>
      <c r="H634" t="s">
        <v>1082</v>
      </c>
      <c r="I634" s="1">
        <v>39850.445833333331</v>
      </c>
      <c r="J634">
        <v>40.4</v>
      </c>
      <c r="K634">
        <v>-3.6833333000000001</v>
      </c>
    </row>
    <row r="635" spans="1:11" x14ac:dyDescent="0.45">
      <c r="A635" s="1">
        <v>39840.459722222222</v>
      </c>
      <c r="B635" t="s">
        <v>10</v>
      </c>
      <c r="C635">
        <v>1200</v>
      </c>
      <c r="D635" t="s">
        <v>16</v>
      </c>
      <c r="E635" t="s">
        <v>1088</v>
      </c>
      <c r="F635" t="s">
        <v>1087</v>
      </c>
      <c r="G635" t="s">
        <v>1087</v>
      </c>
      <c r="H635" t="s">
        <v>1082</v>
      </c>
      <c r="I635" s="1">
        <v>39853.779166666667</v>
      </c>
      <c r="J635">
        <v>40.4</v>
      </c>
      <c r="K635">
        <v>-3.6833333000000001</v>
      </c>
    </row>
    <row r="636" spans="1:11" x14ac:dyDescent="0.45">
      <c r="A636" s="1">
        <v>39815.462500000001</v>
      </c>
      <c r="B636" t="s">
        <v>10</v>
      </c>
      <c r="C636">
        <v>1200</v>
      </c>
      <c r="D636" t="s">
        <v>16</v>
      </c>
      <c r="E636" t="s">
        <v>1089</v>
      </c>
      <c r="F636" t="s">
        <v>1090</v>
      </c>
      <c r="G636" t="s">
        <v>1091</v>
      </c>
      <c r="H636" t="s">
        <v>1082</v>
      </c>
      <c r="I636" s="1">
        <v>39854.419444444444</v>
      </c>
      <c r="J636">
        <v>37.377222199999999</v>
      </c>
      <c r="K636">
        <v>-5.9869443999999996</v>
      </c>
    </row>
    <row r="637" spans="1:11" x14ac:dyDescent="0.45">
      <c r="A637" s="1">
        <v>39831.460416666669</v>
      </c>
      <c r="B637" t="s">
        <v>20</v>
      </c>
      <c r="C637">
        <v>100000</v>
      </c>
      <c r="D637" t="s">
        <v>63</v>
      </c>
      <c r="E637" t="s">
        <v>1092</v>
      </c>
      <c r="F637" t="s">
        <v>1093</v>
      </c>
      <c r="G637" t="s">
        <v>1085</v>
      </c>
      <c r="H637" t="s">
        <v>1082</v>
      </c>
      <c r="I637" s="1">
        <v>39856.315972222219</v>
      </c>
      <c r="J637">
        <v>41.3</v>
      </c>
      <c r="K637">
        <v>2.0166667</v>
      </c>
    </row>
    <row r="638" spans="1:11" x14ac:dyDescent="0.45">
      <c r="A638" s="1">
        <v>39827.3125</v>
      </c>
      <c r="B638" t="s">
        <v>10</v>
      </c>
      <c r="C638">
        <v>1200</v>
      </c>
      <c r="D638" t="s">
        <v>11</v>
      </c>
      <c r="E638" t="s">
        <v>1094</v>
      </c>
      <c r="F638" t="s">
        <v>1095</v>
      </c>
      <c r="G638" t="s">
        <v>1096</v>
      </c>
      <c r="H638" t="s">
        <v>1082</v>
      </c>
      <c r="I638" s="1">
        <v>39860.62777777778</v>
      </c>
      <c r="J638">
        <v>43.016666700000002</v>
      </c>
      <c r="K638">
        <v>-2.4</v>
      </c>
    </row>
    <row r="639" spans="1:11" x14ac:dyDescent="0.45">
      <c r="A639" s="1">
        <v>39839.051388888889</v>
      </c>
      <c r="B639" t="s">
        <v>10</v>
      </c>
      <c r="C639">
        <v>1200</v>
      </c>
      <c r="D639" t="s">
        <v>11</v>
      </c>
      <c r="E639" t="s">
        <v>1097</v>
      </c>
      <c r="F639" t="s">
        <v>1098</v>
      </c>
      <c r="G639" t="s">
        <v>1081</v>
      </c>
      <c r="H639" t="s">
        <v>1082</v>
      </c>
      <c r="I639" s="1">
        <v>39869.240972222222</v>
      </c>
      <c r="J639">
        <v>38.016666700000002</v>
      </c>
      <c r="K639">
        <v>-1.1333333000000001</v>
      </c>
    </row>
    <row r="640" spans="1:11" x14ac:dyDescent="0.45">
      <c r="A640" s="1">
        <v>39836.393750000003</v>
      </c>
      <c r="B640" t="s">
        <v>10</v>
      </c>
      <c r="C640">
        <v>1200</v>
      </c>
      <c r="D640" t="s">
        <v>16</v>
      </c>
      <c r="E640" t="s">
        <v>1099</v>
      </c>
      <c r="F640" t="s">
        <v>1087</v>
      </c>
      <c r="G640" t="s">
        <v>1087</v>
      </c>
      <c r="H640" t="s">
        <v>1082</v>
      </c>
      <c r="I640" s="1">
        <v>39869.484722222223</v>
      </c>
      <c r="J640">
        <v>40.4</v>
      </c>
      <c r="K640">
        <v>-3.6833333000000001</v>
      </c>
    </row>
    <row r="641" spans="1:11" x14ac:dyDescent="0.45">
      <c r="A641" s="1">
        <v>39822.21875</v>
      </c>
      <c r="B641" t="s">
        <v>10</v>
      </c>
      <c r="C641">
        <v>1200</v>
      </c>
      <c r="D641" t="s">
        <v>11</v>
      </c>
      <c r="E641" t="s">
        <v>1100</v>
      </c>
      <c r="F641" t="s">
        <v>1101</v>
      </c>
      <c r="G641" t="s">
        <v>1087</v>
      </c>
      <c r="H641" t="s">
        <v>1082</v>
      </c>
      <c r="I641" s="1">
        <v>39870.6</v>
      </c>
      <c r="J641">
        <v>40.533333300000002</v>
      </c>
      <c r="K641">
        <v>-3.6333332999999999</v>
      </c>
    </row>
    <row r="642" spans="1:11" x14ac:dyDescent="0.45">
      <c r="A642" s="1">
        <v>39837.5</v>
      </c>
      <c r="B642" t="s">
        <v>10</v>
      </c>
      <c r="C642">
        <v>1200</v>
      </c>
      <c r="D642" t="s">
        <v>11</v>
      </c>
      <c r="E642" t="s">
        <v>396</v>
      </c>
      <c r="F642" t="s">
        <v>1102</v>
      </c>
      <c r="G642" t="s">
        <v>1087</v>
      </c>
      <c r="H642" t="s">
        <v>1082</v>
      </c>
      <c r="I642" s="1">
        <v>39872.636805555558</v>
      </c>
      <c r="J642">
        <v>40.5833333</v>
      </c>
      <c r="K642">
        <v>-4.1166666999999997</v>
      </c>
    </row>
    <row r="643" spans="1:11" x14ac:dyDescent="0.45">
      <c r="A643" s="1">
        <v>39817.216666666667</v>
      </c>
      <c r="B643" t="s">
        <v>10</v>
      </c>
      <c r="C643">
        <v>1200</v>
      </c>
      <c r="D643" t="s">
        <v>11</v>
      </c>
      <c r="E643" t="s">
        <v>1103</v>
      </c>
      <c r="F643" t="s">
        <v>1104</v>
      </c>
      <c r="G643" t="s">
        <v>1105</v>
      </c>
      <c r="H643" t="s">
        <v>1106</v>
      </c>
      <c r="I643" s="1">
        <v>39842.695138888892</v>
      </c>
      <c r="J643">
        <v>37.533333300000002</v>
      </c>
      <c r="K643">
        <v>127.1166667</v>
      </c>
    </row>
    <row r="644" spans="1:11" x14ac:dyDescent="0.45">
      <c r="A644" s="1">
        <v>39818.173611111109</v>
      </c>
      <c r="B644" t="s">
        <v>10</v>
      </c>
      <c r="C644">
        <v>1200</v>
      </c>
      <c r="D644" t="s">
        <v>16</v>
      </c>
      <c r="E644" t="s">
        <v>533</v>
      </c>
      <c r="F644" t="s">
        <v>1107</v>
      </c>
      <c r="G644" t="s">
        <v>1108</v>
      </c>
      <c r="H644" t="s">
        <v>1109</v>
      </c>
      <c r="I644" s="1">
        <v>39820.217361111114</v>
      </c>
      <c r="J644">
        <v>-26.1666667</v>
      </c>
      <c r="K644">
        <v>27.8666667</v>
      </c>
    </row>
    <row r="645" spans="1:11" x14ac:dyDescent="0.45">
      <c r="A645" s="1">
        <v>39826.07708333333</v>
      </c>
      <c r="B645" t="s">
        <v>10</v>
      </c>
      <c r="C645">
        <v>1200</v>
      </c>
      <c r="D645" t="s">
        <v>11</v>
      </c>
      <c r="E645" t="s">
        <v>1110</v>
      </c>
      <c r="F645" t="s">
        <v>1111</v>
      </c>
      <c r="G645" t="s">
        <v>1108</v>
      </c>
      <c r="H645" t="s">
        <v>1109</v>
      </c>
      <c r="I645" s="1">
        <v>39830.099305555559</v>
      </c>
      <c r="J645">
        <v>-25.874444400000002</v>
      </c>
      <c r="K645">
        <v>28.1705556</v>
      </c>
    </row>
    <row r="646" spans="1:11" x14ac:dyDescent="0.45">
      <c r="A646" s="1">
        <v>39829.412499999999</v>
      </c>
      <c r="B646" t="s">
        <v>10</v>
      </c>
      <c r="C646">
        <v>1200</v>
      </c>
      <c r="D646" t="s">
        <v>16</v>
      </c>
      <c r="E646" t="s">
        <v>1112</v>
      </c>
      <c r="F646" t="s">
        <v>1113</v>
      </c>
      <c r="G646" t="s">
        <v>1114</v>
      </c>
      <c r="H646" t="s">
        <v>1109</v>
      </c>
      <c r="I646" s="1">
        <v>39841.268055555556</v>
      </c>
      <c r="J646">
        <v>-29.85</v>
      </c>
      <c r="K646">
        <v>31.016666699999998</v>
      </c>
    </row>
    <row r="647" spans="1:11" x14ac:dyDescent="0.45">
      <c r="A647" s="1">
        <v>39838.078472222223</v>
      </c>
      <c r="B647" t="s">
        <v>230</v>
      </c>
      <c r="C647">
        <v>100000</v>
      </c>
      <c r="D647" t="s">
        <v>11</v>
      </c>
      <c r="E647" t="s">
        <v>600</v>
      </c>
      <c r="F647" t="s">
        <v>1115</v>
      </c>
      <c r="G647" t="s">
        <v>1114</v>
      </c>
      <c r="H647" t="s">
        <v>1109</v>
      </c>
      <c r="I647" s="1">
        <v>39849.192361111112</v>
      </c>
      <c r="J647">
        <v>-29.6166667</v>
      </c>
      <c r="K647">
        <v>30.3833333</v>
      </c>
    </row>
    <row r="648" spans="1:11" x14ac:dyDescent="0.45">
      <c r="A648" s="1">
        <v>39829.259027777778</v>
      </c>
      <c r="B648" t="s">
        <v>10</v>
      </c>
      <c r="C648">
        <v>1200</v>
      </c>
      <c r="D648" t="s">
        <v>16</v>
      </c>
      <c r="E648" t="s">
        <v>1116</v>
      </c>
      <c r="F648" t="s">
        <v>1117</v>
      </c>
      <c r="G648" t="s">
        <v>1108</v>
      </c>
      <c r="H648" t="s">
        <v>1109</v>
      </c>
      <c r="I648" s="1">
        <v>39869.97152777778</v>
      </c>
      <c r="J648">
        <v>-26.183333300000001</v>
      </c>
      <c r="K648">
        <v>28.316666699999999</v>
      </c>
    </row>
    <row r="649" spans="1:11" x14ac:dyDescent="0.45">
      <c r="A649" s="1">
        <v>39839.977777777778</v>
      </c>
      <c r="B649" t="s">
        <v>20</v>
      </c>
      <c r="C649">
        <v>100000</v>
      </c>
      <c r="D649" t="s">
        <v>63</v>
      </c>
      <c r="E649" t="s">
        <v>1118</v>
      </c>
      <c r="F649" t="s">
        <v>1119</v>
      </c>
      <c r="G649" t="s">
        <v>1120</v>
      </c>
      <c r="H649" t="s">
        <v>1121</v>
      </c>
      <c r="I649" s="1">
        <v>39847.090277777781</v>
      </c>
      <c r="J649">
        <v>55.628333300000001</v>
      </c>
      <c r="K649">
        <v>37.6608333</v>
      </c>
    </row>
    <row r="650" spans="1:11" x14ac:dyDescent="0.45">
      <c r="A650" s="1">
        <v>39835.465277777781</v>
      </c>
      <c r="B650" t="s">
        <v>10</v>
      </c>
      <c r="C650">
        <v>1200</v>
      </c>
      <c r="D650" t="s">
        <v>16</v>
      </c>
      <c r="E650" t="s">
        <v>1122</v>
      </c>
      <c r="F650" t="s">
        <v>1123</v>
      </c>
      <c r="G650" t="s">
        <v>1124</v>
      </c>
      <c r="H650" t="s">
        <v>1125</v>
      </c>
      <c r="I650" s="1">
        <v>39872.327777777777</v>
      </c>
      <c r="J650">
        <v>44.466666699999998</v>
      </c>
      <c r="K650">
        <v>26.1333333</v>
      </c>
    </row>
    <row r="651" spans="1:11" x14ac:dyDescent="0.45">
      <c r="A651" s="1">
        <v>39821.177083333336</v>
      </c>
      <c r="B651" t="s">
        <v>10</v>
      </c>
      <c r="C651">
        <v>1200</v>
      </c>
      <c r="D651" t="s">
        <v>11</v>
      </c>
      <c r="E651" t="s">
        <v>1126</v>
      </c>
      <c r="F651" t="s">
        <v>1127</v>
      </c>
      <c r="G651" t="s">
        <v>1128</v>
      </c>
      <c r="H651" t="s">
        <v>1129</v>
      </c>
      <c r="I651" s="1">
        <v>39852.159722222219</v>
      </c>
      <c r="J651">
        <v>54.35</v>
      </c>
      <c r="K651">
        <v>18.6666667</v>
      </c>
    </row>
    <row r="652" spans="1:11" x14ac:dyDescent="0.45">
      <c r="A652" s="1">
        <v>39841.589583333334</v>
      </c>
      <c r="B652" t="s">
        <v>10</v>
      </c>
      <c r="C652">
        <v>1200</v>
      </c>
      <c r="D652" t="s">
        <v>11</v>
      </c>
      <c r="E652" t="s">
        <v>1130</v>
      </c>
      <c r="F652" t="s">
        <v>1131</v>
      </c>
      <c r="G652" t="s">
        <v>1132</v>
      </c>
      <c r="H652" t="s">
        <v>1129</v>
      </c>
      <c r="I652" s="1">
        <v>39869.679861111108</v>
      </c>
      <c r="J652">
        <v>52.1666667</v>
      </c>
      <c r="K652">
        <v>20.8333333</v>
      </c>
    </row>
    <row r="653" spans="1:11" x14ac:dyDescent="0.45">
      <c r="A653" s="1">
        <v>39830.168749999997</v>
      </c>
      <c r="B653" t="s">
        <v>10</v>
      </c>
      <c r="C653">
        <v>1200</v>
      </c>
      <c r="D653" t="s">
        <v>11</v>
      </c>
      <c r="E653" t="s">
        <v>50</v>
      </c>
      <c r="F653" t="s">
        <v>1133</v>
      </c>
      <c r="G653" t="s">
        <v>1134</v>
      </c>
      <c r="H653" t="s">
        <v>1135</v>
      </c>
      <c r="I653" s="1">
        <v>39853.256249999999</v>
      </c>
      <c r="J653">
        <v>9.9136111000000007</v>
      </c>
      <c r="K653">
        <v>124.09277779999999</v>
      </c>
    </row>
    <row r="654" spans="1:11" x14ac:dyDescent="0.45">
      <c r="A654" s="1">
        <v>39837.368750000001</v>
      </c>
      <c r="B654" t="s">
        <v>10</v>
      </c>
      <c r="C654">
        <v>1200</v>
      </c>
      <c r="D654" t="s">
        <v>16</v>
      </c>
      <c r="E654" t="s">
        <v>448</v>
      </c>
      <c r="F654" t="s">
        <v>1136</v>
      </c>
      <c r="G654" t="s">
        <v>1137</v>
      </c>
      <c r="H654" t="s">
        <v>1135</v>
      </c>
      <c r="I654" s="1">
        <v>39865.422222222223</v>
      </c>
      <c r="J654">
        <v>6.1036111000000002</v>
      </c>
      <c r="K654">
        <v>125.2163889</v>
      </c>
    </row>
    <row r="655" spans="1:11" x14ac:dyDescent="0.45">
      <c r="A655" s="1">
        <v>39824.481249999997</v>
      </c>
      <c r="B655" t="s">
        <v>10</v>
      </c>
      <c r="C655">
        <v>1200</v>
      </c>
      <c r="D655" t="s">
        <v>11</v>
      </c>
      <c r="E655" t="s">
        <v>1138</v>
      </c>
      <c r="F655" t="s">
        <v>1139</v>
      </c>
      <c r="G655" t="s">
        <v>1140</v>
      </c>
      <c r="H655" t="s">
        <v>1141</v>
      </c>
      <c r="I655" s="1">
        <v>39825.442361111112</v>
      </c>
      <c r="J655">
        <v>58.966666699999998</v>
      </c>
      <c r="K655">
        <v>5.75</v>
      </c>
    </row>
    <row r="656" spans="1:11" x14ac:dyDescent="0.45">
      <c r="A656" s="1">
        <v>39821.551388888889</v>
      </c>
      <c r="B656" t="s">
        <v>10</v>
      </c>
      <c r="C656">
        <v>1200</v>
      </c>
      <c r="D656" t="s">
        <v>11</v>
      </c>
      <c r="E656" t="s">
        <v>1142</v>
      </c>
      <c r="F656" t="s">
        <v>1143</v>
      </c>
      <c r="G656" t="s">
        <v>1143</v>
      </c>
      <c r="H656" t="s">
        <v>1141</v>
      </c>
      <c r="I656" s="1">
        <v>39826.450694444444</v>
      </c>
      <c r="J656">
        <v>59.9166667</v>
      </c>
      <c r="K656">
        <v>10.75</v>
      </c>
    </row>
    <row r="657" spans="1:11" x14ac:dyDescent="0.45">
      <c r="A657" s="1">
        <v>39820.347916666666</v>
      </c>
      <c r="B657" t="s">
        <v>10</v>
      </c>
      <c r="C657">
        <v>1200</v>
      </c>
      <c r="D657" t="s">
        <v>11</v>
      </c>
      <c r="E657" t="s">
        <v>1144</v>
      </c>
      <c r="F657" t="s">
        <v>1145</v>
      </c>
      <c r="G657" t="s">
        <v>1143</v>
      </c>
      <c r="H657" t="s">
        <v>1141</v>
      </c>
      <c r="I657" s="1">
        <v>39832.287499999999</v>
      </c>
      <c r="J657">
        <v>59.966666699999998</v>
      </c>
      <c r="K657">
        <v>10.6666667</v>
      </c>
    </row>
    <row r="658" spans="1:11" x14ac:dyDescent="0.45">
      <c r="A658" s="1">
        <v>39834.48333333333</v>
      </c>
      <c r="B658" t="s">
        <v>10</v>
      </c>
      <c r="C658">
        <v>1200</v>
      </c>
      <c r="D658" t="s">
        <v>11</v>
      </c>
      <c r="E658" t="s">
        <v>1146</v>
      </c>
      <c r="F658" t="s">
        <v>1143</v>
      </c>
      <c r="G658" t="s">
        <v>1143</v>
      </c>
      <c r="H658" t="s">
        <v>1141</v>
      </c>
      <c r="I658" s="1">
        <v>39834.574305555558</v>
      </c>
      <c r="J658">
        <v>59.9166667</v>
      </c>
      <c r="K658">
        <v>10.75</v>
      </c>
    </row>
    <row r="659" spans="1:11" x14ac:dyDescent="0.45">
      <c r="A659" s="1">
        <v>39814.598611111112</v>
      </c>
      <c r="B659" t="s">
        <v>10</v>
      </c>
      <c r="C659">
        <v>1200</v>
      </c>
      <c r="D659" t="s">
        <v>16</v>
      </c>
      <c r="E659" t="s">
        <v>1147</v>
      </c>
      <c r="F659" t="s">
        <v>1139</v>
      </c>
      <c r="G659" t="s">
        <v>1140</v>
      </c>
      <c r="H659" t="s">
        <v>1141</v>
      </c>
      <c r="I659" s="1">
        <v>39835.609722222223</v>
      </c>
      <c r="J659">
        <v>58.966666699999998</v>
      </c>
      <c r="K659">
        <v>5.75</v>
      </c>
    </row>
    <row r="660" spans="1:11" x14ac:dyDescent="0.45">
      <c r="A660" s="1">
        <v>39823.144444444442</v>
      </c>
      <c r="B660" t="s">
        <v>10</v>
      </c>
      <c r="C660">
        <v>1200</v>
      </c>
      <c r="D660" t="s">
        <v>11</v>
      </c>
      <c r="E660" t="s">
        <v>1148</v>
      </c>
      <c r="F660" t="s">
        <v>1149</v>
      </c>
      <c r="G660" t="s">
        <v>1150</v>
      </c>
      <c r="H660" t="s">
        <v>1141</v>
      </c>
      <c r="I660" s="1">
        <v>39837.631944444445</v>
      </c>
      <c r="J660">
        <v>59.413611099999997</v>
      </c>
      <c r="K660">
        <v>10.466944399999999</v>
      </c>
    </row>
    <row r="661" spans="1:11" x14ac:dyDescent="0.45">
      <c r="A661" s="1">
        <v>39828.45208333333</v>
      </c>
      <c r="B661" t="s">
        <v>10</v>
      </c>
      <c r="C661">
        <v>1200</v>
      </c>
      <c r="D661" t="s">
        <v>16</v>
      </c>
      <c r="E661" t="s">
        <v>1151</v>
      </c>
      <c r="F661" t="s">
        <v>1152</v>
      </c>
      <c r="G661" t="s">
        <v>1140</v>
      </c>
      <c r="H661" t="s">
        <v>1141</v>
      </c>
      <c r="I661" s="1">
        <v>39841.443749999999</v>
      </c>
      <c r="J661">
        <v>58.883333299999997</v>
      </c>
      <c r="K661">
        <v>5.6</v>
      </c>
    </row>
    <row r="662" spans="1:11" x14ac:dyDescent="0.45">
      <c r="A662" s="1">
        <v>39824.62222222222</v>
      </c>
      <c r="B662" t="s">
        <v>10</v>
      </c>
      <c r="C662">
        <v>1200</v>
      </c>
      <c r="D662" t="s">
        <v>11</v>
      </c>
      <c r="E662" t="s">
        <v>81</v>
      </c>
      <c r="F662" t="s">
        <v>1153</v>
      </c>
      <c r="G662" t="s">
        <v>1154</v>
      </c>
      <c r="H662" t="s">
        <v>1141</v>
      </c>
      <c r="I662" s="1">
        <v>39844.181250000001</v>
      </c>
      <c r="J662">
        <v>61.55</v>
      </c>
      <c r="K662">
        <v>6.35</v>
      </c>
    </row>
    <row r="663" spans="1:11" x14ac:dyDescent="0.45">
      <c r="A663" s="1">
        <v>39822.690972222219</v>
      </c>
      <c r="B663" t="s">
        <v>10</v>
      </c>
      <c r="C663">
        <v>1200</v>
      </c>
      <c r="D663" t="s">
        <v>16</v>
      </c>
      <c r="E663" t="s">
        <v>260</v>
      </c>
      <c r="F663" t="s">
        <v>1155</v>
      </c>
      <c r="G663" t="s">
        <v>1143</v>
      </c>
      <c r="H663" t="s">
        <v>1141</v>
      </c>
      <c r="I663" s="1">
        <v>39845.179166666669</v>
      </c>
      <c r="J663">
        <v>59.860833300000003</v>
      </c>
      <c r="K663">
        <v>10.790555599999999</v>
      </c>
    </row>
    <row r="664" spans="1:11" x14ac:dyDescent="0.45">
      <c r="A664" s="1">
        <v>39819.152083333334</v>
      </c>
      <c r="B664" t="s">
        <v>10</v>
      </c>
      <c r="C664">
        <v>1200</v>
      </c>
      <c r="D664" t="s">
        <v>11</v>
      </c>
      <c r="E664" t="s">
        <v>1156</v>
      </c>
      <c r="F664" t="s">
        <v>1157</v>
      </c>
      <c r="G664" t="s">
        <v>1158</v>
      </c>
      <c r="H664" t="s">
        <v>1141</v>
      </c>
      <c r="I664" s="1">
        <v>39846.005555555559</v>
      </c>
      <c r="J664">
        <v>60.391111100000003</v>
      </c>
      <c r="K664">
        <v>5.3247222000000001</v>
      </c>
    </row>
    <row r="665" spans="1:11" x14ac:dyDescent="0.45">
      <c r="A665" s="1">
        <v>39826.384722222225</v>
      </c>
      <c r="B665" t="s">
        <v>10</v>
      </c>
      <c r="C665">
        <v>1200</v>
      </c>
      <c r="D665" t="s">
        <v>11</v>
      </c>
      <c r="E665" t="s">
        <v>1159</v>
      </c>
      <c r="F665" t="s">
        <v>1160</v>
      </c>
      <c r="G665" t="s">
        <v>1158</v>
      </c>
      <c r="H665" t="s">
        <v>1141</v>
      </c>
      <c r="I665" s="1">
        <v>39854.37777777778</v>
      </c>
      <c r="J665">
        <v>60.633333299999997</v>
      </c>
      <c r="K665">
        <v>6.4333333000000001</v>
      </c>
    </row>
    <row r="666" spans="1:11" x14ac:dyDescent="0.45">
      <c r="A666" s="1">
        <v>39841.190972222219</v>
      </c>
      <c r="B666" t="s">
        <v>10</v>
      </c>
      <c r="C666">
        <v>1200</v>
      </c>
      <c r="D666" t="s">
        <v>16</v>
      </c>
      <c r="E666" t="s">
        <v>1161</v>
      </c>
      <c r="F666" t="s">
        <v>1143</v>
      </c>
      <c r="G666" t="s">
        <v>1143</v>
      </c>
      <c r="H666" t="s">
        <v>1141</v>
      </c>
      <c r="I666" s="1">
        <v>39857.96875</v>
      </c>
      <c r="J666">
        <v>59.9166667</v>
      </c>
      <c r="K666">
        <v>10.75</v>
      </c>
    </row>
    <row r="667" spans="1:11" x14ac:dyDescent="0.45">
      <c r="A667" s="1">
        <v>39838.344444444447</v>
      </c>
      <c r="B667" t="s">
        <v>20</v>
      </c>
      <c r="C667">
        <v>100000</v>
      </c>
      <c r="D667" t="s">
        <v>11</v>
      </c>
      <c r="E667" t="s">
        <v>914</v>
      </c>
      <c r="F667" t="s">
        <v>1143</v>
      </c>
      <c r="G667" t="s">
        <v>1143</v>
      </c>
      <c r="H667" t="s">
        <v>1141</v>
      </c>
      <c r="I667" s="1">
        <v>39864.973611111112</v>
      </c>
      <c r="J667">
        <v>59.9166667</v>
      </c>
      <c r="K667">
        <v>10.75</v>
      </c>
    </row>
    <row r="668" spans="1:11" x14ac:dyDescent="0.45">
      <c r="A668" s="1">
        <v>39832.449305555558</v>
      </c>
      <c r="B668" t="s">
        <v>10</v>
      </c>
      <c r="C668">
        <v>1200</v>
      </c>
      <c r="D668" t="s">
        <v>16</v>
      </c>
      <c r="E668" t="s">
        <v>199</v>
      </c>
      <c r="F668" t="s">
        <v>1162</v>
      </c>
      <c r="G668" t="s">
        <v>1140</v>
      </c>
      <c r="H668" t="s">
        <v>1141</v>
      </c>
      <c r="I668" s="1">
        <v>39869.027777777781</v>
      </c>
      <c r="J668">
        <v>58.966666699999998</v>
      </c>
      <c r="K668">
        <v>5.75</v>
      </c>
    </row>
    <row r="669" spans="1:11" x14ac:dyDescent="0.45">
      <c r="A669" s="1">
        <v>39835.538888888892</v>
      </c>
      <c r="B669" t="s">
        <v>10</v>
      </c>
      <c r="C669">
        <v>1200</v>
      </c>
      <c r="D669" t="s">
        <v>11</v>
      </c>
      <c r="E669" t="s">
        <v>1163</v>
      </c>
      <c r="F669" t="s">
        <v>1164</v>
      </c>
      <c r="G669" t="s">
        <v>1150</v>
      </c>
      <c r="H669" t="s">
        <v>1141</v>
      </c>
      <c r="I669" s="1">
        <v>39869.502083333333</v>
      </c>
      <c r="J669">
        <v>59.348888899999999</v>
      </c>
      <c r="K669">
        <v>10.467499999999999</v>
      </c>
    </row>
    <row r="670" spans="1:11" x14ac:dyDescent="0.45">
      <c r="A670" s="1">
        <v>39815.181250000001</v>
      </c>
      <c r="B670" t="s">
        <v>10</v>
      </c>
      <c r="C670">
        <v>1200</v>
      </c>
      <c r="D670" t="s">
        <v>11</v>
      </c>
      <c r="E670" t="s">
        <v>455</v>
      </c>
      <c r="F670" t="s">
        <v>1165</v>
      </c>
      <c r="G670" t="s">
        <v>1166</v>
      </c>
      <c r="H670" t="s">
        <v>1141</v>
      </c>
      <c r="I670" s="1">
        <v>39870.137499999997</v>
      </c>
      <c r="J670">
        <v>59.816666699999999</v>
      </c>
      <c r="K670">
        <v>10.25</v>
      </c>
    </row>
    <row r="671" spans="1:11" x14ac:dyDescent="0.45">
      <c r="A671" s="1">
        <v>39821.00277777778</v>
      </c>
      <c r="B671" t="s">
        <v>10</v>
      </c>
      <c r="C671">
        <v>1200</v>
      </c>
      <c r="D671" t="s">
        <v>11</v>
      </c>
      <c r="E671" t="s">
        <v>1167</v>
      </c>
      <c r="F671" t="s">
        <v>1168</v>
      </c>
      <c r="G671" t="s">
        <v>1169</v>
      </c>
      <c r="H671" t="s">
        <v>1170</v>
      </c>
      <c r="I671" s="1">
        <v>39844.740972222222</v>
      </c>
      <c r="J671">
        <v>-39.066666699999999</v>
      </c>
      <c r="K671">
        <v>174.08333329999999</v>
      </c>
    </row>
    <row r="672" spans="1:11" x14ac:dyDescent="0.45">
      <c r="A672" s="1">
        <v>39836.613194444442</v>
      </c>
      <c r="B672" t="s">
        <v>10</v>
      </c>
      <c r="C672">
        <v>1200</v>
      </c>
      <c r="D672" t="s">
        <v>11</v>
      </c>
      <c r="E672" t="s">
        <v>810</v>
      </c>
      <c r="F672" t="s">
        <v>1171</v>
      </c>
      <c r="G672" t="s">
        <v>1172</v>
      </c>
      <c r="H672" t="s">
        <v>1170</v>
      </c>
      <c r="I672" s="1">
        <v>39845.896527777775</v>
      </c>
      <c r="J672">
        <v>-36.700000000000003</v>
      </c>
      <c r="K672">
        <v>174.75</v>
      </c>
    </row>
    <row r="673" spans="1:11" x14ac:dyDescent="0.45">
      <c r="A673" s="1">
        <v>39842.627083333333</v>
      </c>
      <c r="B673" t="s">
        <v>10</v>
      </c>
      <c r="C673">
        <v>1200</v>
      </c>
      <c r="D673" t="s">
        <v>11</v>
      </c>
      <c r="E673" t="s">
        <v>712</v>
      </c>
      <c r="F673" t="s">
        <v>1172</v>
      </c>
      <c r="G673" t="s">
        <v>1172</v>
      </c>
      <c r="H673" t="s">
        <v>1170</v>
      </c>
      <c r="I673" s="1">
        <v>39854.688194444447</v>
      </c>
      <c r="J673">
        <v>-36.866666700000003</v>
      </c>
      <c r="K673">
        <v>174.7666667</v>
      </c>
    </row>
    <row r="674" spans="1:11" x14ac:dyDescent="0.45">
      <c r="A674" s="1">
        <v>39820.581250000003</v>
      </c>
      <c r="B674" t="s">
        <v>10</v>
      </c>
      <c r="C674">
        <v>1200</v>
      </c>
      <c r="D674" t="s">
        <v>11</v>
      </c>
      <c r="E674" t="s">
        <v>1173</v>
      </c>
      <c r="F674" t="s">
        <v>1174</v>
      </c>
      <c r="G674" t="s">
        <v>1172</v>
      </c>
      <c r="H674" t="s">
        <v>1170</v>
      </c>
      <c r="I674" s="1">
        <v>39857.82916666667</v>
      </c>
      <c r="J674">
        <v>-36.549999999999997</v>
      </c>
      <c r="K674">
        <v>174.71666669999999</v>
      </c>
    </row>
    <row r="675" spans="1:11" x14ac:dyDescent="0.45">
      <c r="A675" s="1">
        <v>39830.868750000001</v>
      </c>
      <c r="B675" t="s">
        <v>10</v>
      </c>
      <c r="C675">
        <v>1200</v>
      </c>
      <c r="D675" t="s">
        <v>11</v>
      </c>
      <c r="E675" t="s">
        <v>450</v>
      </c>
      <c r="F675" t="s">
        <v>1175</v>
      </c>
      <c r="G675" t="s">
        <v>1172</v>
      </c>
      <c r="H675" t="s">
        <v>1170</v>
      </c>
      <c r="I675" s="1">
        <v>39870.679861111108</v>
      </c>
      <c r="J675">
        <v>-37.133333299999997</v>
      </c>
      <c r="K675">
        <v>174.75</v>
      </c>
    </row>
    <row r="676" spans="1:11" x14ac:dyDescent="0.45">
      <c r="A676" s="1">
        <v>39841.918055555558</v>
      </c>
      <c r="B676" t="s">
        <v>10</v>
      </c>
      <c r="C676">
        <v>1200</v>
      </c>
      <c r="D676" t="s">
        <v>11</v>
      </c>
      <c r="E676" t="s">
        <v>800</v>
      </c>
      <c r="F676" t="s">
        <v>1176</v>
      </c>
      <c r="G676" t="s">
        <v>1169</v>
      </c>
      <c r="H676" t="s">
        <v>1170</v>
      </c>
      <c r="I676" s="1">
        <v>39872.529861111114</v>
      </c>
      <c r="J676">
        <v>-39.591666699999998</v>
      </c>
      <c r="K676">
        <v>174.28333330000001</v>
      </c>
    </row>
    <row r="677" spans="1:11" x14ac:dyDescent="0.45">
      <c r="A677" s="1">
        <v>39818.23541666667</v>
      </c>
      <c r="B677" t="s">
        <v>10</v>
      </c>
      <c r="C677">
        <v>1200</v>
      </c>
      <c r="D677" t="s">
        <v>63</v>
      </c>
      <c r="E677" t="s">
        <v>346</v>
      </c>
      <c r="F677" t="s">
        <v>1177</v>
      </c>
      <c r="G677" t="s">
        <v>1178</v>
      </c>
      <c r="H677" t="s">
        <v>1179</v>
      </c>
      <c r="I677" s="1">
        <v>39818.34375</v>
      </c>
      <c r="J677">
        <v>51.45</v>
      </c>
      <c r="K677">
        <v>5.4666667000000002</v>
      </c>
    </row>
    <row r="678" spans="1:11" x14ac:dyDescent="0.45">
      <c r="A678" s="1">
        <v>39818.553472222222</v>
      </c>
      <c r="B678" t="s">
        <v>10</v>
      </c>
      <c r="C678">
        <v>1200</v>
      </c>
      <c r="D678" t="s">
        <v>16</v>
      </c>
      <c r="E678" t="s">
        <v>540</v>
      </c>
      <c r="F678" t="s">
        <v>1180</v>
      </c>
      <c r="G678" t="s">
        <v>1181</v>
      </c>
      <c r="H678" t="s">
        <v>1179</v>
      </c>
      <c r="I678" s="1">
        <v>39821.489583333336</v>
      </c>
      <c r="J678">
        <v>52.3333333</v>
      </c>
      <c r="K678">
        <v>4.7833332999999998</v>
      </c>
    </row>
    <row r="679" spans="1:11" x14ac:dyDescent="0.45">
      <c r="A679" s="1">
        <v>39814.211111111108</v>
      </c>
      <c r="B679" t="s">
        <v>10</v>
      </c>
      <c r="C679">
        <v>1200</v>
      </c>
      <c r="D679" t="s">
        <v>16</v>
      </c>
      <c r="E679" t="s">
        <v>1182</v>
      </c>
      <c r="F679" t="s">
        <v>1183</v>
      </c>
      <c r="G679" t="s">
        <v>1184</v>
      </c>
      <c r="H679" t="s">
        <v>1179</v>
      </c>
      <c r="I679" s="1">
        <v>39828.451388888891</v>
      </c>
      <c r="J679">
        <v>53.133333299999997</v>
      </c>
      <c r="K679">
        <v>6.6333333000000003</v>
      </c>
    </row>
    <row r="680" spans="1:11" x14ac:dyDescent="0.45">
      <c r="A680" s="1">
        <v>39830.540972222225</v>
      </c>
      <c r="B680" t="s">
        <v>10</v>
      </c>
      <c r="C680">
        <v>1200</v>
      </c>
      <c r="D680" t="s">
        <v>63</v>
      </c>
      <c r="E680" t="s">
        <v>58</v>
      </c>
      <c r="F680" t="s">
        <v>1185</v>
      </c>
      <c r="G680" t="s">
        <v>1186</v>
      </c>
      <c r="H680" t="s">
        <v>1179</v>
      </c>
      <c r="I680" s="1">
        <v>39830.546527777777</v>
      </c>
      <c r="J680">
        <v>52.0833333</v>
      </c>
      <c r="K680">
        <v>4.3</v>
      </c>
    </row>
    <row r="681" spans="1:11" x14ac:dyDescent="0.45">
      <c r="A681" s="1">
        <v>39814.160416666666</v>
      </c>
      <c r="B681" t="s">
        <v>10</v>
      </c>
      <c r="C681">
        <v>1200</v>
      </c>
      <c r="D681" t="s">
        <v>16</v>
      </c>
      <c r="E681" t="s">
        <v>1187</v>
      </c>
      <c r="F681" t="s">
        <v>1188</v>
      </c>
      <c r="G681" t="s">
        <v>1181</v>
      </c>
      <c r="H681" t="s">
        <v>1179</v>
      </c>
      <c r="I681" s="1">
        <v>39830.94027777778</v>
      </c>
      <c r="J681">
        <v>52.35</v>
      </c>
      <c r="K681">
        <v>4.9166667000000004</v>
      </c>
    </row>
    <row r="682" spans="1:11" x14ac:dyDescent="0.45">
      <c r="A682" s="1">
        <v>39819.518750000003</v>
      </c>
      <c r="B682" t="s">
        <v>10</v>
      </c>
      <c r="C682">
        <v>1200</v>
      </c>
      <c r="D682" t="s">
        <v>16</v>
      </c>
      <c r="E682" t="s">
        <v>1189</v>
      </c>
      <c r="F682" t="s">
        <v>1188</v>
      </c>
      <c r="G682" t="s">
        <v>1181</v>
      </c>
      <c r="H682" t="s">
        <v>1179</v>
      </c>
      <c r="I682" s="1">
        <v>39832.207638888889</v>
      </c>
      <c r="J682">
        <v>52.35</v>
      </c>
      <c r="K682">
        <v>4.9166667000000004</v>
      </c>
    </row>
    <row r="683" spans="1:11" x14ac:dyDescent="0.45">
      <c r="A683" s="1">
        <v>39834.600694444445</v>
      </c>
      <c r="B683" t="s">
        <v>10</v>
      </c>
      <c r="C683">
        <v>1200</v>
      </c>
      <c r="D683" t="s">
        <v>11</v>
      </c>
      <c r="E683" t="s">
        <v>1190</v>
      </c>
      <c r="F683" t="s">
        <v>1191</v>
      </c>
      <c r="G683" t="s">
        <v>1181</v>
      </c>
      <c r="H683" t="s">
        <v>1179</v>
      </c>
      <c r="I683" s="1">
        <v>39835.026388888888</v>
      </c>
      <c r="J683">
        <v>52.55</v>
      </c>
      <c r="K683">
        <v>4.6666667000000004</v>
      </c>
    </row>
    <row r="684" spans="1:11" x14ac:dyDescent="0.45">
      <c r="A684" s="1">
        <v>39836.145833333336</v>
      </c>
      <c r="B684" t="s">
        <v>10</v>
      </c>
      <c r="C684">
        <v>1200</v>
      </c>
      <c r="D684" t="s">
        <v>63</v>
      </c>
      <c r="E684" t="s">
        <v>1192</v>
      </c>
      <c r="F684" t="s">
        <v>1193</v>
      </c>
      <c r="G684" t="s">
        <v>1181</v>
      </c>
      <c r="H684" t="s">
        <v>1179</v>
      </c>
      <c r="I684" s="1">
        <v>39836.152777777781</v>
      </c>
      <c r="J684">
        <v>52.3</v>
      </c>
      <c r="K684">
        <v>5.15</v>
      </c>
    </row>
    <row r="685" spans="1:11" x14ac:dyDescent="0.45">
      <c r="A685" s="1">
        <v>39819.609722222223</v>
      </c>
      <c r="B685" t="s">
        <v>20</v>
      </c>
      <c r="C685">
        <v>100000</v>
      </c>
      <c r="D685" t="s">
        <v>16</v>
      </c>
      <c r="E685" t="s">
        <v>674</v>
      </c>
      <c r="F685" t="s">
        <v>1185</v>
      </c>
      <c r="G685" t="s">
        <v>1186</v>
      </c>
      <c r="H685" t="s">
        <v>1179</v>
      </c>
      <c r="I685" s="1">
        <v>39838.134027777778</v>
      </c>
      <c r="J685">
        <v>52.0833333</v>
      </c>
      <c r="K685">
        <v>4.3</v>
      </c>
    </row>
    <row r="686" spans="1:11" x14ac:dyDescent="0.45">
      <c r="A686" s="1">
        <v>39828.30972222222</v>
      </c>
      <c r="B686" t="s">
        <v>10</v>
      </c>
      <c r="C686">
        <v>1200</v>
      </c>
      <c r="D686" t="s">
        <v>16</v>
      </c>
      <c r="E686" t="s">
        <v>276</v>
      </c>
      <c r="F686" t="s">
        <v>1185</v>
      </c>
      <c r="G686" t="s">
        <v>1186</v>
      </c>
      <c r="H686" t="s">
        <v>1179</v>
      </c>
      <c r="I686" s="1">
        <v>39845.553472222222</v>
      </c>
      <c r="J686">
        <v>52.0833333</v>
      </c>
      <c r="K686">
        <v>4.3</v>
      </c>
    </row>
    <row r="687" spans="1:11" x14ac:dyDescent="0.45">
      <c r="A687" s="1">
        <v>39840.532638888886</v>
      </c>
      <c r="B687" t="s">
        <v>10</v>
      </c>
      <c r="C687">
        <v>1200</v>
      </c>
      <c r="D687" t="s">
        <v>11</v>
      </c>
      <c r="E687" t="s">
        <v>1194</v>
      </c>
      <c r="F687" t="s">
        <v>1188</v>
      </c>
      <c r="G687" t="s">
        <v>1181</v>
      </c>
      <c r="H687" t="s">
        <v>1179</v>
      </c>
      <c r="I687" s="1">
        <v>39856.540972222225</v>
      </c>
      <c r="J687">
        <v>52.35</v>
      </c>
      <c r="K687">
        <v>4.9166667000000004</v>
      </c>
    </row>
    <row r="688" spans="1:11" x14ac:dyDescent="0.45">
      <c r="A688" s="1">
        <v>39829.331944444442</v>
      </c>
      <c r="B688" t="s">
        <v>10</v>
      </c>
      <c r="C688">
        <v>1200</v>
      </c>
      <c r="D688" t="s">
        <v>63</v>
      </c>
      <c r="E688" t="s">
        <v>1195</v>
      </c>
      <c r="F688" t="s">
        <v>1185</v>
      </c>
      <c r="G688" t="s">
        <v>1186</v>
      </c>
      <c r="H688" t="s">
        <v>1179</v>
      </c>
      <c r="I688" s="1">
        <v>39857.128472222219</v>
      </c>
      <c r="J688">
        <v>52.0833333</v>
      </c>
      <c r="K688">
        <v>4.3</v>
      </c>
    </row>
    <row r="689" spans="1:11" x14ac:dyDescent="0.45">
      <c r="A689" s="1">
        <v>39830.075694444444</v>
      </c>
      <c r="B689" t="s">
        <v>10</v>
      </c>
      <c r="C689">
        <v>1200</v>
      </c>
      <c r="D689" t="s">
        <v>16</v>
      </c>
      <c r="E689" t="s">
        <v>1196</v>
      </c>
      <c r="F689" t="s">
        <v>1185</v>
      </c>
      <c r="G689" t="s">
        <v>1186</v>
      </c>
      <c r="H689" t="s">
        <v>1179</v>
      </c>
      <c r="I689" s="1">
        <v>39859.22152777778</v>
      </c>
      <c r="J689">
        <v>52.0833333</v>
      </c>
      <c r="K689">
        <v>4.3</v>
      </c>
    </row>
    <row r="690" spans="1:11" x14ac:dyDescent="0.45">
      <c r="A690" s="1">
        <v>39832.652777777781</v>
      </c>
      <c r="B690" t="s">
        <v>20</v>
      </c>
      <c r="C690">
        <v>100000</v>
      </c>
      <c r="D690" t="s">
        <v>11</v>
      </c>
      <c r="E690" t="s">
        <v>809</v>
      </c>
      <c r="F690" t="s">
        <v>1197</v>
      </c>
      <c r="G690" t="s">
        <v>1198</v>
      </c>
      <c r="H690" t="s">
        <v>1179</v>
      </c>
      <c r="I690" s="1">
        <v>39859.439583333333</v>
      </c>
      <c r="J690">
        <v>52.033333300000002</v>
      </c>
      <c r="K690">
        <v>5.6666667000000004</v>
      </c>
    </row>
    <row r="691" spans="1:11" x14ac:dyDescent="0.45">
      <c r="A691" s="1">
        <v>39831.509722222225</v>
      </c>
      <c r="B691" t="s">
        <v>20</v>
      </c>
      <c r="C691">
        <v>100000</v>
      </c>
      <c r="D691" t="s">
        <v>16</v>
      </c>
      <c r="E691" t="s">
        <v>1199</v>
      </c>
      <c r="F691" t="s">
        <v>1200</v>
      </c>
      <c r="G691" t="s">
        <v>1200</v>
      </c>
      <c r="H691" t="s">
        <v>1179</v>
      </c>
      <c r="I691" s="1">
        <v>39860.53402777778</v>
      </c>
      <c r="J691">
        <v>52.0833333</v>
      </c>
      <c r="K691">
        <v>5.1333333000000003</v>
      </c>
    </row>
    <row r="692" spans="1:11" x14ac:dyDescent="0.45">
      <c r="A692" s="1">
        <v>39836.515972222223</v>
      </c>
      <c r="B692" t="s">
        <v>10</v>
      </c>
      <c r="C692">
        <v>5000</v>
      </c>
      <c r="D692" t="s">
        <v>16</v>
      </c>
      <c r="E692" t="s">
        <v>1201</v>
      </c>
      <c r="F692" t="s">
        <v>1185</v>
      </c>
      <c r="G692" t="s">
        <v>1186</v>
      </c>
      <c r="H692" t="s">
        <v>1179</v>
      </c>
      <c r="I692" s="1">
        <v>39861.149305555555</v>
      </c>
      <c r="J692">
        <v>52.0833333</v>
      </c>
      <c r="K692">
        <v>4.3</v>
      </c>
    </row>
    <row r="693" spans="1:11" x14ac:dyDescent="0.45">
      <c r="A693" s="1">
        <v>39817.15347222222</v>
      </c>
      <c r="B693" t="s">
        <v>10</v>
      </c>
      <c r="C693">
        <v>1200</v>
      </c>
      <c r="D693" t="s">
        <v>16</v>
      </c>
      <c r="E693" t="s">
        <v>212</v>
      </c>
      <c r="F693" t="s">
        <v>1185</v>
      </c>
      <c r="G693" t="s">
        <v>1186</v>
      </c>
      <c r="H693" t="s">
        <v>1179</v>
      </c>
      <c r="I693" s="1">
        <v>39864.01666666667</v>
      </c>
      <c r="J693">
        <v>52.0833333</v>
      </c>
      <c r="K693">
        <v>4.3</v>
      </c>
    </row>
    <row r="694" spans="1:11" x14ac:dyDescent="0.45">
      <c r="A694" s="1">
        <v>39825.243055555555</v>
      </c>
      <c r="B694" t="s">
        <v>230</v>
      </c>
      <c r="C694">
        <v>100000</v>
      </c>
      <c r="D694" t="s">
        <v>16</v>
      </c>
      <c r="E694" t="s">
        <v>1202</v>
      </c>
      <c r="F694" t="s">
        <v>1185</v>
      </c>
      <c r="G694" t="s">
        <v>1186</v>
      </c>
      <c r="H694" t="s">
        <v>1179</v>
      </c>
      <c r="I694" s="1">
        <v>39864.01666666667</v>
      </c>
      <c r="J694">
        <v>52.0833333</v>
      </c>
      <c r="K694">
        <v>4.3</v>
      </c>
    </row>
    <row r="695" spans="1:11" x14ac:dyDescent="0.45">
      <c r="A695" s="1">
        <v>39843.992361111108</v>
      </c>
      <c r="B695" t="s">
        <v>20</v>
      </c>
      <c r="C695">
        <v>100000</v>
      </c>
      <c r="D695" t="s">
        <v>11</v>
      </c>
      <c r="E695" t="s">
        <v>540</v>
      </c>
      <c r="F695" t="s">
        <v>1203</v>
      </c>
      <c r="G695" t="s">
        <v>1181</v>
      </c>
      <c r="H695" t="s">
        <v>1179</v>
      </c>
      <c r="I695" s="1">
        <v>39865.586805555555</v>
      </c>
      <c r="J695">
        <v>52.233333299999998</v>
      </c>
      <c r="K695">
        <v>5.1833333000000001</v>
      </c>
    </row>
    <row r="696" spans="1:11" x14ac:dyDescent="0.45">
      <c r="A696" s="1">
        <v>39838.19027777778</v>
      </c>
      <c r="B696" t="s">
        <v>10</v>
      </c>
      <c r="C696">
        <v>1200</v>
      </c>
      <c r="D696" t="s">
        <v>16</v>
      </c>
      <c r="E696" t="s">
        <v>309</v>
      </c>
      <c r="F696" t="s">
        <v>1184</v>
      </c>
      <c r="G696" t="s">
        <v>1184</v>
      </c>
      <c r="H696" t="s">
        <v>1179</v>
      </c>
      <c r="I696" s="1">
        <v>39867.133333333331</v>
      </c>
      <c r="J696">
        <v>53.216666699999998</v>
      </c>
      <c r="K696">
        <v>6.55</v>
      </c>
    </row>
    <row r="697" spans="1:11" x14ac:dyDescent="0.45">
      <c r="A697" s="1">
        <v>39824.010416666664</v>
      </c>
      <c r="B697" t="s">
        <v>10</v>
      </c>
      <c r="C697">
        <v>1200</v>
      </c>
      <c r="D697" t="s">
        <v>16</v>
      </c>
      <c r="E697" t="s">
        <v>1204</v>
      </c>
      <c r="F697" t="s">
        <v>1185</v>
      </c>
      <c r="G697" t="s">
        <v>1186</v>
      </c>
      <c r="H697" t="s">
        <v>1179</v>
      </c>
      <c r="I697" s="1">
        <v>39869.169444444444</v>
      </c>
      <c r="J697">
        <v>52.0833333</v>
      </c>
      <c r="K697">
        <v>4.3</v>
      </c>
    </row>
    <row r="698" spans="1:11" x14ac:dyDescent="0.45">
      <c r="A698" s="1">
        <v>39835.164583333331</v>
      </c>
      <c r="B698" t="s">
        <v>20</v>
      </c>
      <c r="C698">
        <v>100000</v>
      </c>
      <c r="D698" t="s">
        <v>16</v>
      </c>
      <c r="E698" t="s">
        <v>1205</v>
      </c>
      <c r="F698" t="s">
        <v>1206</v>
      </c>
      <c r="G698" t="s">
        <v>1186</v>
      </c>
      <c r="H698" t="s">
        <v>1179</v>
      </c>
      <c r="I698" s="1">
        <v>39871.082638888889</v>
      </c>
      <c r="J698">
        <v>52.183333300000001</v>
      </c>
      <c r="K698">
        <v>4.4666667000000002</v>
      </c>
    </row>
    <row r="699" spans="1:11" x14ac:dyDescent="0.45">
      <c r="A699" s="1">
        <v>39821.564583333333</v>
      </c>
      <c r="B699" t="s">
        <v>10</v>
      </c>
      <c r="C699">
        <v>1200</v>
      </c>
      <c r="D699" t="s">
        <v>11</v>
      </c>
      <c r="E699" t="s">
        <v>1207</v>
      </c>
      <c r="F699" t="s">
        <v>1208</v>
      </c>
      <c r="H699" t="s">
        <v>1209</v>
      </c>
      <c r="I699" s="1">
        <v>39848.261111111111</v>
      </c>
      <c r="J699">
        <v>43.733333299999998</v>
      </c>
      <c r="K699">
        <v>7.4166667000000004</v>
      </c>
    </row>
    <row r="700" spans="1:11" x14ac:dyDescent="0.45">
      <c r="A700" s="1">
        <v>39835.506249999999</v>
      </c>
      <c r="B700" t="s">
        <v>10</v>
      </c>
      <c r="C700">
        <v>1200</v>
      </c>
      <c r="D700" t="s">
        <v>11</v>
      </c>
      <c r="E700" t="s">
        <v>1210</v>
      </c>
      <c r="F700" t="s">
        <v>1209</v>
      </c>
      <c r="H700" t="s">
        <v>1209</v>
      </c>
      <c r="I700" s="1">
        <v>39848.269444444442</v>
      </c>
      <c r="J700">
        <v>43.733333299999998</v>
      </c>
      <c r="K700">
        <v>7.4166667000000004</v>
      </c>
    </row>
    <row r="701" spans="1:11" x14ac:dyDescent="0.45">
      <c r="A701" s="1">
        <v>39819.71875</v>
      </c>
      <c r="B701" t="s">
        <v>10</v>
      </c>
      <c r="C701">
        <v>1200</v>
      </c>
      <c r="D701" t="s">
        <v>11</v>
      </c>
      <c r="E701" t="s">
        <v>234</v>
      </c>
      <c r="F701" t="s">
        <v>1211</v>
      </c>
      <c r="G701" t="s">
        <v>1212</v>
      </c>
      <c r="H701" t="s">
        <v>1213</v>
      </c>
      <c r="I701" s="1">
        <v>39827.435416666667</v>
      </c>
      <c r="J701">
        <v>46.984999999999999</v>
      </c>
      <c r="K701">
        <v>28.942499999999999</v>
      </c>
    </row>
    <row r="702" spans="1:11" x14ac:dyDescent="0.45">
      <c r="A702" s="1">
        <v>39841.23333333333</v>
      </c>
      <c r="B702" t="s">
        <v>20</v>
      </c>
      <c r="C702">
        <v>100000</v>
      </c>
      <c r="D702" t="s">
        <v>11</v>
      </c>
      <c r="E702" t="s">
        <v>82</v>
      </c>
      <c r="F702" t="s">
        <v>1214</v>
      </c>
      <c r="G702" t="s">
        <v>1214</v>
      </c>
      <c r="H702" t="s">
        <v>1215</v>
      </c>
      <c r="I702" s="1">
        <v>39873.194444444445</v>
      </c>
      <c r="J702">
        <v>-20.360277799999999</v>
      </c>
      <c r="K702">
        <v>57.366111099999998</v>
      </c>
    </row>
    <row r="703" spans="1:11" x14ac:dyDescent="0.45">
      <c r="A703" s="1">
        <v>39814.513888888891</v>
      </c>
      <c r="B703" t="s">
        <v>20</v>
      </c>
      <c r="C703">
        <v>100000</v>
      </c>
      <c r="D703" t="s">
        <v>11</v>
      </c>
      <c r="E703" t="s">
        <v>1216</v>
      </c>
      <c r="F703" t="s">
        <v>1217</v>
      </c>
      <c r="H703" t="s">
        <v>1218</v>
      </c>
      <c r="I703" s="1">
        <v>39835.5</v>
      </c>
      <c r="J703">
        <v>35.920277800000001</v>
      </c>
      <c r="K703">
        <v>14.442500000000001</v>
      </c>
    </row>
    <row r="704" spans="1:11" x14ac:dyDescent="0.45">
      <c r="A704" s="1">
        <v>39820.504166666666</v>
      </c>
      <c r="B704" t="s">
        <v>10</v>
      </c>
      <c r="C704">
        <v>1200</v>
      </c>
      <c r="D704" t="s">
        <v>11</v>
      </c>
      <c r="E704" t="s">
        <v>357</v>
      </c>
      <c r="F704" t="s">
        <v>1219</v>
      </c>
      <c r="H704" t="s">
        <v>1218</v>
      </c>
      <c r="I704" s="1">
        <v>39872.332638888889</v>
      </c>
      <c r="J704">
        <v>36.037777800000001</v>
      </c>
      <c r="K704">
        <v>14.2941667</v>
      </c>
    </row>
    <row r="705" spans="1:11" x14ac:dyDescent="0.45">
      <c r="A705" s="1">
        <v>39836.929861111108</v>
      </c>
      <c r="B705" t="s">
        <v>10</v>
      </c>
      <c r="C705">
        <v>1200</v>
      </c>
      <c r="D705" t="s">
        <v>16</v>
      </c>
      <c r="E705" t="s">
        <v>1220</v>
      </c>
      <c r="F705" t="s">
        <v>1221</v>
      </c>
      <c r="G705" t="s">
        <v>1221</v>
      </c>
      <c r="H705" t="s">
        <v>1222</v>
      </c>
      <c r="I705" s="1">
        <v>39840.82916666667</v>
      </c>
      <c r="J705">
        <v>3.1666666999999999</v>
      </c>
      <c r="K705">
        <v>101.7</v>
      </c>
    </row>
    <row r="706" spans="1:11" x14ac:dyDescent="0.45">
      <c r="A706" s="1">
        <v>39825.570138888892</v>
      </c>
      <c r="B706" t="s">
        <v>10</v>
      </c>
      <c r="C706">
        <v>1200</v>
      </c>
      <c r="D706" t="s">
        <v>11</v>
      </c>
      <c r="E706" t="s">
        <v>290</v>
      </c>
      <c r="F706" t="s">
        <v>1223</v>
      </c>
      <c r="G706" t="s">
        <v>1224</v>
      </c>
      <c r="H706" t="s">
        <v>1224</v>
      </c>
      <c r="I706" s="1">
        <v>39826.043749999997</v>
      </c>
      <c r="J706">
        <v>49.585555599999999</v>
      </c>
      <c r="K706">
        <v>6.1230555999999998</v>
      </c>
    </row>
    <row r="707" spans="1:11" x14ac:dyDescent="0.45">
      <c r="A707" s="1">
        <v>39820.070833333331</v>
      </c>
      <c r="B707" t="s">
        <v>10</v>
      </c>
      <c r="C707">
        <v>1200</v>
      </c>
      <c r="D707" t="s">
        <v>16</v>
      </c>
      <c r="E707" t="s">
        <v>977</v>
      </c>
      <c r="F707" t="s">
        <v>1225</v>
      </c>
      <c r="G707" t="s">
        <v>1226</v>
      </c>
      <c r="H707" t="s">
        <v>1227</v>
      </c>
      <c r="I707" s="1">
        <v>39850.180555555555</v>
      </c>
      <c r="J707">
        <v>57.033333300000002</v>
      </c>
      <c r="K707">
        <v>24.1</v>
      </c>
    </row>
    <row r="708" spans="1:11" x14ac:dyDescent="0.45">
      <c r="A708" s="1">
        <v>39830.057638888888</v>
      </c>
      <c r="B708" t="s">
        <v>10</v>
      </c>
      <c r="C708">
        <v>1200</v>
      </c>
      <c r="D708" t="s">
        <v>63</v>
      </c>
      <c r="E708" t="s">
        <v>1228</v>
      </c>
      <c r="F708" t="s">
        <v>1229</v>
      </c>
      <c r="H708" t="s">
        <v>1230</v>
      </c>
      <c r="I708" s="1">
        <v>39831.380555555559</v>
      </c>
      <c r="J708">
        <v>29.289166699999999</v>
      </c>
      <c r="K708">
        <v>48.05</v>
      </c>
    </row>
    <row r="709" spans="1:11" x14ac:dyDescent="0.45">
      <c r="A709" s="1">
        <v>39823.387499999997</v>
      </c>
      <c r="B709" t="s">
        <v>10</v>
      </c>
      <c r="C709">
        <v>1200</v>
      </c>
      <c r="D709" t="s">
        <v>63</v>
      </c>
      <c r="E709" t="s">
        <v>1231</v>
      </c>
      <c r="F709" t="s">
        <v>1232</v>
      </c>
      <c r="H709" t="s">
        <v>1233</v>
      </c>
      <c r="I709" s="1">
        <v>39840.32708333333</v>
      </c>
      <c r="J709">
        <v>49.2</v>
      </c>
      <c r="K709">
        <v>-2.0333332999999998</v>
      </c>
    </row>
    <row r="710" spans="1:11" x14ac:dyDescent="0.45">
      <c r="A710" s="1">
        <v>39832.142361111109</v>
      </c>
      <c r="B710" t="s">
        <v>10</v>
      </c>
      <c r="C710">
        <v>70000</v>
      </c>
      <c r="D710" t="s">
        <v>11</v>
      </c>
      <c r="E710" t="s">
        <v>1234</v>
      </c>
      <c r="F710" t="s">
        <v>1235</v>
      </c>
      <c r="G710" t="s">
        <v>1236</v>
      </c>
      <c r="H710" t="s">
        <v>1237</v>
      </c>
      <c r="I710" s="1">
        <v>39858.043749999997</v>
      </c>
      <c r="J710">
        <v>35.633333299999997</v>
      </c>
      <c r="K710">
        <v>139.65</v>
      </c>
    </row>
    <row r="711" spans="1:11" x14ac:dyDescent="0.45">
      <c r="A711" s="1">
        <v>39839.947916666664</v>
      </c>
      <c r="B711" t="s">
        <v>10</v>
      </c>
      <c r="C711">
        <v>1200</v>
      </c>
      <c r="D711" t="s">
        <v>63</v>
      </c>
      <c r="E711" t="s">
        <v>1238</v>
      </c>
      <c r="F711" t="s">
        <v>1236</v>
      </c>
      <c r="G711" t="s">
        <v>1236</v>
      </c>
      <c r="H711" t="s">
        <v>1237</v>
      </c>
      <c r="I711" s="1">
        <v>39869.731944444444</v>
      </c>
      <c r="J711">
        <v>35.685000000000002</v>
      </c>
      <c r="K711">
        <v>139.75138889999999</v>
      </c>
    </row>
    <row r="712" spans="1:11" x14ac:dyDescent="0.45">
      <c r="A712" s="1">
        <v>39826.247916666667</v>
      </c>
      <c r="B712" t="s">
        <v>10</v>
      </c>
      <c r="C712">
        <v>1200</v>
      </c>
      <c r="D712" t="s">
        <v>11</v>
      </c>
      <c r="E712" t="s">
        <v>1239</v>
      </c>
      <c r="F712" t="s">
        <v>1240</v>
      </c>
      <c r="G712" t="s">
        <v>1241</v>
      </c>
      <c r="H712" t="s">
        <v>1242</v>
      </c>
      <c r="I712" s="1">
        <v>39826.246527777781</v>
      </c>
      <c r="J712">
        <v>45.466666699999998</v>
      </c>
      <c r="K712">
        <v>9.1999999999999993</v>
      </c>
    </row>
    <row r="713" spans="1:11" x14ac:dyDescent="0.45">
      <c r="A713" s="1">
        <v>39814.270138888889</v>
      </c>
      <c r="B713" t="s">
        <v>10</v>
      </c>
      <c r="C713">
        <v>1200</v>
      </c>
      <c r="D713" t="s">
        <v>16</v>
      </c>
      <c r="E713" t="s">
        <v>455</v>
      </c>
      <c r="F713" t="s">
        <v>1243</v>
      </c>
      <c r="G713" t="s">
        <v>1244</v>
      </c>
      <c r="H713" t="s">
        <v>1242</v>
      </c>
      <c r="I713" s="1">
        <v>39837.243750000001</v>
      </c>
      <c r="J713">
        <v>45.55</v>
      </c>
      <c r="K713">
        <v>11.55</v>
      </c>
    </row>
    <row r="714" spans="1:11" x14ac:dyDescent="0.45">
      <c r="A714" s="1">
        <v>39825.557638888888</v>
      </c>
      <c r="B714" t="s">
        <v>20</v>
      </c>
      <c r="C714">
        <v>100000</v>
      </c>
      <c r="D714" t="s">
        <v>63</v>
      </c>
      <c r="E714" t="s">
        <v>1245</v>
      </c>
      <c r="F714" t="s">
        <v>1246</v>
      </c>
      <c r="G714" t="s">
        <v>1244</v>
      </c>
      <c r="H714" t="s">
        <v>1242</v>
      </c>
      <c r="I714" s="1">
        <v>39853.589583333334</v>
      </c>
      <c r="J714">
        <v>45.366666700000003</v>
      </c>
      <c r="K714">
        <v>11.6166667</v>
      </c>
    </row>
    <row r="715" spans="1:11" x14ac:dyDescent="0.45">
      <c r="A715" s="1">
        <v>39820.527083333334</v>
      </c>
      <c r="B715" t="s">
        <v>20</v>
      </c>
      <c r="C715">
        <v>100000</v>
      </c>
      <c r="D715" t="s">
        <v>11</v>
      </c>
      <c r="E715" t="s">
        <v>501</v>
      </c>
      <c r="F715" t="s">
        <v>1247</v>
      </c>
      <c r="G715" t="s">
        <v>1241</v>
      </c>
      <c r="H715" t="s">
        <v>1242</v>
      </c>
      <c r="I715" s="1">
        <v>39854.554861111108</v>
      </c>
      <c r="J715">
        <v>45.466666699999998</v>
      </c>
      <c r="K715">
        <v>9.1999999999999993</v>
      </c>
    </row>
    <row r="716" spans="1:11" x14ac:dyDescent="0.45">
      <c r="A716" s="1">
        <v>39838.438888888886</v>
      </c>
      <c r="B716" t="s">
        <v>10</v>
      </c>
      <c r="C716">
        <v>1200</v>
      </c>
      <c r="D716" t="s">
        <v>16</v>
      </c>
      <c r="E716" t="s">
        <v>1248</v>
      </c>
      <c r="F716" t="s">
        <v>1249</v>
      </c>
      <c r="G716" t="s">
        <v>1250</v>
      </c>
      <c r="H716" t="s">
        <v>1242</v>
      </c>
      <c r="I716" s="1">
        <v>39856.098611111112</v>
      </c>
      <c r="J716">
        <v>43.766666700000002</v>
      </c>
      <c r="K716">
        <v>11.25</v>
      </c>
    </row>
    <row r="717" spans="1:11" x14ac:dyDescent="0.45">
      <c r="A717" s="1">
        <v>39832.182638888888</v>
      </c>
      <c r="B717" t="s">
        <v>20</v>
      </c>
      <c r="C717">
        <v>100000</v>
      </c>
      <c r="D717" t="s">
        <v>16</v>
      </c>
      <c r="E717" t="s">
        <v>1251</v>
      </c>
      <c r="F717" t="s">
        <v>1252</v>
      </c>
      <c r="G717" t="s">
        <v>1253</v>
      </c>
      <c r="H717" t="s">
        <v>1242</v>
      </c>
      <c r="I717" s="1">
        <v>39860.015277777777</v>
      </c>
      <c r="J717">
        <v>39.216666699999998</v>
      </c>
      <c r="K717">
        <v>9.1166666999999997</v>
      </c>
    </row>
    <row r="718" spans="1:11" x14ac:dyDescent="0.45">
      <c r="A718" s="1">
        <v>39834.19027777778</v>
      </c>
      <c r="B718" t="s">
        <v>10</v>
      </c>
      <c r="C718">
        <v>1200</v>
      </c>
      <c r="D718" t="s">
        <v>11</v>
      </c>
      <c r="E718" t="s">
        <v>1254</v>
      </c>
      <c r="F718" t="s">
        <v>1255</v>
      </c>
      <c r="G718" t="s">
        <v>1250</v>
      </c>
      <c r="H718" t="s">
        <v>1242</v>
      </c>
      <c r="I718" s="1">
        <v>39860.15625</v>
      </c>
      <c r="J718">
        <v>43.766666700000002</v>
      </c>
      <c r="K718">
        <v>11.25</v>
      </c>
    </row>
    <row r="719" spans="1:11" x14ac:dyDescent="0.45">
      <c r="A719" s="1">
        <v>39830.265972222223</v>
      </c>
      <c r="B719" t="s">
        <v>10</v>
      </c>
      <c r="C719">
        <v>1200</v>
      </c>
      <c r="D719" t="s">
        <v>11</v>
      </c>
      <c r="E719" t="s">
        <v>1256</v>
      </c>
      <c r="F719" t="s">
        <v>1257</v>
      </c>
      <c r="G719" t="s">
        <v>1250</v>
      </c>
      <c r="H719" t="s">
        <v>1242</v>
      </c>
      <c r="I719" s="1">
        <v>39864.277083333334</v>
      </c>
      <c r="J719">
        <v>42.766666700000002</v>
      </c>
      <c r="K719">
        <v>11.1333333</v>
      </c>
    </row>
    <row r="720" spans="1:11" x14ac:dyDescent="0.45">
      <c r="A720" s="1">
        <v>39844.082638888889</v>
      </c>
      <c r="B720" t="s">
        <v>10</v>
      </c>
      <c r="C720">
        <v>1200</v>
      </c>
      <c r="D720" t="s">
        <v>11</v>
      </c>
      <c r="E720" t="s">
        <v>1258</v>
      </c>
      <c r="F720" t="s">
        <v>1240</v>
      </c>
      <c r="G720" t="s">
        <v>1241</v>
      </c>
      <c r="H720" t="s">
        <v>1242</v>
      </c>
      <c r="I720" s="1">
        <v>39864.486805555556</v>
      </c>
      <c r="J720">
        <v>45.466666699999998</v>
      </c>
      <c r="K720">
        <v>9.1999999999999993</v>
      </c>
    </row>
    <row r="721" spans="1:11" x14ac:dyDescent="0.45">
      <c r="A721" s="1">
        <v>39837.056944444441</v>
      </c>
      <c r="B721" t="s">
        <v>10</v>
      </c>
      <c r="C721">
        <v>1200</v>
      </c>
      <c r="D721" t="s">
        <v>11</v>
      </c>
      <c r="E721" t="s">
        <v>1259</v>
      </c>
      <c r="F721" t="s">
        <v>1260</v>
      </c>
      <c r="G721" t="s">
        <v>1261</v>
      </c>
      <c r="H721" t="s">
        <v>1242</v>
      </c>
      <c r="I721" s="1">
        <v>39865.25277777778</v>
      </c>
      <c r="J721">
        <v>41.9</v>
      </c>
      <c r="K721">
        <v>12.4833333</v>
      </c>
    </row>
    <row r="722" spans="1:11" x14ac:dyDescent="0.45">
      <c r="A722" s="1">
        <v>39818.258333333331</v>
      </c>
      <c r="B722" t="s">
        <v>10</v>
      </c>
      <c r="C722">
        <v>1200</v>
      </c>
      <c r="D722" t="s">
        <v>63</v>
      </c>
      <c r="E722" t="s">
        <v>185</v>
      </c>
      <c r="F722" t="s">
        <v>1262</v>
      </c>
      <c r="G722" t="s">
        <v>1250</v>
      </c>
      <c r="H722" t="s">
        <v>1242</v>
      </c>
      <c r="I722" s="1">
        <v>39868.580555555556</v>
      </c>
      <c r="J722">
        <v>43.8333333</v>
      </c>
      <c r="K722">
        <v>10.4833333</v>
      </c>
    </row>
    <row r="723" spans="1:11" x14ac:dyDescent="0.45">
      <c r="A723" s="1">
        <v>39829.565972222219</v>
      </c>
      <c r="B723" t="s">
        <v>10</v>
      </c>
      <c r="C723">
        <v>1200</v>
      </c>
      <c r="D723" t="s">
        <v>11</v>
      </c>
      <c r="E723" t="s">
        <v>600</v>
      </c>
      <c r="F723" t="s">
        <v>1247</v>
      </c>
      <c r="G723" t="s">
        <v>1241</v>
      </c>
      <c r="H723" t="s">
        <v>1242</v>
      </c>
      <c r="I723" s="1">
        <v>39869.582638888889</v>
      </c>
      <c r="J723">
        <v>45.466666699999998</v>
      </c>
      <c r="K723">
        <v>9.1999999999999993</v>
      </c>
    </row>
    <row r="724" spans="1:11" x14ac:dyDescent="0.45">
      <c r="A724" s="1">
        <v>39830.330555555556</v>
      </c>
      <c r="B724" t="s">
        <v>230</v>
      </c>
      <c r="C724">
        <v>100000</v>
      </c>
      <c r="D724" t="s">
        <v>63</v>
      </c>
      <c r="E724" t="s">
        <v>1263</v>
      </c>
      <c r="F724" t="s">
        <v>1264</v>
      </c>
      <c r="G724" t="s">
        <v>1265</v>
      </c>
      <c r="H724" t="s">
        <v>1242</v>
      </c>
      <c r="I724" s="1">
        <v>39870.313888888886</v>
      </c>
      <c r="J724">
        <v>38.466666699999998</v>
      </c>
      <c r="K724">
        <v>14.95</v>
      </c>
    </row>
    <row r="725" spans="1:11" x14ac:dyDescent="0.45">
      <c r="A725" s="1">
        <v>39830.331944444442</v>
      </c>
      <c r="B725" t="s">
        <v>230</v>
      </c>
      <c r="C725">
        <v>100000</v>
      </c>
      <c r="D725" t="s">
        <v>63</v>
      </c>
      <c r="E725" t="s">
        <v>1266</v>
      </c>
      <c r="F725" t="s">
        <v>1264</v>
      </c>
      <c r="G725" t="s">
        <v>1265</v>
      </c>
      <c r="H725" t="s">
        <v>1242</v>
      </c>
      <c r="I725" s="1">
        <v>39870.313888888886</v>
      </c>
      <c r="J725">
        <v>38.466666699999998</v>
      </c>
      <c r="K725">
        <v>14.95</v>
      </c>
    </row>
    <row r="726" spans="1:11" x14ac:dyDescent="0.45">
      <c r="A726" s="1">
        <v>39831.188888888886</v>
      </c>
      <c r="B726" t="s">
        <v>10</v>
      </c>
      <c r="C726">
        <v>1200</v>
      </c>
      <c r="D726" t="s">
        <v>63</v>
      </c>
      <c r="E726" t="s">
        <v>1267</v>
      </c>
      <c r="F726" t="s">
        <v>1264</v>
      </c>
      <c r="G726" t="s">
        <v>1265</v>
      </c>
      <c r="H726" t="s">
        <v>1242</v>
      </c>
      <c r="I726" s="1">
        <v>39870.313888888886</v>
      </c>
      <c r="J726">
        <v>38.466666699999998</v>
      </c>
      <c r="K726">
        <v>14.95</v>
      </c>
    </row>
    <row r="727" spans="1:11" x14ac:dyDescent="0.45">
      <c r="A727" s="1">
        <v>39817.553472222222</v>
      </c>
      <c r="B727" t="s">
        <v>10</v>
      </c>
      <c r="C727">
        <v>1200</v>
      </c>
      <c r="D727" t="s">
        <v>16</v>
      </c>
      <c r="E727" t="s">
        <v>1268</v>
      </c>
      <c r="F727" t="s">
        <v>1269</v>
      </c>
      <c r="G727" t="s">
        <v>1269</v>
      </c>
      <c r="H727" t="s">
        <v>1270</v>
      </c>
      <c r="I727" s="1">
        <v>39817.923611111109</v>
      </c>
      <c r="J727">
        <v>32.066666699999999</v>
      </c>
      <c r="K727">
        <v>34.766666700000002</v>
      </c>
    </row>
    <row r="728" spans="1:11" x14ac:dyDescent="0.45">
      <c r="A728" s="1">
        <v>39817.045138888891</v>
      </c>
      <c r="B728" t="s">
        <v>10</v>
      </c>
      <c r="C728">
        <v>1200</v>
      </c>
      <c r="D728" t="s">
        <v>63</v>
      </c>
      <c r="E728" t="s">
        <v>1271</v>
      </c>
      <c r="F728" t="s">
        <v>1272</v>
      </c>
      <c r="G728" t="s">
        <v>1273</v>
      </c>
      <c r="H728" t="s">
        <v>1274</v>
      </c>
      <c r="I728" s="1">
        <v>39818.566666666666</v>
      </c>
      <c r="J728">
        <v>53.677222200000003</v>
      </c>
      <c r="K728">
        <v>-6.3191667000000002</v>
      </c>
    </row>
    <row r="729" spans="1:11" x14ac:dyDescent="0.45">
      <c r="A729" s="1">
        <v>39814.461805555555</v>
      </c>
      <c r="B729" t="s">
        <v>10</v>
      </c>
      <c r="C729">
        <v>1200</v>
      </c>
      <c r="D729" t="s">
        <v>63</v>
      </c>
      <c r="E729" t="s">
        <v>1275</v>
      </c>
      <c r="F729" t="s">
        <v>1276</v>
      </c>
      <c r="G729" t="s">
        <v>1277</v>
      </c>
      <c r="H729" t="s">
        <v>1274</v>
      </c>
      <c r="I729" s="1">
        <v>39820.077777777777</v>
      </c>
      <c r="J729">
        <v>51.863055600000003</v>
      </c>
      <c r="K729">
        <v>-8.58</v>
      </c>
    </row>
    <row r="730" spans="1:11" x14ac:dyDescent="0.45">
      <c r="A730" s="1">
        <v>39823.613194444442</v>
      </c>
      <c r="B730" t="s">
        <v>10</v>
      </c>
      <c r="C730">
        <v>1200</v>
      </c>
      <c r="D730" t="s">
        <v>63</v>
      </c>
      <c r="E730" t="s">
        <v>1278</v>
      </c>
      <c r="F730" t="s">
        <v>1279</v>
      </c>
      <c r="G730" t="s">
        <v>1280</v>
      </c>
      <c r="H730" t="s">
        <v>1274</v>
      </c>
      <c r="I730" s="1">
        <v>39823.609027777777</v>
      </c>
      <c r="J730">
        <v>53.424722199999998</v>
      </c>
      <c r="K730">
        <v>-6.1758332999999999</v>
      </c>
    </row>
    <row r="731" spans="1:11" x14ac:dyDescent="0.45">
      <c r="A731" s="1">
        <v>39819.635416666664</v>
      </c>
      <c r="B731" t="s">
        <v>10</v>
      </c>
      <c r="C731">
        <v>1200</v>
      </c>
      <c r="D731" t="s">
        <v>16</v>
      </c>
      <c r="E731" t="s">
        <v>1281</v>
      </c>
      <c r="F731" t="s">
        <v>1282</v>
      </c>
      <c r="G731" t="s">
        <v>1280</v>
      </c>
      <c r="H731" t="s">
        <v>1274</v>
      </c>
      <c r="I731" s="1">
        <v>39827.606249999997</v>
      </c>
      <c r="J731">
        <v>53.312222200000001</v>
      </c>
      <c r="K731">
        <v>-6.2683333000000001</v>
      </c>
    </row>
    <row r="732" spans="1:11" x14ac:dyDescent="0.45">
      <c r="A732" s="1">
        <v>39831.21875</v>
      </c>
      <c r="B732" t="s">
        <v>10</v>
      </c>
      <c r="C732">
        <v>1200</v>
      </c>
      <c r="D732" t="s">
        <v>63</v>
      </c>
      <c r="E732" t="s">
        <v>1283</v>
      </c>
      <c r="F732" t="s">
        <v>1284</v>
      </c>
      <c r="G732" t="s">
        <v>1285</v>
      </c>
      <c r="H732" t="s">
        <v>1274</v>
      </c>
      <c r="I732" s="1">
        <v>39831.197222222225</v>
      </c>
      <c r="J732">
        <v>52.720555599999997</v>
      </c>
      <c r="K732">
        <v>-7.5824999999999996</v>
      </c>
    </row>
    <row r="733" spans="1:11" x14ac:dyDescent="0.45">
      <c r="A733" s="1">
        <v>39831.55972222222</v>
      </c>
      <c r="B733" t="s">
        <v>230</v>
      </c>
      <c r="C733">
        <v>100000</v>
      </c>
      <c r="D733" t="s">
        <v>16</v>
      </c>
      <c r="E733" t="s">
        <v>1286</v>
      </c>
      <c r="F733" t="s">
        <v>1287</v>
      </c>
      <c r="G733" t="s">
        <v>1273</v>
      </c>
      <c r="H733" t="s">
        <v>1274</v>
      </c>
      <c r="I733" s="1">
        <v>39831.513888888891</v>
      </c>
      <c r="J733">
        <v>53.652777800000003</v>
      </c>
      <c r="K733">
        <v>-6.6813889</v>
      </c>
    </row>
    <row r="734" spans="1:11" x14ac:dyDescent="0.45">
      <c r="A734" s="1">
        <v>39829.046527777777</v>
      </c>
      <c r="B734" t="s">
        <v>20</v>
      </c>
      <c r="C734">
        <v>100000</v>
      </c>
      <c r="D734" t="s">
        <v>63</v>
      </c>
      <c r="E734" t="s">
        <v>1288</v>
      </c>
      <c r="F734" t="s">
        <v>1277</v>
      </c>
      <c r="G734" t="s">
        <v>1277</v>
      </c>
      <c r="H734" t="s">
        <v>1274</v>
      </c>
      <c r="I734" s="1">
        <v>39835.629166666666</v>
      </c>
      <c r="J734">
        <v>51.898611099999997</v>
      </c>
      <c r="K734">
        <v>-8.4958332999999993</v>
      </c>
    </row>
    <row r="735" spans="1:11" x14ac:dyDescent="0.45">
      <c r="A735" s="1">
        <v>39821.177777777775</v>
      </c>
      <c r="B735" t="s">
        <v>10</v>
      </c>
      <c r="C735">
        <v>1200</v>
      </c>
      <c r="D735" t="s">
        <v>11</v>
      </c>
      <c r="E735" t="s">
        <v>1289</v>
      </c>
      <c r="F735" t="s">
        <v>1290</v>
      </c>
      <c r="G735" t="s">
        <v>1280</v>
      </c>
      <c r="H735" t="s">
        <v>1274</v>
      </c>
      <c r="I735" s="1">
        <v>39836.097916666666</v>
      </c>
      <c r="J735">
        <v>53.450833299999999</v>
      </c>
      <c r="K735">
        <v>-6.1544444</v>
      </c>
    </row>
    <row r="736" spans="1:11" x14ac:dyDescent="0.45">
      <c r="A736" s="1">
        <v>39822.602083333331</v>
      </c>
      <c r="B736" t="s">
        <v>10</v>
      </c>
      <c r="C736">
        <v>1200</v>
      </c>
      <c r="D736" t="s">
        <v>11</v>
      </c>
      <c r="E736" t="s">
        <v>1291</v>
      </c>
      <c r="F736" t="s">
        <v>1292</v>
      </c>
      <c r="G736" t="s">
        <v>1280</v>
      </c>
      <c r="H736" t="s">
        <v>1274</v>
      </c>
      <c r="I736" s="1">
        <v>39838.039583333331</v>
      </c>
      <c r="J736">
        <v>53.378611100000001</v>
      </c>
      <c r="K736">
        <v>-6.3922222</v>
      </c>
    </row>
    <row r="737" spans="1:11" x14ac:dyDescent="0.45">
      <c r="A737" s="1">
        <v>39822.605555555558</v>
      </c>
      <c r="B737" t="s">
        <v>10</v>
      </c>
      <c r="C737">
        <v>1200</v>
      </c>
      <c r="D737" t="s">
        <v>11</v>
      </c>
      <c r="E737" t="s">
        <v>1293</v>
      </c>
      <c r="F737" t="s">
        <v>1292</v>
      </c>
      <c r="G737" t="s">
        <v>1280</v>
      </c>
      <c r="H737" t="s">
        <v>1274</v>
      </c>
      <c r="I737" s="1">
        <v>39838.039583333331</v>
      </c>
      <c r="J737">
        <v>53.378611100000001</v>
      </c>
      <c r="K737">
        <v>-6.3922222</v>
      </c>
    </row>
    <row r="738" spans="1:11" x14ac:dyDescent="0.45">
      <c r="A738" s="1">
        <v>39835.647222222222</v>
      </c>
      <c r="B738" t="s">
        <v>10</v>
      </c>
      <c r="C738">
        <v>1200</v>
      </c>
      <c r="D738" t="s">
        <v>16</v>
      </c>
      <c r="E738" t="s">
        <v>1294</v>
      </c>
      <c r="F738" t="s">
        <v>1295</v>
      </c>
      <c r="G738" t="s">
        <v>1280</v>
      </c>
      <c r="H738" t="s">
        <v>1274</v>
      </c>
      <c r="I738" s="1">
        <v>39839.188888888886</v>
      </c>
      <c r="J738">
        <v>53.252222199999999</v>
      </c>
      <c r="K738">
        <v>-6.1124999999999998</v>
      </c>
    </row>
    <row r="739" spans="1:11" x14ac:dyDescent="0.45">
      <c r="A739" s="1">
        <v>39824.508333333331</v>
      </c>
      <c r="B739" t="s">
        <v>10</v>
      </c>
      <c r="C739">
        <v>1200</v>
      </c>
      <c r="D739" t="s">
        <v>11</v>
      </c>
      <c r="E739" t="s">
        <v>1296</v>
      </c>
      <c r="F739" t="s">
        <v>1297</v>
      </c>
      <c r="G739" t="s">
        <v>1280</v>
      </c>
      <c r="H739" t="s">
        <v>1274</v>
      </c>
      <c r="I739" s="1">
        <v>39839.416666666664</v>
      </c>
      <c r="J739">
        <v>53.359166700000003</v>
      </c>
      <c r="K739">
        <v>-6.2161111</v>
      </c>
    </row>
    <row r="740" spans="1:11" x14ac:dyDescent="0.45">
      <c r="A740" s="1">
        <v>39815.779861111114</v>
      </c>
      <c r="B740" t="s">
        <v>10</v>
      </c>
      <c r="C740">
        <v>1200</v>
      </c>
      <c r="D740" t="s">
        <v>11</v>
      </c>
      <c r="E740" t="s">
        <v>450</v>
      </c>
      <c r="F740" t="s">
        <v>1277</v>
      </c>
      <c r="G740" t="s">
        <v>1277</v>
      </c>
      <c r="H740" t="s">
        <v>1274</v>
      </c>
      <c r="I740" s="1">
        <v>39840.654861111114</v>
      </c>
      <c r="J740">
        <v>51.898611099999997</v>
      </c>
      <c r="K740">
        <v>-8.4958332999999993</v>
      </c>
    </row>
    <row r="741" spans="1:11" x14ac:dyDescent="0.45">
      <c r="A741" s="1">
        <v>39831.582638888889</v>
      </c>
      <c r="B741" t="s">
        <v>10</v>
      </c>
      <c r="C741">
        <v>130000</v>
      </c>
      <c r="D741" t="s">
        <v>63</v>
      </c>
      <c r="E741" t="s">
        <v>1298</v>
      </c>
      <c r="F741" t="s">
        <v>1299</v>
      </c>
      <c r="G741" t="s">
        <v>1280</v>
      </c>
      <c r="H741" t="s">
        <v>1274</v>
      </c>
      <c r="I741" s="1">
        <v>39841.171527777777</v>
      </c>
      <c r="J741">
        <v>53.390555599999999</v>
      </c>
      <c r="K741">
        <v>-6.1216666999999996</v>
      </c>
    </row>
    <row r="742" spans="1:11" x14ac:dyDescent="0.45">
      <c r="A742" s="1">
        <v>39831.522222222222</v>
      </c>
      <c r="B742" t="s">
        <v>10</v>
      </c>
      <c r="C742">
        <v>130000</v>
      </c>
      <c r="D742" t="s">
        <v>11</v>
      </c>
      <c r="E742" t="s">
        <v>258</v>
      </c>
      <c r="F742" t="s">
        <v>1300</v>
      </c>
      <c r="G742" t="s">
        <v>1280</v>
      </c>
      <c r="H742" t="s">
        <v>1274</v>
      </c>
      <c r="I742" s="1">
        <v>39841.320138888892</v>
      </c>
      <c r="J742">
        <v>53.398611099999997</v>
      </c>
      <c r="K742">
        <v>-6.2597221999999997</v>
      </c>
    </row>
    <row r="743" spans="1:11" x14ac:dyDescent="0.45">
      <c r="A743" s="1">
        <v>39832.509722222225</v>
      </c>
      <c r="B743" t="s">
        <v>10</v>
      </c>
      <c r="C743">
        <v>130000</v>
      </c>
      <c r="D743" t="s">
        <v>16</v>
      </c>
      <c r="E743" t="s">
        <v>1301</v>
      </c>
      <c r="F743" t="s">
        <v>1302</v>
      </c>
      <c r="G743" t="s">
        <v>1280</v>
      </c>
      <c r="H743" t="s">
        <v>1274</v>
      </c>
      <c r="I743" s="1">
        <v>39841.561111111114</v>
      </c>
      <c r="J743">
        <v>53.300555600000003</v>
      </c>
      <c r="K743">
        <v>-6.2827777999999999</v>
      </c>
    </row>
    <row r="744" spans="1:11" x14ac:dyDescent="0.45">
      <c r="A744" s="1">
        <v>39836.199305555558</v>
      </c>
      <c r="B744" t="s">
        <v>10</v>
      </c>
      <c r="C744">
        <v>130000</v>
      </c>
      <c r="D744" t="s">
        <v>16</v>
      </c>
      <c r="E744" t="s">
        <v>419</v>
      </c>
      <c r="F744" t="s">
        <v>1303</v>
      </c>
      <c r="G744" t="s">
        <v>1280</v>
      </c>
      <c r="H744" t="s">
        <v>1274</v>
      </c>
      <c r="I744" s="1">
        <v>39846.091666666667</v>
      </c>
      <c r="J744">
        <v>53.335000000000001</v>
      </c>
      <c r="K744">
        <v>-6.2113889000000002</v>
      </c>
    </row>
    <row r="745" spans="1:11" x14ac:dyDescent="0.45">
      <c r="A745" s="1">
        <v>39834.458333333336</v>
      </c>
      <c r="B745" t="s">
        <v>10</v>
      </c>
      <c r="C745">
        <v>130000</v>
      </c>
      <c r="D745" t="s">
        <v>11</v>
      </c>
      <c r="E745" t="s">
        <v>972</v>
      </c>
      <c r="F745" t="s">
        <v>1304</v>
      </c>
      <c r="G745" t="s">
        <v>1280</v>
      </c>
      <c r="H745" t="s">
        <v>1274</v>
      </c>
      <c r="I745" s="1">
        <v>39846.353472222225</v>
      </c>
      <c r="J745">
        <v>53.2802778</v>
      </c>
      <c r="K745">
        <v>-6.4444444000000001</v>
      </c>
    </row>
    <row r="746" spans="1:11" x14ac:dyDescent="0.45">
      <c r="A746" s="1">
        <v>39820.272916666669</v>
      </c>
      <c r="B746" t="s">
        <v>10</v>
      </c>
      <c r="C746">
        <v>130000</v>
      </c>
      <c r="D746" t="s">
        <v>63</v>
      </c>
      <c r="E746" t="s">
        <v>189</v>
      </c>
      <c r="F746" t="s">
        <v>1297</v>
      </c>
      <c r="G746" t="s">
        <v>1280</v>
      </c>
      <c r="H746" t="s">
        <v>1274</v>
      </c>
      <c r="I746" s="1">
        <v>39847.32708333333</v>
      </c>
      <c r="J746">
        <v>53.359166700000003</v>
      </c>
      <c r="K746">
        <v>-6.2161111</v>
      </c>
    </row>
    <row r="747" spans="1:11" x14ac:dyDescent="0.45">
      <c r="A747" s="1">
        <v>39818.422222222223</v>
      </c>
      <c r="B747" t="s">
        <v>10</v>
      </c>
      <c r="C747">
        <v>130000</v>
      </c>
      <c r="D747" t="s">
        <v>11</v>
      </c>
      <c r="E747" t="s">
        <v>1305</v>
      </c>
      <c r="F747" t="s">
        <v>1306</v>
      </c>
      <c r="G747" t="s">
        <v>1307</v>
      </c>
      <c r="H747" t="s">
        <v>1274</v>
      </c>
      <c r="I747" s="1">
        <v>39847.431250000001</v>
      </c>
      <c r="J747">
        <v>52.354999999999997</v>
      </c>
      <c r="K747">
        <v>-7.7038888999999999</v>
      </c>
    </row>
    <row r="748" spans="1:11" x14ac:dyDescent="0.45">
      <c r="A748" s="1">
        <v>39820.621527777781</v>
      </c>
      <c r="B748" t="s">
        <v>10</v>
      </c>
      <c r="C748">
        <v>130000</v>
      </c>
      <c r="D748" t="s">
        <v>11</v>
      </c>
      <c r="E748" t="s">
        <v>260</v>
      </c>
      <c r="F748" t="s">
        <v>1308</v>
      </c>
      <c r="G748" t="s">
        <v>1309</v>
      </c>
      <c r="H748" t="s">
        <v>1274</v>
      </c>
      <c r="I748" s="1">
        <v>39847.566666666666</v>
      </c>
      <c r="J748">
        <v>53.718888900000003</v>
      </c>
      <c r="K748">
        <v>-6.3477778000000002</v>
      </c>
    </row>
    <row r="749" spans="1:11" x14ac:dyDescent="0.45">
      <c r="A749" s="1">
        <v>39815.118055555555</v>
      </c>
      <c r="B749" t="s">
        <v>10</v>
      </c>
      <c r="C749">
        <v>130000</v>
      </c>
      <c r="D749" t="s">
        <v>11</v>
      </c>
      <c r="E749" t="s">
        <v>454</v>
      </c>
      <c r="F749" t="s">
        <v>1310</v>
      </c>
      <c r="G749" t="s">
        <v>1311</v>
      </c>
      <c r="H749" t="s">
        <v>1274</v>
      </c>
      <c r="I749" s="1">
        <v>39848.09652777778</v>
      </c>
      <c r="J749">
        <v>53.068333299999999</v>
      </c>
      <c r="K749">
        <v>-6.0658333000000004</v>
      </c>
    </row>
    <row r="750" spans="1:11" x14ac:dyDescent="0.45">
      <c r="A750" s="1">
        <v>39839.48333333333</v>
      </c>
      <c r="B750" t="s">
        <v>10</v>
      </c>
      <c r="C750">
        <v>130000</v>
      </c>
      <c r="D750" t="s">
        <v>11</v>
      </c>
      <c r="E750" t="s">
        <v>730</v>
      </c>
      <c r="F750" t="s">
        <v>1312</v>
      </c>
      <c r="G750" t="s">
        <v>1280</v>
      </c>
      <c r="H750" t="s">
        <v>1274</v>
      </c>
      <c r="I750" s="1">
        <v>39849.109722222223</v>
      </c>
      <c r="J750">
        <v>53.292499999999997</v>
      </c>
      <c r="K750">
        <v>-6.1286110999999996</v>
      </c>
    </row>
    <row r="751" spans="1:11" x14ac:dyDescent="0.45">
      <c r="A751" s="1">
        <v>39827.152083333334</v>
      </c>
      <c r="B751" t="s">
        <v>10</v>
      </c>
      <c r="C751">
        <v>130000</v>
      </c>
      <c r="D751" t="s">
        <v>11</v>
      </c>
      <c r="E751" t="s">
        <v>1313</v>
      </c>
      <c r="F751" t="s">
        <v>1314</v>
      </c>
      <c r="G751" t="s">
        <v>1277</v>
      </c>
      <c r="H751" t="s">
        <v>1274</v>
      </c>
      <c r="I751" s="1">
        <v>39850.10833333333</v>
      </c>
      <c r="J751">
        <v>51.883333299999997</v>
      </c>
      <c r="K751">
        <v>-8.5833332999999996</v>
      </c>
    </row>
    <row r="752" spans="1:11" x14ac:dyDescent="0.45">
      <c r="A752" s="1">
        <v>39827.157638888886</v>
      </c>
      <c r="B752" t="s">
        <v>10</v>
      </c>
      <c r="C752">
        <v>130000</v>
      </c>
      <c r="D752" t="s">
        <v>11</v>
      </c>
      <c r="E752" t="s">
        <v>959</v>
      </c>
      <c r="F752" t="s">
        <v>1314</v>
      </c>
      <c r="G752" t="s">
        <v>1277</v>
      </c>
      <c r="H752" t="s">
        <v>1274</v>
      </c>
      <c r="I752" s="1">
        <v>39850.10833333333</v>
      </c>
      <c r="J752">
        <v>51.883333299999997</v>
      </c>
      <c r="K752">
        <v>-8.5833332999999996</v>
      </c>
    </row>
    <row r="753" spans="1:11" x14ac:dyDescent="0.45">
      <c r="A753" s="1">
        <v>39826.575694444444</v>
      </c>
      <c r="B753" t="s">
        <v>10</v>
      </c>
      <c r="C753">
        <v>130000</v>
      </c>
      <c r="D753" t="s">
        <v>11</v>
      </c>
      <c r="E753" t="s">
        <v>440</v>
      </c>
      <c r="F753" t="s">
        <v>1315</v>
      </c>
      <c r="G753" t="s">
        <v>1316</v>
      </c>
      <c r="H753" t="s">
        <v>1274</v>
      </c>
      <c r="I753" s="1">
        <v>39850.524305555555</v>
      </c>
      <c r="J753">
        <v>53.85</v>
      </c>
      <c r="K753">
        <v>-9.3000000000000007</v>
      </c>
    </row>
    <row r="754" spans="1:11" x14ac:dyDescent="0.45">
      <c r="A754" s="1">
        <v>39824.29791666667</v>
      </c>
      <c r="B754" t="s">
        <v>10</v>
      </c>
      <c r="C754">
        <v>130000</v>
      </c>
      <c r="D754" t="s">
        <v>11</v>
      </c>
      <c r="E754" t="s">
        <v>1317</v>
      </c>
      <c r="F754" t="s">
        <v>1318</v>
      </c>
      <c r="G754" t="s">
        <v>1319</v>
      </c>
      <c r="H754" t="s">
        <v>1274</v>
      </c>
      <c r="I754" s="1">
        <v>39852.126388888886</v>
      </c>
      <c r="J754">
        <v>52.158888900000001</v>
      </c>
      <c r="K754">
        <v>-7.1463888999999998</v>
      </c>
    </row>
    <row r="755" spans="1:11" x14ac:dyDescent="0.45">
      <c r="A755" s="1">
        <v>39835.449305555558</v>
      </c>
      <c r="B755" t="s">
        <v>10</v>
      </c>
      <c r="C755">
        <v>130000</v>
      </c>
      <c r="D755" t="s">
        <v>11</v>
      </c>
      <c r="E755" t="s">
        <v>1320</v>
      </c>
      <c r="F755" t="s">
        <v>1321</v>
      </c>
      <c r="G755" t="s">
        <v>1311</v>
      </c>
      <c r="H755" t="s">
        <v>1274</v>
      </c>
      <c r="I755" s="1">
        <v>39852.213194444441</v>
      </c>
      <c r="J755">
        <v>52.793055600000002</v>
      </c>
      <c r="K755">
        <v>-6.1413888999999999</v>
      </c>
    </row>
    <row r="756" spans="1:11" x14ac:dyDescent="0.45">
      <c r="A756" s="1">
        <v>39831.281944444447</v>
      </c>
      <c r="B756" t="s">
        <v>10</v>
      </c>
      <c r="C756">
        <v>130000</v>
      </c>
      <c r="D756" t="s">
        <v>11</v>
      </c>
      <c r="E756" t="s">
        <v>1322</v>
      </c>
      <c r="F756" t="s">
        <v>1323</v>
      </c>
      <c r="G756" t="s">
        <v>1273</v>
      </c>
      <c r="H756" t="s">
        <v>1274</v>
      </c>
      <c r="I756" s="1">
        <v>39853.496527777781</v>
      </c>
      <c r="J756">
        <v>53.7233333</v>
      </c>
      <c r="K756">
        <v>-6.2824999999999998</v>
      </c>
    </row>
    <row r="757" spans="1:11" x14ac:dyDescent="0.45">
      <c r="A757" s="1">
        <v>39817.285416666666</v>
      </c>
      <c r="B757" t="s">
        <v>10</v>
      </c>
      <c r="C757">
        <v>130000</v>
      </c>
      <c r="D757" t="s">
        <v>11</v>
      </c>
      <c r="E757" t="s">
        <v>1324</v>
      </c>
      <c r="F757" t="s">
        <v>1325</v>
      </c>
      <c r="G757" t="s">
        <v>1326</v>
      </c>
      <c r="H757" t="s">
        <v>1274</v>
      </c>
      <c r="I757" s="1">
        <v>39854.040972222225</v>
      </c>
      <c r="J757">
        <v>53.533333300000002</v>
      </c>
      <c r="K757">
        <v>-7.35</v>
      </c>
    </row>
    <row r="758" spans="1:11" x14ac:dyDescent="0.45">
      <c r="A758" s="1">
        <v>39823.317361111112</v>
      </c>
      <c r="B758" t="s">
        <v>10</v>
      </c>
      <c r="C758">
        <v>130000</v>
      </c>
      <c r="D758" t="s">
        <v>11</v>
      </c>
      <c r="E758" t="s">
        <v>1327</v>
      </c>
      <c r="F758" t="s">
        <v>1328</v>
      </c>
      <c r="G758" t="s">
        <v>1280</v>
      </c>
      <c r="H758" t="s">
        <v>1274</v>
      </c>
      <c r="I758" s="1">
        <v>39857.563888888886</v>
      </c>
      <c r="J758">
        <v>53.226111099999997</v>
      </c>
      <c r="K758">
        <v>-6.1244443999999998</v>
      </c>
    </row>
    <row r="759" spans="1:11" x14ac:dyDescent="0.45">
      <c r="A759" s="1">
        <v>39840.109722222223</v>
      </c>
      <c r="B759" t="s">
        <v>10</v>
      </c>
      <c r="C759">
        <v>60000</v>
      </c>
      <c r="D759" t="s">
        <v>11</v>
      </c>
      <c r="E759" t="s">
        <v>1329</v>
      </c>
      <c r="F759" t="s">
        <v>1330</v>
      </c>
      <c r="G759" t="s">
        <v>1277</v>
      </c>
      <c r="H759" t="s">
        <v>1274</v>
      </c>
      <c r="I759" s="1">
        <v>39858.15</v>
      </c>
      <c r="J759">
        <v>51.746944399999997</v>
      </c>
      <c r="K759">
        <v>-8.7424999999999997</v>
      </c>
    </row>
    <row r="760" spans="1:11" x14ac:dyDescent="0.45">
      <c r="A760" s="1">
        <v>39826.115972222222</v>
      </c>
      <c r="B760" t="s">
        <v>10</v>
      </c>
      <c r="C760">
        <v>1200</v>
      </c>
      <c r="D760" t="s">
        <v>11</v>
      </c>
      <c r="E760" t="s">
        <v>1331</v>
      </c>
      <c r="F760" t="s">
        <v>1302</v>
      </c>
      <c r="G760" t="s">
        <v>1280</v>
      </c>
      <c r="H760" t="s">
        <v>1274</v>
      </c>
      <c r="I760" s="1">
        <v>39860.006249999999</v>
      </c>
      <c r="J760">
        <v>53.300555600000003</v>
      </c>
      <c r="K760">
        <v>-6.2827777999999999</v>
      </c>
    </row>
    <row r="761" spans="1:11" x14ac:dyDescent="0.45">
      <c r="A761" s="1">
        <v>39820.561111111114</v>
      </c>
      <c r="B761" t="s">
        <v>10</v>
      </c>
      <c r="C761">
        <v>1200</v>
      </c>
      <c r="D761" t="s">
        <v>16</v>
      </c>
      <c r="E761" t="s">
        <v>712</v>
      </c>
      <c r="F761" t="s">
        <v>1332</v>
      </c>
      <c r="G761" t="s">
        <v>1273</v>
      </c>
      <c r="H761" t="s">
        <v>1274</v>
      </c>
      <c r="I761" s="1">
        <v>39860.160416666666</v>
      </c>
      <c r="J761">
        <v>53.618611100000003</v>
      </c>
      <c r="K761">
        <v>-6.9205556000000001</v>
      </c>
    </row>
    <row r="762" spans="1:11" x14ac:dyDescent="0.45">
      <c r="A762" s="1">
        <v>39830.638194444444</v>
      </c>
      <c r="B762" t="s">
        <v>10</v>
      </c>
      <c r="C762">
        <v>1200</v>
      </c>
      <c r="D762" t="s">
        <v>11</v>
      </c>
      <c r="E762" t="s">
        <v>1333</v>
      </c>
      <c r="F762" t="s">
        <v>1334</v>
      </c>
      <c r="G762" t="s">
        <v>1307</v>
      </c>
      <c r="H762" t="s">
        <v>1274</v>
      </c>
      <c r="I762" s="1">
        <v>39861.143055555556</v>
      </c>
      <c r="J762">
        <v>52.681944399999999</v>
      </c>
      <c r="K762">
        <v>-7.8022222000000001</v>
      </c>
    </row>
    <row r="763" spans="1:11" x14ac:dyDescent="0.45">
      <c r="A763" s="1">
        <v>39815.634027777778</v>
      </c>
      <c r="B763" t="s">
        <v>10</v>
      </c>
      <c r="C763">
        <v>1200</v>
      </c>
      <c r="D763" t="s">
        <v>11</v>
      </c>
      <c r="E763" t="s">
        <v>1335</v>
      </c>
      <c r="F763" t="s">
        <v>1277</v>
      </c>
      <c r="G763" t="s">
        <v>1277</v>
      </c>
      <c r="H763" t="s">
        <v>1274</v>
      </c>
      <c r="I763" s="1">
        <v>39861.276388888888</v>
      </c>
      <c r="J763">
        <v>51.898611099999997</v>
      </c>
      <c r="K763">
        <v>-8.4958332999999993</v>
      </c>
    </row>
    <row r="764" spans="1:11" x14ac:dyDescent="0.45">
      <c r="A764" s="1">
        <v>39839.613194444442</v>
      </c>
      <c r="B764" t="s">
        <v>10</v>
      </c>
      <c r="C764">
        <v>1200</v>
      </c>
      <c r="D764" t="s">
        <v>11</v>
      </c>
      <c r="E764" t="s">
        <v>533</v>
      </c>
      <c r="F764" t="s">
        <v>1336</v>
      </c>
      <c r="G764" t="s">
        <v>1049</v>
      </c>
      <c r="H764" t="s">
        <v>1274</v>
      </c>
      <c r="I764" s="1">
        <v>39861.463194444441</v>
      </c>
      <c r="J764">
        <v>51.8333333</v>
      </c>
      <c r="K764">
        <v>-9.9</v>
      </c>
    </row>
    <row r="765" spans="1:11" x14ac:dyDescent="0.45">
      <c r="A765" s="1">
        <v>39842.531944444447</v>
      </c>
      <c r="B765" t="s">
        <v>10</v>
      </c>
      <c r="C765">
        <v>1200</v>
      </c>
      <c r="D765" t="s">
        <v>11</v>
      </c>
      <c r="E765" t="s">
        <v>1337</v>
      </c>
      <c r="F765" t="s">
        <v>1292</v>
      </c>
      <c r="G765" t="s">
        <v>1280</v>
      </c>
      <c r="H765" t="s">
        <v>1274</v>
      </c>
      <c r="I765" s="1">
        <v>39861.587500000001</v>
      </c>
      <c r="J765">
        <v>53.378611100000001</v>
      </c>
      <c r="K765">
        <v>-6.3922222</v>
      </c>
    </row>
    <row r="766" spans="1:11" x14ac:dyDescent="0.45">
      <c r="A766" s="1">
        <v>39843.222222222219</v>
      </c>
      <c r="B766" t="s">
        <v>10</v>
      </c>
      <c r="C766">
        <v>1200</v>
      </c>
      <c r="D766" t="s">
        <v>11</v>
      </c>
      <c r="E766" t="s">
        <v>308</v>
      </c>
      <c r="F766" t="s">
        <v>1338</v>
      </c>
      <c r="G766" t="s">
        <v>1339</v>
      </c>
      <c r="H766" t="s">
        <v>1274</v>
      </c>
      <c r="I766" s="1">
        <v>39862.307638888888</v>
      </c>
      <c r="J766">
        <v>52.616666700000003</v>
      </c>
      <c r="K766">
        <v>-8.8833333000000003</v>
      </c>
    </row>
    <row r="767" spans="1:11" x14ac:dyDescent="0.45">
      <c r="A767" s="1">
        <v>39843.261805555558</v>
      </c>
      <c r="B767" t="s">
        <v>10</v>
      </c>
      <c r="C767">
        <v>1200</v>
      </c>
      <c r="D767" t="s">
        <v>11</v>
      </c>
      <c r="E767" t="s">
        <v>510</v>
      </c>
      <c r="F767" t="s">
        <v>1340</v>
      </c>
      <c r="G767" t="s">
        <v>1277</v>
      </c>
      <c r="H767" t="s">
        <v>1274</v>
      </c>
      <c r="I767" s="1">
        <v>39863.533333333333</v>
      </c>
      <c r="J767">
        <v>51.933333300000001</v>
      </c>
      <c r="K767">
        <v>-8.5666667000000007</v>
      </c>
    </row>
    <row r="768" spans="1:11" x14ac:dyDescent="0.45">
      <c r="A768" s="1">
        <v>39820.452777777777</v>
      </c>
      <c r="B768" t="s">
        <v>10</v>
      </c>
      <c r="C768">
        <v>1200</v>
      </c>
      <c r="D768" t="s">
        <v>11</v>
      </c>
      <c r="E768" t="s">
        <v>1341</v>
      </c>
      <c r="F768" t="s">
        <v>1342</v>
      </c>
      <c r="G768" t="s">
        <v>1339</v>
      </c>
      <c r="H768" t="s">
        <v>1274</v>
      </c>
      <c r="I768" s="1">
        <v>39863.605555555558</v>
      </c>
      <c r="J768">
        <v>52.596111100000002</v>
      </c>
      <c r="K768">
        <v>-8.5469443999999992</v>
      </c>
    </row>
    <row r="769" spans="1:11" x14ac:dyDescent="0.45">
      <c r="A769" s="1">
        <v>39816.571527777778</v>
      </c>
      <c r="B769" t="s">
        <v>10</v>
      </c>
      <c r="C769">
        <v>1200</v>
      </c>
      <c r="D769" t="s">
        <v>16</v>
      </c>
      <c r="E769" t="s">
        <v>1343</v>
      </c>
      <c r="F769" t="s">
        <v>1344</v>
      </c>
      <c r="G769" t="s">
        <v>1277</v>
      </c>
      <c r="H769" t="s">
        <v>1274</v>
      </c>
      <c r="I769" s="1">
        <v>39864.137499999997</v>
      </c>
      <c r="J769">
        <v>52.216666699999998</v>
      </c>
      <c r="K769">
        <v>-9</v>
      </c>
    </row>
    <row r="770" spans="1:11" x14ac:dyDescent="0.45">
      <c r="A770" s="1">
        <v>39824.281944444447</v>
      </c>
      <c r="B770" t="s">
        <v>20</v>
      </c>
      <c r="C770">
        <v>100000</v>
      </c>
      <c r="D770" t="s">
        <v>11</v>
      </c>
      <c r="E770" t="s">
        <v>1345</v>
      </c>
      <c r="F770" t="s">
        <v>1346</v>
      </c>
      <c r="G770" t="s">
        <v>1280</v>
      </c>
      <c r="H770" t="s">
        <v>1274</v>
      </c>
      <c r="I770" s="1">
        <v>39867.49722222222</v>
      </c>
      <c r="J770">
        <v>53.324444399999997</v>
      </c>
      <c r="K770">
        <v>-6.3972221999999999</v>
      </c>
    </row>
    <row r="771" spans="1:11" x14ac:dyDescent="0.45">
      <c r="A771" s="1">
        <v>39832.601388888892</v>
      </c>
      <c r="B771" t="s">
        <v>10</v>
      </c>
      <c r="C771">
        <v>1200</v>
      </c>
      <c r="D771" t="s">
        <v>16</v>
      </c>
      <c r="E771" t="s">
        <v>1347</v>
      </c>
      <c r="F771" t="s">
        <v>1348</v>
      </c>
      <c r="G771" t="s">
        <v>1280</v>
      </c>
      <c r="H771" t="s">
        <v>1274</v>
      </c>
      <c r="I771" s="1">
        <v>39867.501388888886</v>
      </c>
      <c r="J771">
        <v>53.326388899999998</v>
      </c>
      <c r="K771">
        <v>-6.2947221999999998</v>
      </c>
    </row>
    <row r="772" spans="1:11" x14ac:dyDescent="0.45">
      <c r="A772" s="1">
        <v>39840.501388888886</v>
      </c>
      <c r="B772" t="s">
        <v>10</v>
      </c>
      <c r="C772">
        <v>1200</v>
      </c>
      <c r="D772" t="s">
        <v>11</v>
      </c>
      <c r="E772" t="s">
        <v>1349</v>
      </c>
      <c r="F772" t="s">
        <v>1319</v>
      </c>
      <c r="G772" t="s">
        <v>1319</v>
      </c>
      <c r="H772" t="s">
        <v>1274</v>
      </c>
      <c r="I772" s="1">
        <v>39869.65347222222</v>
      </c>
      <c r="J772">
        <v>52.258333299999997</v>
      </c>
      <c r="K772">
        <v>-7.1119443999999996</v>
      </c>
    </row>
    <row r="773" spans="1:11" x14ac:dyDescent="0.45">
      <c r="A773" s="1">
        <v>39818.127083333333</v>
      </c>
      <c r="B773" t="s">
        <v>10</v>
      </c>
      <c r="C773">
        <v>1200</v>
      </c>
      <c r="D773" t="s">
        <v>63</v>
      </c>
      <c r="E773" t="s">
        <v>674</v>
      </c>
      <c r="F773" t="s">
        <v>1277</v>
      </c>
      <c r="G773" t="s">
        <v>1277</v>
      </c>
      <c r="H773" t="s">
        <v>1274</v>
      </c>
      <c r="I773" s="1">
        <v>39870.170138888891</v>
      </c>
      <c r="J773">
        <v>51.898611099999997</v>
      </c>
      <c r="K773">
        <v>-8.4958332999999993</v>
      </c>
    </row>
    <row r="774" spans="1:11" x14ac:dyDescent="0.45">
      <c r="A774" s="1">
        <v>39842.518750000003</v>
      </c>
      <c r="B774" t="s">
        <v>10</v>
      </c>
      <c r="C774">
        <v>1200</v>
      </c>
      <c r="D774" t="s">
        <v>16</v>
      </c>
      <c r="E774" t="s">
        <v>1350</v>
      </c>
      <c r="F774" t="s">
        <v>1351</v>
      </c>
      <c r="G774" t="s">
        <v>1280</v>
      </c>
      <c r="H774" t="s">
        <v>1274</v>
      </c>
      <c r="I774" s="1">
        <v>39870.42291666667</v>
      </c>
      <c r="J774">
        <v>53.2594444</v>
      </c>
      <c r="K774">
        <v>-6.1447222000000004</v>
      </c>
    </row>
    <row r="775" spans="1:11" x14ac:dyDescent="0.45">
      <c r="A775" s="1">
        <v>39836.21597222222</v>
      </c>
      <c r="B775" t="s">
        <v>10</v>
      </c>
      <c r="C775">
        <v>1200</v>
      </c>
      <c r="D775" t="s">
        <v>11</v>
      </c>
      <c r="E775" t="s">
        <v>1352</v>
      </c>
      <c r="F775" t="s">
        <v>1353</v>
      </c>
      <c r="G775" t="s">
        <v>1280</v>
      </c>
      <c r="H775" t="s">
        <v>1274</v>
      </c>
      <c r="I775" s="1">
        <v>39871.166666666664</v>
      </c>
      <c r="J775">
        <v>53.3030556</v>
      </c>
      <c r="K775">
        <v>-6.1830556000000003</v>
      </c>
    </row>
    <row r="776" spans="1:11" x14ac:dyDescent="0.45">
      <c r="A776" s="1">
        <v>39823.175000000003</v>
      </c>
      <c r="B776" t="s">
        <v>10</v>
      </c>
      <c r="C776">
        <v>1200</v>
      </c>
      <c r="D776" t="s">
        <v>11</v>
      </c>
      <c r="E776" t="s">
        <v>1354</v>
      </c>
      <c r="F776" t="s">
        <v>1355</v>
      </c>
      <c r="G776" t="s">
        <v>1280</v>
      </c>
      <c r="H776" t="s">
        <v>1274</v>
      </c>
      <c r="I776" s="1">
        <v>39871.272916666669</v>
      </c>
      <c r="J776">
        <v>53.266666700000002</v>
      </c>
      <c r="K776">
        <v>-6.1741666999999998</v>
      </c>
    </row>
    <row r="777" spans="1:11" x14ac:dyDescent="0.45">
      <c r="A777" s="1">
        <v>39819.209722222222</v>
      </c>
      <c r="B777" t="s">
        <v>10</v>
      </c>
      <c r="C777">
        <v>1200</v>
      </c>
      <c r="D777" t="s">
        <v>63</v>
      </c>
      <c r="E777" t="s">
        <v>1356</v>
      </c>
      <c r="F777" t="s">
        <v>1357</v>
      </c>
      <c r="G777" t="s">
        <v>1358</v>
      </c>
      <c r="H777" t="s">
        <v>1359</v>
      </c>
      <c r="I777" s="1">
        <v>39819.327777777777</v>
      </c>
      <c r="J777">
        <v>17.3833333</v>
      </c>
      <c r="K777">
        <v>78.466666700000005</v>
      </c>
    </row>
    <row r="778" spans="1:11" x14ac:dyDescent="0.45">
      <c r="A778" s="1">
        <v>39818.031944444447</v>
      </c>
      <c r="B778" t="s">
        <v>10</v>
      </c>
      <c r="C778">
        <v>1200</v>
      </c>
      <c r="D778" t="s">
        <v>63</v>
      </c>
      <c r="E778" t="s">
        <v>50</v>
      </c>
      <c r="F778" t="s">
        <v>1360</v>
      </c>
      <c r="G778" t="s">
        <v>1361</v>
      </c>
      <c r="H778" t="s">
        <v>1359</v>
      </c>
      <c r="I778" s="1">
        <v>39840.011805555558</v>
      </c>
      <c r="J778">
        <v>28.466666700000001</v>
      </c>
      <c r="K778">
        <v>77.033333299999995</v>
      </c>
    </row>
    <row r="779" spans="1:11" x14ac:dyDescent="0.45">
      <c r="A779" s="1">
        <v>39825.636111111111</v>
      </c>
      <c r="B779" t="s">
        <v>10</v>
      </c>
      <c r="C779">
        <v>1200</v>
      </c>
      <c r="D779" t="s">
        <v>11</v>
      </c>
      <c r="E779" t="s">
        <v>1362</v>
      </c>
      <c r="F779" t="s">
        <v>1363</v>
      </c>
      <c r="H779" t="s">
        <v>1364</v>
      </c>
      <c r="I779" s="1">
        <v>39841.363888888889</v>
      </c>
      <c r="J779">
        <v>63.85</v>
      </c>
      <c r="K779">
        <v>-21.3666667</v>
      </c>
    </row>
    <row r="780" spans="1:11" x14ac:dyDescent="0.45">
      <c r="A780" s="1">
        <v>39836.333333333336</v>
      </c>
      <c r="B780" t="s">
        <v>10</v>
      </c>
      <c r="C780">
        <v>1200</v>
      </c>
      <c r="D780" t="s">
        <v>63</v>
      </c>
      <c r="E780" t="s">
        <v>1365</v>
      </c>
      <c r="F780" t="s">
        <v>1366</v>
      </c>
      <c r="G780" t="s">
        <v>1367</v>
      </c>
      <c r="H780" t="s">
        <v>1368</v>
      </c>
      <c r="I780" s="1">
        <v>39836.540972222225</v>
      </c>
      <c r="J780">
        <v>47.4166667</v>
      </c>
      <c r="K780">
        <v>19.0833333</v>
      </c>
    </row>
    <row r="781" spans="1:11" x14ac:dyDescent="0.45">
      <c r="A781" s="1">
        <v>39833.338888888888</v>
      </c>
      <c r="B781" t="s">
        <v>10</v>
      </c>
      <c r="C781">
        <v>1200</v>
      </c>
      <c r="D781" t="s">
        <v>16</v>
      </c>
      <c r="E781" t="s">
        <v>1369</v>
      </c>
      <c r="F781" t="s">
        <v>1370</v>
      </c>
      <c r="G781" t="s">
        <v>1371</v>
      </c>
      <c r="H781" t="s">
        <v>1368</v>
      </c>
      <c r="I781" s="1">
        <v>39851.050000000003</v>
      </c>
      <c r="J781">
        <v>46.9</v>
      </c>
      <c r="K781">
        <v>19.783333299999999</v>
      </c>
    </row>
    <row r="782" spans="1:11" x14ac:dyDescent="0.45">
      <c r="A782" s="1">
        <v>39815.354861111111</v>
      </c>
      <c r="B782" t="s">
        <v>10</v>
      </c>
      <c r="C782">
        <v>1200</v>
      </c>
      <c r="D782" t="s">
        <v>11</v>
      </c>
      <c r="E782" t="s">
        <v>1372</v>
      </c>
      <c r="F782" t="s">
        <v>1373</v>
      </c>
      <c r="G782" t="s">
        <v>1374</v>
      </c>
      <c r="H782" t="s">
        <v>1368</v>
      </c>
      <c r="I782" s="1">
        <v>39866.29583333333</v>
      </c>
      <c r="J782">
        <v>47.45</v>
      </c>
      <c r="K782">
        <v>18.966666700000001</v>
      </c>
    </row>
    <row r="783" spans="1:11" x14ac:dyDescent="0.45">
      <c r="A783" s="1">
        <v>39843.714583333334</v>
      </c>
      <c r="B783" t="s">
        <v>10</v>
      </c>
      <c r="C783">
        <v>1200</v>
      </c>
      <c r="D783" t="s">
        <v>16</v>
      </c>
      <c r="E783" t="s">
        <v>1375</v>
      </c>
      <c r="F783" t="s">
        <v>1376</v>
      </c>
      <c r="H783" t="s">
        <v>1376</v>
      </c>
      <c r="I783" s="1">
        <v>39848.68472222222</v>
      </c>
      <c r="J783">
        <v>22.283333299999999</v>
      </c>
      <c r="K783">
        <v>114.15</v>
      </c>
    </row>
    <row r="784" spans="1:11" x14ac:dyDescent="0.45">
      <c r="A784" s="1">
        <v>39825.854861111111</v>
      </c>
      <c r="B784" t="s">
        <v>10</v>
      </c>
      <c r="C784">
        <v>1200</v>
      </c>
      <c r="D784" t="s">
        <v>11</v>
      </c>
      <c r="E784" t="s">
        <v>1377</v>
      </c>
      <c r="F784" t="s">
        <v>1378</v>
      </c>
      <c r="G784" t="s">
        <v>1379</v>
      </c>
      <c r="H784" t="s">
        <v>1379</v>
      </c>
      <c r="I784" s="1">
        <v>39872.61041666667</v>
      </c>
      <c r="J784">
        <v>14.65</v>
      </c>
      <c r="K784">
        <v>-90.483333299999998</v>
      </c>
    </row>
    <row r="785" spans="1:11" x14ac:dyDescent="0.45">
      <c r="A785" s="1">
        <v>39841.442361111112</v>
      </c>
      <c r="B785" t="s">
        <v>10</v>
      </c>
      <c r="C785">
        <v>1200</v>
      </c>
      <c r="D785" t="s">
        <v>11</v>
      </c>
      <c r="E785" t="s">
        <v>1380</v>
      </c>
      <c r="F785" t="s">
        <v>1381</v>
      </c>
      <c r="G785" t="s">
        <v>1382</v>
      </c>
      <c r="H785" t="s">
        <v>1383</v>
      </c>
      <c r="I785" s="1">
        <v>39868.123611111114</v>
      </c>
      <c r="J785">
        <v>37.983333299999998</v>
      </c>
      <c r="K785">
        <v>23.733333300000002</v>
      </c>
    </row>
    <row r="786" spans="1:11" x14ac:dyDescent="0.45">
      <c r="A786" s="1">
        <v>39818.373611111114</v>
      </c>
      <c r="B786" t="s">
        <v>20</v>
      </c>
      <c r="C786">
        <v>100000</v>
      </c>
      <c r="D786" t="s">
        <v>16</v>
      </c>
      <c r="E786" t="s">
        <v>1384</v>
      </c>
      <c r="F786" t="s">
        <v>1385</v>
      </c>
      <c r="G786" t="s">
        <v>1386</v>
      </c>
      <c r="H786" t="s">
        <v>1387</v>
      </c>
      <c r="I786" s="1">
        <v>39827.088194444441</v>
      </c>
      <c r="J786">
        <v>52.3333333</v>
      </c>
      <c r="K786">
        <v>7.9</v>
      </c>
    </row>
    <row r="787" spans="1:11" x14ac:dyDescent="0.45">
      <c r="A787" s="1">
        <v>39825.404861111114</v>
      </c>
      <c r="B787" t="s">
        <v>10</v>
      </c>
      <c r="C787">
        <v>1200</v>
      </c>
      <c r="D787" t="s">
        <v>63</v>
      </c>
      <c r="E787" t="s">
        <v>719</v>
      </c>
      <c r="F787" t="s">
        <v>1157</v>
      </c>
      <c r="G787" t="s">
        <v>1386</v>
      </c>
      <c r="H787" t="s">
        <v>1387</v>
      </c>
      <c r="I787" s="1">
        <v>39828.509722222225</v>
      </c>
      <c r="J787">
        <v>51.716666699999998</v>
      </c>
      <c r="K787">
        <v>6.5</v>
      </c>
    </row>
    <row r="788" spans="1:11" x14ac:dyDescent="0.45">
      <c r="A788" s="1">
        <v>39824.45208333333</v>
      </c>
      <c r="B788" t="s">
        <v>10</v>
      </c>
      <c r="C788">
        <v>1200</v>
      </c>
      <c r="D788" t="s">
        <v>16</v>
      </c>
      <c r="E788" t="s">
        <v>57</v>
      </c>
      <c r="F788" t="s">
        <v>1388</v>
      </c>
      <c r="G788" t="s">
        <v>1389</v>
      </c>
      <c r="H788" t="s">
        <v>1387</v>
      </c>
      <c r="I788" s="1">
        <v>39831.303472222222</v>
      </c>
      <c r="J788">
        <v>50.0833333</v>
      </c>
      <c r="K788">
        <v>8.4499999999999993</v>
      </c>
    </row>
    <row r="789" spans="1:11" x14ac:dyDescent="0.45">
      <c r="A789" s="1">
        <v>39821.496527777781</v>
      </c>
      <c r="B789" t="s">
        <v>20</v>
      </c>
      <c r="C789">
        <v>100000</v>
      </c>
      <c r="D789" t="s">
        <v>11</v>
      </c>
      <c r="E789" t="s">
        <v>1390</v>
      </c>
      <c r="F789" t="s">
        <v>1391</v>
      </c>
      <c r="G789" t="s">
        <v>1392</v>
      </c>
      <c r="H789" t="s">
        <v>1387</v>
      </c>
      <c r="I789" s="1">
        <v>39832.354861111111</v>
      </c>
      <c r="J789">
        <v>52.266666700000002</v>
      </c>
      <c r="K789">
        <v>10.533333300000001</v>
      </c>
    </row>
    <row r="790" spans="1:11" x14ac:dyDescent="0.45">
      <c r="A790" s="1">
        <v>39814.089583333334</v>
      </c>
      <c r="B790" t="s">
        <v>10</v>
      </c>
      <c r="C790">
        <v>1200</v>
      </c>
      <c r="D790" t="s">
        <v>16</v>
      </c>
      <c r="E790" t="s">
        <v>1393</v>
      </c>
      <c r="F790" t="s">
        <v>1394</v>
      </c>
      <c r="G790" t="s">
        <v>1395</v>
      </c>
      <c r="H790" t="s">
        <v>1387</v>
      </c>
      <c r="I790" s="1">
        <v>39833.49722222222</v>
      </c>
      <c r="J790">
        <v>51.05</v>
      </c>
      <c r="K790">
        <v>13.75</v>
      </c>
    </row>
    <row r="791" spans="1:11" x14ac:dyDescent="0.45">
      <c r="A791" s="1">
        <v>39817.916666666664</v>
      </c>
      <c r="B791" t="s">
        <v>20</v>
      </c>
      <c r="C791">
        <v>100000</v>
      </c>
      <c r="D791" t="s">
        <v>63</v>
      </c>
      <c r="E791" t="s">
        <v>1396</v>
      </c>
      <c r="F791" t="s">
        <v>1397</v>
      </c>
      <c r="G791" t="s">
        <v>1389</v>
      </c>
      <c r="H791" t="s">
        <v>1387</v>
      </c>
      <c r="I791" s="1">
        <v>39835.51458333333</v>
      </c>
      <c r="J791">
        <v>50.0833333</v>
      </c>
      <c r="K791">
        <v>8.25</v>
      </c>
    </row>
    <row r="792" spans="1:11" x14ac:dyDescent="0.45">
      <c r="A792" s="1">
        <v>39823.169444444444</v>
      </c>
      <c r="B792" t="s">
        <v>10</v>
      </c>
      <c r="C792">
        <v>1200</v>
      </c>
      <c r="D792" t="s">
        <v>11</v>
      </c>
      <c r="E792" t="s">
        <v>626</v>
      </c>
      <c r="F792" t="s">
        <v>1398</v>
      </c>
      <c r="G792" t="s">
        <v>1392</v>
      </c>
      <c r="H792" t="s">
        <v>1387</v>
      </c>
      <c r="I792" s="1">
        <v>39836.227777777778</v>
      </c>
      <c r="J792">
        <v>53.1666667</v>
      </c>
      <c r="K792">
        <v>8.1999999999999993</v>
      </c>
    </row>
    <row r="793" spans="1:11" x14ac:dyDescent="0.45">
      <c r="A793" s="1">
        <v>39814.42083333333</v>
      </c>
      <c r="B793" t="s">
        <v>20</v>
      </c>
      <c r="C793">
        <v>100000</v>
      </c>
      <c r="D793" t="s">
        <v>16</v>
      </c>
      <c r="E793" t="s">
        <v>1399</v>
      </c>
      <c r="F793" t="s">
        <v>1400</v>
      </c>
      <c r="G793" t="s">
        <v>1401</v>
      </c>
      <c r="H793" t="s">
        <v>1387</v>
      </c>
      <c r="I793" s="1">
        <v>39838.484027777777</v>
      </c>
      <c r="J793">
        <v>48.15</v>
      </c>
      <c r="K793">
        <v>11.5833333</v>
      </c>
    </row>
    <row r="794" spans="1:11" x14ac:dyDescent="0.45">
      <c r="A794" s="1">
        <v>39820.333333333336</v>
      </c>
      <c r="B794" t="s">
        <v>10</v>
      </c>
      <c r="C794">
        <v>1200</v>
      </c>
      <c r="D794" t="s">
        <v>16</v>
      </c>
      <c r="E794" t="s">
        <v>272</v>
      </c>
      <c r="F794" t="s">
        <v>1402</v>
      </c>
      <c r="G794" t="s">
        <v>1403</v>
      </c>
      <c r="H794" t="s">
        <v>1387</v>
      </c>
      <c r="I794" s="1">
        <v>39840.270833333336</v>
      </c>
      <c r="J794">
        <v>49.466666699999998</v>
      </c>
      <c r="K794">
        <v>7.4333333000000001</v>
      </c>
    </row>
    <row r="795" spans="1:11" x14ac:dyDescent="0.45">
      <c r="A795" s="1">
        <v>39817.427777777775</v>
      </c>
      <c r="B795" t="s">
        <v>10</v>
      </c>
      <c r="C795">
        <v>1200</v>
      </c>
      <c r="D795" t="s">
        <v>16</v>
      </c>
      <c r="E795" t="s">
        <v>227</v>
      </c>
      <c r="F795" t="s">
        <v>1404</v>
      </c>
      <c r="G795" t="s">
        <v>1404</v>
      </c>
      <c r="H795" t="s">
        <v>1387</v>
      </c>
      <c r="I795" s="1">
        <v>39841.464583333334</v>
      </c>
      <c r="J795">
        <v>52.516666700000002</v>
      </c>
      <c r="K795">
        <v>13.4</v>
      </c>
    </row>
    <row r="796" spans="1:11" x14ac:dyDescent="0.45">
      <c r="A796" s="1">
        <v>39825.070833333331</v>
      </c>
      <c r="B796" t="s">
        <v>10</v>
      </c>
      <c r="C796">
        <v>1200</v>
      </c>
      <c r="D796" t="s">
        <v>16</v>
      </c>
      <c r="E796" t="s">
        <v>1405</v>
      </c>
      <c r="F796" t="s">
        <v>1406</v>
      </c>
      <c r="G796" t="s">
        <v>1406</v>
      </c>
      <c r="H796" t="s">
        <v>1387</v>
      </c>
      <c r="I796" s="1">
        <v>39842.189583333333</v>
      </c>
      <c r="J796">
        <v>53.55</v>
      </c>
      <c r="K796">
        <v>10</v>
      </c>
    </row>
    <row r="797" spans="1:11" x14ac:dyDescent="0.45">
      <c r="A797" s="1">
        <v>39820.245138888888</v>
      </c>
      <c r="B797" t="s">
        <v>10</v>
      </c>
      <c r="C797">
        <v>1200</v>
      </c>
      <c r="D797" t="s">
        <v>11</v>
      </c>
      <c r="E797" t="s">
        <v>773</v>
      </c>
      <c r="F797" t="s">
        <v>1407</v>
      </c>
      <c r="G797" t="s">
        <v>1403</v>
      </c>
      <c r="H797" t="s">
        <v>1387</v>
      </c>
      <c r="I797" s="1">
        <v>39849.15347222222</v>
      </c>
      <c r="J797">
        <v>49.4166667</v>
      </c>
      <c r="K797">
        <v>7.4</v>
      </c>
    </row>
    <row r="798" spans="1:11" x14ac:dyDescent="0.45">
      <c r="A798" s="1">
        <v>39842.28402777778</v>
      </c>
      <c r="B798" t="s">
        <v>10</v>
      </c>
      <c r="C798">
        <v>1200</v>
      </c>
      <c r="D798" t="s">
        <v>16</v>
      </c>
      <c r="E798" t="s">
        <v>1408</v>
      </c>
      <c r="F798" t="s">
        <v>1409</v>
      </c>
      <c r="G798" t="s">
        <v>1392</v>
      </c>
      <c r="H798" t="s">
        <v>1387</v>
      </c>
      <c r="I798" s="1">
        <v>39850.286111111112</v>
      </c>
      <c r="J798">
        <v>52.366666700000003</v>
      </c>
      <c r="K798">
        <v>9.7166666999999993</v>
      </c>
    </row>
    <row r="799" spans="1:11" x14ac:dyDescent="0.45">
      <c r="A799" s="1">
        <v>39824.409722222219</v>
      </c>
      <c r="B799" t="s">
        <v>10</v>
      </c>
      <c r="C799">
        <v>1200</v>
      </c>
      <c r="D799" t="s">
        <v>11</v>
      </c>
      <c r="E799" t="s">
        <v>1410</v>
      </c>
      <c r="F799" t="s">
        <v>1411</v>
      </c>
      <c r="G799" t="s">
        <v>1412</v>
      </c>
      <c r="H799" t="s">
        <v>1387</v>
      </c>
      <c r="I799" s="1">
        <v>39854.436111111114</v>
      </c>
      <c r="J799">
        <v>51.05</v>
      </c>
      <c r="K799">
        <v>11.65</v>
      </c>
    </row>
    <row r="800" spans="1:11" x14ac:dyDescent="0.45">
      <c r="A800" s="1">
        <v>39821.270138888889</v>
      </c>
      <c r="B800" t="s">
        <v>10</v>
      </c>
      <c r="C800">
        <v>1200</v>
      </c>
      <c r="D800" t="s">
        <v>11</v>
      </c>
      <c r="E800" t="s">
        <v>1413</v>
      </c>
      <c r="F800" t="s">
        <v>1414</v>
      </c>
      <c r="G800" t="s">
        <v>1403</v>
      </c>
      <c r="H800" t="s">
        <v>1387</v>
      </c>
      <c r="I800" s="1">
        <v>39854.999305555553</v>
      </c>
      <c r="J800">
        <v>49.983333299999998</v>
      </c>
      <c r="K800">
        <v>8.0666667000000007</v>
      </c>
    </row>
    <row r="801" spans="1:11" x14ac:dyDescent="0.45">
      <c r="A801" s="1">
        <v>39831.02847222222</v>
      </c>
      <c r="B801" t="s">
        <v>20</v>
      </c>
      <c r="C801">
        <v>100000</v>
      </c>
      <c r="D801" t="s">
        <v>11</v>
      </c>
      <c r="E801" t="s">
        <v>1415</v>
      </c>
      <c r="F801" t="s">
        <v>1416</v>
      </c>
      <c r="G801" t="s">
        <v>1401</v>
      </c>
      <c r="H801" t="s">
        <v>1387</v>
      </c>
      <c r="I801" s="1">
        <v>39858.049305555556</v>
      </c>
      <c r="J801">
        <v>48.7</v>
      </c>
      <c r="K801">
        <v>10.8</v>
      </c>
    </row>
    <row r="802" spans="1:11" x14ac:dyDescent="0.45">
      <c r="A802" s="1">
        <v>39829.25277777778</v>
      </c>
      <c r="B802" t="s">
        <v>10</v>
      </c>
      <c r="C802">
        <v>1200</v>
      </c>
      <c r="D802" t="s">
        <v>16</v>
      </c>
      <c r="E802" t="s">
        <v>131</v>
      </c>
      <c r="F802" t="s">
        <v>1417</v>
      </c>
      <c r="G802" t="s">
        <v>1418</v>
      </c>
      <c r="H802" t="s">
        <v>1387</v>
      </c>
      <c r="I802" s="1">
        <v>39858.211805555555</v>
      </c>
      <c r="J802">
        <v>48.283333300000002</v>
      </c>
      <c r="K802">
        <v>9.7333333</v>
      </c>
    </row>
    <row r="803" spans="1:11" x14ac:dyDescent="0.45">
      <c r="A803" s="1">
        <v>39823.495138888888</v>
      </c>
      <c r="B803" t="s">
        <v>10</v>
      </c>
      <c r="C803">
        <v>1200</v>
      </c>
      <c r="D803" t="s">
        <v>11</v>
      </c>
      <c r="E803" t="s">
        <v>31</v>
      </c>
      <c r="F803" t="s">
        <v>1419</v>
      </c>
      <c r="G803" t="s">
        <v>1418</v>
      </c>
      <c r="H803" t="s">
        <v>1387</v>
      </c>
      <c r="I803" s="1">
        <v>39859.070833333331</v>
      </c>
      <c r="J803">
        <v>48.9</v>
      </c>
      <c r="K803">
        <v>9.1833332999999993</v>
      </c>
    </row>
    <row r="804" spans="1:11" x14ac:dyDescent="0.45">
      <c r="A804" s="1">
        <v>39829.315972222219</v>
      </c>
      <c r="B804" t="s">
        <v>10</v>
      </c>
      <c r="C804">
        <v>1200</v>
      </c>
      <c r="D804" t="s">
        <v>63</v>
      </c>
      <c r="E804" t="s">
        <v>1420</v>
      </c>
      <c r="F804" t="s">
        <v>1421</v>
      </c>
      <c r="G804" t="s">
        <v>1418</v>
      </c>
      <c r="H804" t="s">
        <v>1387</v>
      </c>
      <c r="I804" s="1">
        <v>39859.5</v>
      </c>
      <c r="J804">
        <v>48.766666700000002</v>
      </c>
      <c r="K804">
        <v>9.1833332999999993</v>
      </c>
    </row>
    <row r="805" spans="1:11" x14ac:dyDescent="0.45">
      <c r="A805" s="1">
        <v>39842.319444444445</v>
      </c>
      <c r="B805" t="s">
        <v>10</v>
      </c>
      <c r="C805">
        <v>1200</v>
      </c>
      <c r="D805" t="s">
        <v>63</v>
      </c>
      <c r="E805" t="s">
        <v>1422</v>
      </c>
      <c r="F805" t="s">
        <v>1423</v>
      </c>
      <c r="G805" t="s">
        <v>1401</v>
      </c>
      <c r="H805" t="s">
        <v>1387</v>
      </c>
      <c r="I805" s="1">
        <v>39860.11041666667</v>
      </c>
      <c r="J805">
        <v>49.55</v>
      </c>
      <c r="K805">
        <v>11.5833333</v>
      </c>
    </row>
    <row r="806" spans="1:11" x14ac:dyDescent="0.45">
      <c r="A806" s="1">
        <v>39832.526388888888</v>
      </c>
      <c r="B806" t="s">
        <v>10</v>
      </c>
      <c r="C806">
        <v>1200</v>
      </c>
      <c r="D806" t="s">
        <v>11</v>
      </c>
      <c r="E806" t="s">
        <v>1424</v>
      </c>
      <c r="F806" t="s">
        <v>1400</v>
      </c>
      <c r="G806" t="s">
        <v>1401</v>
      </c>
      <c r="H806" t="s">
        <v>1387</v>
      </c>
      <c r="I806" s="1">
        <v>39860.531944444447</v>
      </c>
      <c r="J806">
        <v>48.15</v>
      </c>
      <c r="K806">
        <v>11.5833333</v>
      </c>
    </row>
    <row r="807" spans="1:11" x14ac:dyDescent="0.45">
      <c r="A807" s="1">
        <v>39820.568055555559</v>
      </c>
      <c r="B807" t="s">
        <v>10</v>
      </c>
      <c r="C807">
        <v>1200</v>
      </c>
      <c r="D807" t="s">
        <v>16</v>
      </c>
      <c r="E807" t="s">
        <v>712</v>
      </c>
      <c r="F807" t="s">
        <v>1421</v>
      </c>
      <c r="G807" t="s">
        <v>1418</v>
      </c>
      <c r="H807" t="s">
        <v>1387</v>
      </c>
      <c r="I807" s="1">
        <v>39861.397222222222</v>
      </c>
      <c r="J807">
        <v>48.766666700000002</v>
      </c>
      <c r="K807">
        <v>9.1833332999999993</v>
      </c>
    </row>
    <row r="808" spans="1:11" x14ac:dyDescent="0.45">
      <c r="A808" s="1">
        <v>39826.079861111109</v>
      </c>
      <c r="B808" t="s">
        <v>10</v>
      </c>
      <c r="C808">
        <v>1200</v>
      </c>
      <c r="D808" t="s">
        <v>16</v>
      </c>
      <c r="E808" t="s">
        <v>1425</v>
      </c>
      <c r="F808" t="s">
        <v>1426</v>
      </c>
      <c r="G808" t="s">
        <v>1427</v>
      </c>
      <c r="H808" t="s">
        <v>1387</v>
      </c>
      <c r="I808" s="1">
        <v>39861.864583333336</v>
      </c>
      <c r="J808">
        <v>49.5</v>
      </c>
      <c r="K808">
        <v>6.6</v>
      </c>
    </row>
    <row r="809" spans="1:11" x14ac:dyDescent="0.45">
      <c r="A809" s="1">
        <v>39841.48333333333</v>
      </c>
      <c r="B809" t="s">
        <v>10</v>
      </c>
      <c r="C809">
        <v>1200</v>
      </c>
      <c r="D809" t="s">
        <v>63</v>
      </c>
      <c r="E809" t="s">
        <v>1428</v>
      </c>
      <c r="F809" t="s">
        <v>1429</v>
      </c>
      <c r="G809" t="s">
        <v>1412</v>
      </c>
      <c r="H809" t="s">
        <v>1387</v>
      </c>
      <c r="I809" s="1">
        <v>39862.086111111108</v>
      </c>
      <c r="J809">
        <v>51.466666699999998</v>
      </c>
      <c r="K809">
        <v>10.5</v>
      </c>
    </row>
    <row r="810" spans="1:11" x14ac:dyDescent="0.45">
      <c r="A810" s="1">
        <v>39823.154861111114</v>
      </c>
      <c r="B810" t="s">
        <v>10</v>
      </c>
      <c r="C810">
        <v>1200</v>
      </c>
      <c r="D810" t="s">
        <v>11</v>
      </c>
      <c r="E810" t="s">
        <v>1430</v>
      </c>
      <c r="F810" t="s">
        <v>1421</v>
      </c>
      <c r="G810" t="s">
        <v>1418</v>
      </c>
      <c r="H810" t="s">
        <v>1387</v>
      </c>
      <c r="I810" s="1">
        <v>39863.132638888892</v>
      </c>
      <c r="J810">
        <v>48.766666700000002</v>
      </c>
      <c r="K810">
        <v>9.1833332999999993</v>
      </c>
    </row>
    <row r="811" spans="1:11" x14ac:dyDescent="0.45">
      <c r="A811" s="1">
        <v>39817.59097222222</v>
      </c>
      <c r="B811" t="s">
        <v>10</v>
      </c>
      <c r="C811">
        <v>1200</v>
      </c>
      <c r="D811" t="s">
        <v>11</v>
      </c>
      <c r="E811" t="s">
        <v>1431</v>
      </c>
      <c r="F811" t="s">
        <v>1432</v>
      </c>
      <c r="G811" t="s">
        <v>1433</v>
      </c>
      <c r="H811" t="s">
        <v>1434</v>
      </c>
      <c r="I811" s="1">
        <v>39818.053472222222</v>
      </c>
      <c r="J811">
        <v>48.883333299999997</v>
      </c>
      <c r="K811">
        <v>2.15</v>
      </c>
    </row>
    <row r="812" spans="1:11" x14ac:dyDescent="0.45">
      <c r="A812" s="1">
        <v>39828.154861111114</v>
      </c>
      <c r="B812" t="s">
        <v>10</v>
      </c>
      <c r="C812">
        <v>1200</v>
      </c>
      <c r="D812" t="s">
        <v>11</v>
      </c>
      <c r="E812" t="s">
        <v>540</v>
      </c>
      <c r="F812" t="s">
        <v>1435</v>
      </c>
      <c r="G812" t="s">
        <v>1436</v>
      </c>
      <c r="H812" t="s">
        <v>1434</v>
      </c>
      <c r="I812" s="1">
        <v>39828.23541666667</v>
      </c>
      <c r="J812">
        <v>49.433333300000001</v>
      </c>
      <c r="K812">
        <v>1.0833333000000001</v>
      </c>
    </row>
    <row r="813" spans="1:11" x14ac:dyDescent="0.45">
      <c r="A813" s="1">
        <v>39820.257638888892</v>
      </c>
      <c r="B813" t="s">
        <v>20</v>
      </c>
      <c r="C813">
        <v>100000</v>
      </c>
      <c r="D813" t="s">
        <v>11</v>
      </c>
      <c r="E813" t="s">
        <v>1437</v>
      </c>
      <c r="F813" t="s">
        <v>1438</v>
      </c>
      <c r="G813" t="s">
        <v>1433</v>
      </c>
      <c r="H813" t="s">
        <v>1434</v>
      </c>
      <c r="I813" s="1">
        <v>39833.473611111112</v>
      </c>
      <c r="J813">
        <v>48.866666700000003</v>
      </c>
      <c r="K813">
        <v>2.3333333000000001</v>
      </c>
    </row>
    <row r="814" spans="1:11" x14ac:dyDescent="0.45">
      <c r="A814" s="1">
        <v>39818.122916666667</v>
      </c>
      <c r="B814" t="s">
        <v>230</v>
      </c>
      <c r="C814">
        <v>100000</v>
      </c>
      <c r="D814" t="s">
        <v>11</v>
      </c>
      <c r="E814" t="s">
        <v>1060</v>
      </c>
      <c r="F814" t="s">
        <v>1439</v>
      </c>
      <c r="G814" t="s">
        <v>481</v>
      </c>
      <c r="H814" t="s">
        <v>1434</v>
      </c>
      <c r="I814" s="1">
        <v>39836.311805555553</v>
      </c>
      <c r="J814">
        <v>48.0833333</v>
      </c>
      <c r="K814">
        <v>-1.6833332999999999</v>
      </c>
    </row>
    <row r="815" spans="1:11" x14ac:dyDescent="0.45">
      <c r="A815" s="1">
        <v>39828.070138888892</v>
      </c>
      <c r="B815" t="s">
        <v>10</v>
      </c>
      <c r="C815">
        <v>1200</v>
      </c>
      <c r="D815" t="s">
        <v>63</v>
      </c>
      <c r="E815" t="s">
        <v>592</v>
      </c>
      <c r="F815" t="s">
        <v>1440</v>
      </c>
      <c r="G815" t="s">
        <v>1441</v>
      </c>
      <c r="H815" t="s">
        <v>1434</v>
      </c>
      <c r="I815" s="1">
        <v>39837.35833333333</v>
      </c>
      <c r="J815">
        <v>43.25</v>
      </c>
      <c r="K815">
        <v>5.6166666999999997</v>
      </c>
    </row>
    <row r="816" spans="1:11" x14ac:dyDescent="0.45">
      <c r="A816" s="1">
        <v>39829.213194444441</v>
      </c>
      <c r="B816" t="s">
        <v>10</v>
      </c>
      <c r="C816">
        <v>1200</v>
      </c>
      <c r="D816" t="s">
        <v>63</v>
      </c>
      <c r="E816" t="s">
        <v>50</v>
      </c>
      <c r="F816" t="s">
        <v>1442</v>
      </c>
      <c r="G816" t="s">
        <v>1443</v>
      </c>
      <c r="H816" t="s">
        <v>1434</v>
      </c>
      <c r="I816" s="1">
        <v>39838.487500000003</v>
      </c>
      <c r="J816">
        <v>47.966666699999998</v>
      </c>
      <c r="K816">
        <v>-0.23333329999999999</v>
      </c>
    </row>
    <row r="817" spans="1:11" x14ac:dyDescent="0.45">
      <c r="A817" s="1">
        <v>39839.15902777778</v>
      </c>
      <c r="B817" t="s">
        <v>20</v>
      </c>
      <c r="C817">
        <v>100000</v>
      </c>
      <c r="D817" t="s">
        <v>16</v>
      </c>
      <c r="E817" t="s">
        <v>1444</v>
      </c>
      <c r="F817" t="s">
        <v>1445</v>
      </c>
      <c r="G817" t="s">
        <v>1441</v>
      </c>
      <c r="H817" t="s">
        <v>1434</v>
      </c>
      <c r="I817" s="1">
        <v>39839.137499999997</v>
      </c>
      <c r="J817">
        <v>43.633333299999997</v>
      </c>
      <c r="K817">
        <v>7.1</v>
      </c>
    </row>
    <row r="818" spans="1:11" x14ac:dyDescent="0.45">
      <c r="A818" s="1">
        <v>39822.600694444445</v>
      </c>
      <c r="B818" t="s">
        <v>10</v>
      </c>
      <c r="C818">
        <v>1200</v>
      </c>
      <c r="D818" t="s">
        <v>63</v>
      </c>
      <c r="E818" t="s">
        <v>1446</v>
      </c>
      <c r="F818" t="s">
        <v>1447</v>
      </c>
      <c r="G818" t="s">
        <v>481</v>
      </c>
      <c r="H818" t="s">
        <v>1434</v>
      </c>
      <c r="I818" s="1">
        <v>39839.230555555558</v>
      </c>
      <c r="J818">
        <v>47.9</v>
      </c>
      <c r="K818">
        <v>-2.1166667000000001</v>
      </c>
    </row>
    <row r="819" spans="1:11" x14ac:dyDescent="0.45">
      <c r="A819" s="1">
        <v>39822.050000000003</v>
      </c>
      <c r="B819" t="s">
        <v>10</v>
      </c>
      <c r="C819">
        <v>1200</v>
      </c>
      <c r="D819" t="s">
        <v>11</v>
      </c>
      <c r="E819" t="s">
        <v>1448</v>
      </c>
      <c r="F819" t="s">
        <v>1449</v>
      </c>
      <c r="G819" t="s">
        <v>1433</v>
      </c>
      <c r="H819" t="s">
        <v>1434</v>
      </c>
      <c r="I819" s="1">
        <v>39840.12222222222</v>
      </c>
      <c r="J819">
        <v>48.65</v>
      </c>
      <c r="K819">
        <v>1.8333333000000001</v>
      </c>
    </row>
    <row r="820" spans="1:11" x14ac:dyDescent="0.45">
      <c r="A820" s="1">
        <v>39818.259722222225</v>
      </c>
      <c r="B820" t="s">
        <v>10</v>
      </c>
      <c r="C820">
        <v>1200</v>
      </c>
      <c r="D820" t="s">
        <v>16</v>
      </c>
      <c r="E820" t="s">
        <v>396</v>
      </c>
      <c r="F820" t="s">
        <v>1450</v>
      </c>
      <c r="G820" t="s">
        <v>1451</v>
      </c>
      <c r="H820" t="s">
        <v>1434</v>
      </c>
      <c r="I820" s="1">
        <v>39840.292361111111</v>
      </c>
      <c r="J820">
        <v>46.266666700000002</v>
      </c>
      <c r="K820">
        <v>6.25</v>
      </c>
    </row>
    <row r="821" spans="1:11" x14ac:dyDescent="0.45">
      <c r="A821" s="1">
        <v>39829.305555555555</v>
      </c>
      <c r="B821" t="s">
        <v>20</v>
      </c>
      <c r="C821">
        <v>100000</v>
      </c>
      <c r="D821" t="s">
        <v>16</v>
      </c>
      <c r="E821" t="s">
        <v>1452</v>
      </c>
      <c r="F821" t="s">
        <v>1453</v>
      </c>
      <c r="G821" t="s">
        <v>1451</v>
      </c>
      <c r="H821" t="s">
        <v>1434</v>
      </c>
      <c r="I821" s="1">
        <v>39841.529861111114</v>
      </c>
      <c r="J821">
        <v>46.233333299999998</v>
      </c>
      <c r="K821">
        <v>6.3166666999999999</v>
      </c>
    </row>
    <row r="822" spans="1:11" x14ac:dyDescent="0.45">
      <c r="A822" s="1">
        <v>39826.638194444444</v>
      </c>
      <c r="B822" t="s">
        <v>20</v>
      </c>
      <c r="C822">
        <v>100000</v>
      </c>
      <c r="D822" t="s">
        <v>11</v>
      </c>
      <c r="E822" t="s">
        <v>640</v>
      </c>
      <c r="F822" t="s">
        <v>1438</v>
      </c>
      <c r="G822" t="s">
        <v>1433</v>
      </c>
      <c r="H822" t="s">
        <v>1434</v>
      </c>
      <c r="I822" s="1">
        <v>39841.59097222222</v>
      </c>
      <c r="J822">
        <v>48.866666700000003</v>
      </c>
      <c r="K822">
        <v>2.3333333000000001</v>
      </c>
    </row>
    <row r="823" spans="1:11" x14ac:dyDescent="0.45">
      <c r="A823" s="1">
        <v>39841.061111111114</v>
      </c>
      <c r="B823" t="s">
        <v>10</v>
      </c>
      <c r="C823">
        <v>1200</v>
      </c>
      <c r="D823" t="s">
        <v>63</v>
      </c>
      <c r="E823" t="s">
        <v>1454</v>
      </c>
      <c r="F823" t="s">
        <v>1455</v>
      </c>
      <c r="G823" t="s">
        <v>1456</v>
      </c>
      <c r="H823" t="s">
        <v>1434</v>
      </c>
      <c r="I823" s="1">
        <v>39848.23541666667</v>
      </c>
      <c r="J823">
        <v>47.25</v>
      </c>
      <c r="K823">
        <v>6.0333332999999998</v>
      </c>
    </row>
    <row r="824" spans="1:11" x14ac:dyDescent="0.45">
      <c r="A824" s="1">
        <v>39835.538194444445</v>
      </c>
      <c r="B824" t="s">
        <v>10</v>
      </c>
      <c r="C824">
        <v>1200</v>
      </c>
      <c r="D824" t="s">
        <v>11</v>
      </c>
      <c r="E824" t="s">
        <v>174</v>
      </c>
      <c r="F824" t="s">
        <v>1438</v>
      </c>
      <c r="G824" t="s">
        <v>1433</v>
      </c>
      <c r="H824" t="s">
        <v>1434</v>
      </c>
      <c r="I824" s="1">
        <v>39848.550000000003</v>
      </c>
      <c r="J824">
        <v>48.866666700000003</v>
      </c>
      <c r="K824">
        <v>2.3333333000000001</v>
      </c>
    </row>
    <row r="825" spans="1:11" x14ac:dyDescent="0.45">
      <c r="A825" s="1">
        <v>39840.107638888891</v>
      </c>
      <c r="B825" t="s">
        <v>10</v>
      </c>
      <c r="C825">
        <v>1200</v>
      </c>
      <c r="D825" t="s">
        <v>11</v>
      </c>
      <c r="E825" t="s">
        <v>419</v>
      </c>
      <c r="F825" t="s">
        <v>1457</v>
      </c>
      <c r="G825" t="s">
        <v>1451</v>
      </c>
      <c r="H825" t="s">
        <v>1434</v>
      </c>
      <c r="I825" s="1">
        <v>39850.214583333334</v>
      </c>
      <c r="J825">
        <v>46.283333300000002</v>
      </c>
      <c r="K825">
        <v>6.1</v>
      </c>
    </row>
    <row r="826" spans="1:11" x14ac:dyDescent="0.45">
      <c r="A826" s="1">
        <v>39827.010416666664</v>
      </c>
      <c r="B826" t="s">
        <v>20</v>
      </c>
      <c r="C826">
        <v>100000</v>
      </c>
      <c r="D826" t="s">
        <v>11</v>
      </c>
      <c r="E826" t="s">
        <v>600</v>
      </c>
      <c r="F826" t="s">
        <v>1438</v>
      </c>
      <c r="G826" t="s">
        <v>1433</v>
      </c>
      <c r="H826" t="s">
        <v>1434</v>
      </c>
      <c r="I826" s="1">
        <v>39853.0625</v>
      </c>
      <c r="J826">
        <v>48.866666700000003</v>
      </c>
      <c r="K826">
        <v>2.3333333000000001</v>
      </c>
    </row>
    <row r="827" spans="1:11" x14ac:dyDescent="0.45">
      <c r="A827" s="1">
        <v>39835.315972222219</v>
      </c>
      <c r="B827" t="s">
        <v>10</v>
      </c>
      <c r="C827">
        <v>1200</v>
      </c>
      <c r="D827" t="s">
        <v>11</v>
      </c>
      <c r="E827" t="s">
        <v>433</v>
      </c>
      <c r="F827" t="s">
        <v>1458</v>
      </c>
      <c r="G827" t="s">
        <v>1451</v>
      </c>
      <c r="H827" t="s">
        <v>1434</v>
      </c>
      <c r="I827" s="1">
        <v>39854.387499999997</v>
      </c>
      <c r="J827">
        <v>46.25</v>
      </c>
      <c r="K827">
        <v>6.1166666999999997</v>
      </c>
    </row>
    <row r="828" spans="1:11" x14ac:dyDescent="0.45">
      <c r="A828" s="1">
        <v>39842.671527777777</v>
      </c>
      <c r="B828" t="s">
        <v>10</v>
      </c>
      <c r="C828">
        <v>1200</v>
      </c>
      <c r="D828" t="s">
        <v>63</v>
      </c>
      <c r="E828" t="s">
        <v>454</v>
      </c>
      <c r="F828" t="s">
        <v>1438</v>
      </c>
      <c r="G828" t="s">
        <v>1433</v>
      </c>
      <c r="H828" t="s">
        <v>1434</v>
      </c>
      <c r="I828" s="1">
        <v>39854.933333333334</v>
      </c>
      <c r="J828">
        <v>48.866666700000003</v>
      </c>
      <c r="K828">
        <v>2.3333333000000001</v>
      </c>
    </row>
    <row r="829" spans="1:11" x14ac:dyDescent="0.45">
      <c r="A829" s="1">
        <v>39825.609027777777</v>
      </c>
      <c r="B829" t="s">
        <v>10</v>
      </c>
      <c r="C829">
        <v>100000</v>
      </c>
      <c r="D829" t="s">
        <v>16</v>
      </c>
      <c r="E829" t="s">
        <v>1459</v>
      </c>
      <c r="F829" t="s">
        <v>1460</v>
      </c>
      <c r="G829" t="s">
        <v>1451</v>
      </c>
      <c r="H829" t="s">
        <v>1434</v>
      </c>
      <c r="I829" s="1">
        <v>39856.992361111108</v>
      </c>
      <c r="J829">
        <v>46.033333300000002</v>
      </c>
      <c r="K829">
        <v>6.2333333</v>
      </c>
    </row>
    <row r="830" spans="1:11" x14ac:dyDescent="0.45">
      <c r="A830" s="1">
        <v>39818.229166666664</v>
      </c>
      <c r="B830" t="s">
        <v>10</v>
      </c>
      <c r="C830">
        <v>100000</v>
      </c>
      <c r="D830" t="s">
        <v>11</v>
      </c>
      <c r="E830" t="s">
        <v>1461</v>
      </c>
      <c r="F830" t="s">
        <v>1438</v>
      </c>
      <c r="G830" t="s">
        <v>1433</v>
      </c>
      <c r="H830" t="s">
        <v>1434</v>
      </c>
      <c r="I830" s="1">
        <v>39858.231944444444</v>
      </c>
      <c r="J830">
        <v>48.866666700000003</v>
      </c>
      <c r="K830">
        <v>2.3333333000000001</v>
      </c>
    </row>
    <row r="831" spans="1:11" x14ac:dyDescent="0.45">
      <c r="A831" s="1">
        <v>39839.699305555558</v>
      </c>
      <c r="B831" t="s">
        <v>10</v>
      </c>
      <c r="C831">
        <v>100000</v>
      </c>
      <c r="D831" t="s">
        <v>11</v>
      </c>
      <c r="E831" t="s">
        <v>1462</v>
      </c>
      <c r="F831" t="s">
        <v>1463</v>
      </c>
      <c r="G831" t="s">
        <v>1451</v>
      </c>
      <c r="H831" t="s">
        <v>1434</v>
      </c>
      <c r="I831" s="1">
        <v>39860.209027777775</v>
      </c>
      <c r="J831">
        <v>45.9166667</v>
      </c>
      <c r="K831">
        <v>6.8666666999999997</v>
      </c>
    </row>
    <row r="832" spans="1:11" x14ac:dyDescent="0.45">
      <c r="A832" s="1">
        <v>39842.536805555559</v>
      </c>
      <c r="B832" t="s">
        <v>10</v>
      </c>
      <c r="C832">
        <v>100000</v>
      </c>
      <c r="D832" t="s">
        <v>11</v>
      </c>
      <c r="E832" t="s">
        <v>84</v>
      </c>
      <c r="F832" t="s">
        <v>1464</v>
      </c>
      <c r="G832" t="s">
        <v>1456</v>
      </c>
      <c r="H832" t="s">
        <v>1434</v>
      </c>
      <c r="I832" s="1">
        <v>39862.043749999997</v>
      </c>
      <c r="J832">
        <v>47.033333300000002</v>
      </c>
      <c r="K832">
        <v>5.7666667</v>
      </c>
    </row>
    <row r="833" spans="1:11" x14ac:dyDescent="0.45">
      <c r="A833" s="1">
        <v>39821.404861111114</v>
      </c>
      <c r="B833" t="s">
        <v>10</v>
      </c>
      <c r="C833">
        <v>100000</v>
      </c>
      <c r="D833" t="s">
        <v>11</v>
      </c>
      <c r="E833" t="s">
        <v>1465</v>
      </c>
      <c r="F833" t="s">
        <v>1466</v>
      </c>
      <c r="G833" t="s">
        <v>1441</v>
      </c>
      <c r="H833" t="s">
        <v>1434</v>
      </c>
      <c r="I833" s="1">
        <v>39862.359722222223</v>
      </c>
      <c r="J833">
        <v>43.533333300000002</v>
      </c>
      <c r="K833">
        <v>5.4333333000000001</v>
      </c>
    </row>
    <row r="834" spans="1:11" x14ac:dyDescent="0.45">
      <c r="A834" s="1">
        <v>39815.565972222219</v>
      </c>
      <c r="B834" t="s">
        <v>10</v>
      </c>
      <c r="C834">
        <v>100000</v>
      </c>
      <c r="D834" t="s">
        <v>11</v>
      </c>
      <c r="E834" t="s">
        <v>944</v>
      </c>
      <c r="F834" t="s">
        <v>1467</v>
      </c>
      <c r="G834" t="s">
        <v>1441</v>
      </c>
      <c r="H834" t="s">
        <v>1434</v>
      </c>
      <c r="I834" s="1">
        <v>39862.436111111114</v>
      </c>
      <c r="J834">
        <v>43.5833333</v>
      </c>
      <c r="K834">
        <v>7.1166666999999997</v>
      </c>
    </row>
    <row r="835" spans="1:11" x14ac:dyDescent="0.45">
      <c r="A835" s="1">
        <v>39834.986805555556</v>
      </c>
      <c r="B835" t="s">
        <v>10</v>
      </c>
      <c r="C835">
        <v>100000</v>
      </c>
      <c r="D835" t="s">
        <v>11</v>
      </c>
      <c r="E835" t="s">
        <v>1468</v>
      </c>
      <c r="F835" t="s">
        <v>1469</v>
      </c>
      <c r="G835" t="s">
        <v>1470</v>
      </c>
      <c r="H835" t="s">
        <v>1434</v>
      </c>
      <c r="I835" s="1">
        <v>39863.006249999999</v>
      </c>
      <c r="J835">
        <v>48.5833333</v>
      </c>
      <c r="K835">
        <v>7.75</v>
      </c>
    </row>
    <row r="836" spans="1:11" x14ac:dyDescent="0.45">
      <c r="A836" s="1">
        <v>39832.181944444441</v>
      </c>
      <c r="B836" t="s">
        <v>10</v>
      </c>
      <c r="C836">
        <v>100000</v>
      </c>
      <c r="D836" t="s">
        <v>63</v>
      </c>
      <c r="E836" t="s">
        <v>1471</v>
      </c>
      <c r="F836" t="s">
        <v>1472</v>
      </c>
      <c r="G836" t="s">
        <v>1473</v>
      </c>
      <c r="H836" t="s">
        <v>1434</v>
      </c>
      <c r="I836" s="1">
        <v>39866.939583333333</v>
      </c>
      <c r="J836">
        <v>49.5</v>
      </c>
      <c r="K836">
        <v>6.1666667000000004</v>
      </c>
    </row>
    <row r="837" spans="1:11" x14ac:dyDescent="0.45">
      <c r="A837" s="1">
        <v>39822.127083333333</v>
      </c>
      <c r="B837" t="s">
        <v>20</v>
      </c>
      <c r="C837">
        <v>100000</v>
      </c>
      <c r="D837" t="s">
        <v>63</v>
      </c>
      <c r="E837" t="s">
        <v>1474</v>
      </c>
      <c r="F837" t="s">
        <v>1458</v>
      </c>
      <c r="G837" t="s">
        <v>1451</v>
      </c>
      <c r="H837" t="s">
        <v>1434</v>
      </c>
      <c r="I837" s="1">
        <v>39868.340277777781</v>
      </c>
      <c r="J837">
        <v>46.25</v>
      </c>
      <c r="K837">
        <v>6.1166666999999997</v>
      </c>
    </row>
    <row r="838" spans="1:11" x14ac:dyDescent="0.45">
      <c r="A838" s="1">
        <v>39815.049305555556</v>
      </c>
      <c r="B838" t="s">
        <v>10</v>
      </c>
      <c r="C838">
        <v>1200</v>
      </c>
      <c r="D838" t="s">
        <v>16</v>
      </c>
      <c r="E838" t="s">
        <v>1475</v>
      </c>
      <c r="F838" t="s">
        <v>1476</v>
      </c>
      <c r="G838" t="s">
        <v>1477</v>
      </c>
      <c r="H838" t="s">
        <v>1478</v>
      </c>
      <c r="I838" s="1">
        <v>39820.430555555555</v>
      </c>
      <c r="J838">
        <v>62.9</v>
      </c>
      <c r="K838">
        <v>27.683333300000001</v>
      </c>
    </row>
    <row r="839" spans="1:11" x14ac:dyDescent="0.45">
      <c r="A839" s="1">
        <v>39839.47152777778</v>
      </c>
      <c r="B839" t="s">
        <v>10</v>
      </c>
      <c r="C839">
        <v>1200</v>
      </c>
      <c r="D839" t="s">
        <v>16</v>
      </c>
      <c r="E839" t="s">
        <v>1479</v>
      </c>
      <c r="F839" t="s">
        <v>1480</v>
      </c>
      <c r="G839" t="s">
        <v>1481</v>
      </c>
      <c r="H839" t="s">
        <v>1478</v>
      </c>
      <c r="I839" s="1">
        <v>39873.027083333334</v>
      </c>
      <c r="J839">
        <v>60.966666699999998</v>
      </c>
      <c r="K839">
        <v>25.6666667</v>
      </c>
    </row>
    <row r="840" spans="1:11" x14ac:dyDescent="0.45">
      <c r="A840" s="1">
        <v>39833.095138888886</v>
      </c>
      <c r="B840" t="s">
        <v>10</v>
      </c>
      <c r="C840">
        <v>1200</v>
      </c>
      <c r="D840" t="s">
        <v>63</v>
      </c>
      <c r="E840" t="s">
        <v>419</v>
      </c>
      <c r="F840" t="s">
        <v>1482</v>
      </c>
      <c r="G840" t="s">
        <v>1483</v>
      </c>
      <c r="H840" t="s">
        <v>1484</v>
      </c>
      <c r="I840" s="1">
        <v>39866.472916666666</v>
      </c>
      <c r="J840">
        <v>18.466666700000001</v>
      </c>
      <c r="K840">
        <v>-69.900000000000006</v>
      </c>
    </row>
    <row r="841" spans="1:11" x14ac:dyDescent="0.45">
      <c r="A841" s="1">
        <v>39816.558333333334</v>
      </c>
      <c r="B841" t="s">
        <v>10</v>
      </c>
      <c r="C841">
        <v>110000</v>
      </c>
      <c r="D841" t="s">
        <v>11</v>
      </c>
      <c r="E841" t="s">
        <v>1485</v>
      </c>
      <c r="F841" t="s">
        <v>1486</v>
      </c>
      <c r="G841" t="s">
        <v>1487</v>
      </c>
      <c r="H841" t="s">
        <v>1488</v>
      </c>
      <c r="I841" s="1">
        <v>39822.468055555553</v>
      </c>
      <c r="J841">
        <v>56.033333300000002</v>
      </c>
      <c r="K841">
        <v>12.6166667</v>
      </c>
    </row>
    <row r="842" spans="1:11" x14ac:dyDescent="0.45">
      <c r="A842" s="1">
        <v>39816.549305555556</v>
      </c>
      <c r="B842" t="s">
        <v>10</v>
      </c>
      <c r="C842">
        <v>110000</v>
      </c>
      <c r="D842" t="s">
        <v>16</v>
      </c>
      <c r="E842" t="s">
        <v>1489</v>
      </c>
      <c r="F842" t="s">
        <v>1490</v>
      </c>
      <c r="G842" t="s">
        <v>1490</v>
      </c>
      <c r="H842" t="s">
        <v>1488</v>
      </c>
      <c r="I842" s="1">
        <v>39823.558333333334</v>
      </c>
      <c r="J842">
        <v>55.6666667</v>
      </c>
      <c r="K842">
        <v>12.5833333</v>
      </c>
    </row>
    <row r="843" spans="1:11" x14ac:dyDescent="0.45">
      <c r="A843" s="1">
        <v>39815.512499999997</v>
      </c>
      <c r="B843" t="s">
        <v>10</v>
      </c>
      <c r="C843">
        <v>110000</v>
      </c>
      <c r="D843" t="s">
        <v>11</v>
      </c>
      <c r="E843" t="s">
        <v>1491</v>
      </c>
      <c r="F843" t="s">
        <v>1492</v>
      </c>
      <c r="G843" t="s">
        <v>1493</v>
      </c>
      <c r="H843" t="s">
        <v>1488</v>
      </c>
      <c r="I843" s="1">
        <v>39827.170138888891</v>
      </c>
      <c r="J843">
        <v>54.8333333</v>
      </c>
      <c r="K843">
        <v>11.15</v>
      </c>
    </row>
    <row r="844" spans="1:11" x14ac:dyDescent="0.45">
      <c r="A844" s="1">
        <v>39814.07708333333</v>
      </c>
      <c r="B844" t="s">
        <v>10</v>
      </c>
      <c r="C844">
        <v>110000</v>
      </c>
      <c r="D844" t="s">
        <v>16</v>
      </c>
      <c r="E844" t="s">
        <v>1494</v>
      </c>
      <c r="F844" t="s">
        <v>1495</v>
      </c>
      <c r="G844" t="s">
        <v>1490</v>
      </c>
      <c r="H844" t="s">
        <v>1488</v>
      </c>
      <c r="I844" s="1">
        <v>39831.197222222225</v>
      </c>
      <c r="J844">
        <v>55.816666699999999</v>
      </c>
      <c r="K844">
        <v>12.466666699999999</v>
      </c>
    </row>
    <row r="845" spans="1:11" x14ac:dyDescent="0.45">
      <c r="A845" s="1">
        <v>39816.331944444442</v>
      </c>
      <c r="B845" t="s">
        <v>10</v>
      </c>
      <c r="C845">
        <v>110000</v>
      </c>
      <c r="D845" t="s">
        <v>16</v>
      </c>
      <c r="E845" t="s">
        <v>1496</v>
      </c>
      <c r="F845" t="s">
        <v>1497</v>
      </c>
      <c r="G845" t="s">
        <v>1490</v>
      </c>
      <c r="H845" t="s">
        <v>1488</v>
      </c>
      <c r="I845" s="1">
        <v>39838.467361111114</v>
      </c>
      <c r="J845">
        <v>55.733333299999998</v>
      </c>
      <c r="K845">
        <v>12.5833333</v>
      </c>
    </row>
    <row r="846" spans="1:11" x14ac:dyDescent="0.45">
      <c r="A846" s="1">
        <v>39818.519444444442</v>
      </c>
      <c r="B846" t="s">
        <v>10</v>
      </c>
      <c r="C846">
        <v>110000</v>
      </c>
      <c r="D846" t="s">
        <v>11</v>
      </c>
      <c r="E846" t="s">
        <v>1498</v>
      </c>
      <c r="F846" t="s">
        <v>1499</v>
      </c>
      <c r="G846" t="s">
        <v>1487</v>
      </c>
      <c r="H846" t="s">
        <v>1488</v>
      </c>
      <c r="I846" s="1">
        <v>39838.973611111112</v>
      </c>
      <c r="J846">
        <v>55.884166700000002</v>
      </c>
      <c r="K846">
        <v>12.5419444</v>
      </c>
    </row>
    <row r="847" spans="1:11" x14ac:dyDescent="0.45">
      <c r="A847" s="1">
        <v>39829.456944444442</v>
      </c>
      <c r="B847" t="s">
        <v>10</v>
      </c>
      <c r="C847">
        <v>110000</v>
      </c>
      <c r="D847" t="s">
        <v>11</v>
      </c>
      <c r="E847" t="s">
        <v>1500</v>
      </c>
      <c r="F847" t="s">
        <v>1501</v>
      </c>
      <c r="G847" t="s">
        <v>1502</v>
      </c>
      <c r="H847" t="s">
        <v>1488</v>
      </c>
      <c r="I847" s="1">
        <v>39842.136111111111</v>
      </c>
      <c r="J847">
        <v>55.433333300000001</v>
      </c>
      <c r="K847">
        <v>11.566666700000001</v>
      </c>
    </row>
    <row r="848" spans="1:11" x14ac:dyDescent="0.45">
      <c r="A848" s="1">
        <v>39826.073611111111</v>
      </c>
      <c r="B848" t="s">
        <v>10</v>
      </c>
      <c r="C848">
        <v>110000</v>
      </c>
      <c r="D848" t="s">
        <v>16</v>
      </c>
      <c r="E848" t="s">
        <v>1489</v>
      </c>
      <c r="F848" t="s">
        <v>1503</v>
      </c>
      <c r="G848" t="s">
        <v>1490</v>
      </c>
      <c r="H848" t="s">
        <v>1488</v>
      </c>
      <c r="I848" s="1">
        <v>39849.369444444441</v>
      </c>
      <c r="J848">
        <v>55.766666700000002</v>
      </c>
      <c r="K848">
        <v>12.5166667</v>
      </c>
    </row>
    <row r="849" spans="1:11" x14ac:dyDescent="0.45">
      <c r="A849" s="1">
        <v>39842.116666666669</v>
      </c>
      <c r="B849" t="s">
        <v>10</v>
      </c>
      <c r="C849">
        <v>110000</v>
      </c>
      <c r="D849" t="s">
        <v>11</v>
      </c>
      <c r="E849" t="s">
        <v>1504</v>
      </c>
      <c r="F849" t="s">
        <v>1492</v>
      </c>
      <c r="G849" t="s">
        <v>1493</v>
      </c>
      <c r="H849" t="s">
        <v>1488</v>
      </c>
      <c r="I849" s="1">
        <v>39851.089583333334</v>
      </c>
      <c r="J849">
        <v>54.8333333</v>
      </c>
      <c r="K849">
        <v>11.15</v>
      </c>
    </row>
    <row r="850" spans="1:11" x14ac:dyDescent="0.45">
      <c r="A850" s="1">
        <v>39837.15</v>
      </c>
      <c r="B850" t="s">
        <v>10</v>
      </c>
      <c r="C850">
        <v>110000</v>
      </c>
      <c r="D850" t="s">
        <v>11</v>
      </c>
      <c r="E850" t="s">
        <v>819</v>
      </c>
      <c r="F850" t="s">
        <v>1505</v>
      </c>
      <c r="G850" t="s">
        <v>1506</v>
      </c>
      <c r="H850" t="s">
        <v>1488</v>
      </c>
      <c r="I850" s="1">
        <v>39851.286111111112</v>
      </c>
      <c r="J850">
        <v>55.6666667</v>
      </c>
      <c r="K850">
        <v>12.5833333</v>
      </c>
    </row>
    <row r="851" spans="1:11" x14ac:dyDescent="0.45">
      <c r="A851" s="1">
        <v>39819.254861111112</v>
      </c>
      <c r="B851" t="s">
        <v>10</v>
      </c>
      <c r="C851">
        <v>110000</v>
      </c>
      <c r="D851" t="s">
        <v>11</v>
      </c>
      <c r="E851" t="s">
        <v>212</v>
      </c>
      <c r="F851" t="s">
        <v>1499</v>
      </c>
      <c r="G851" t="s">
        <v>1487</v>
      </c>
      <c r="H851" t="s">
        <v>1488</v>
      </c>
      <c r="I851" s="1">
        <v>39853.180555555555</v>
      </c>
      <c r="J851">
        <v>55.884166700000002</v>
      </c>
      <c r="K851">
        <v>12.5419444</v>
      </c>
    </row>
    <row r="852" spans="1:11" x14ac:dyDescent="0.45">
      <c r="A852" s="1">
        <v>39834.198611111111</v>
      </c>
      <c r="B852" t="s">
        <v>10</v>
      </c>
      <c r="C852">
        <v>110000</v>
      </c>
      <c r="D852" t="s">
        <v>11</v>
      </c>
      <c r="E852" t="s">
        <v>1507</v>
      </c>
      <c r="F852" t="s">
        <v>1508</v>
      </c>
      <c r="G852" t="s">
        <v>1490</v>
      </c>
      <c r="H852" t="s">
        <v>1488</v>
      </c>
      <c r="I852" s="1">
        <v>39854.515277777777</v>
      </c>
      <c r="J852">
        <v>55.766666700000002</v>
      </c>
      <c r="K852">
        <v>12.6</v>
      </c>
    </row>
    <row r="853" spans="1:11" x14ac:dyDescent="0.45">
      <c r="A853" s="1">
        <v>39825.011805555558</v>
      </c>
      <c r="B853" t="s">
        <v>10</v>
      </c>
      <c r="C853">
        <v>110000</v>
      </c>
      <c r="D853" t="s">
        <v>16</v>
      </c>
      <c r="E853" t="s">
        <v>234</v>
      </c>
      <c r="F853" t="s">
        <v>1509</v>
      </c>
      <c r="G853" t="s">
        <v>1490</v>
      </c>
      <c r="H853" t="s">
        <v>1488</v>
      </c>
      <c r="I853" s="1">
        <v>39855.932638888888</v>
      </c>
      <c r="J853">
        <v>55.616666700000003</v>
      </c>
      <c r="K853">
        <v>12.35</v>
      </c>
    </row>
    <row r="854" spans="1:11" x14ac:dyDescent="0.45">
      <c r="A854" s="1">
        <v>39826.535416666666</v>
      </c>
      <c r="B854" t="s">
        <v>10</v>
      </c>
      <c r="C854">
        <v>110000</v>
      </c>
      <c r="D854" t="s">
        <v>11</v>
      </c>
      <c r="E854" t="s">
        <v>1510</v>
      </c>
      <c r="F854" t="s">
        <v>1511</v>
      </c>
      <c r="G854" t="s">
        <v>1490</v>
      </c>
      <c r="H854" t="s">
        <v>1488</v>
      </c>
      <c r="I854" s="1">
        <v>39860.045138888891</v>
      </c>
      <c r="J854">
        <v>55.75</v>
      </c>
      <c r="K854">
        <v>12.5833333</v>
      </c>
    </row>
    <row r="855" spans="1:11" x14ac:dyDescent="0.45">
      <c r="A855" s="1">
        <v>39818.488888888889</v>
      </c>
      <c r="B855" t="s">
        <v>10</v>
      </c>
      <c r="C855">
        <v>110000</v>
      </c>
      <c r="D855" t="s">
        <v>11</v>
      </c>
      <c r="E855" t="s">
        <v>773</v>
      </c>
      <c r="F855" t="s">
        <v>1512</v>
      </c>
      <c r="G855" t="s">
        <v>1513</v>
      </c>
      <c r="H855" t="s">
        <v>1488</v>
      </c>
      <c r="I855" s="1">
        <v>39866.260416666664</v>
      </c>
      <c r="J855">
        <v>56.15</v>
      </c>
      <c r="K855">
        <v>9.8166667000000007</v>
      </c>
    </row>
    <row r="856" spans="1:11" x14ac:dyDescent="0.45">
      <c r="A856" s="1">
        <v>39834.174305555556</v>
      </c>
      <c r="B856" t="s">
        <v>10</v>
      </c>
      <c r="C856">
        <v>110000</v>
      </c>
      <c r="D856" t="s">
        <v>11</v>
      </c>
      <c r="E856" t="s">
        <v>382</v>
      </c>
      <c r="F856" t="s">
        <v>1514</v>
      </c>
      <c r="G856" t="s">
        <v>1515</v>
      </c>
      <c r="H856" t="s">
        <v>1516</v>
      </c>
      <c r="I856" s="1">
        <v>39863.038194444445</v>
      </c>
      <c r="J856">
        <v>50.133333299999997</v>
      </c>
      <c r="K856">
        <v>14.3833333</v>
      </c>
    </row>
    <row r="857" spans="1:11" x14ac:dyDescent="0.45">
      <c r="A857" s="1">
        <v>39842.352083333331</v>
      </c>
      <c r="B857" t="s">
        <v>20</v>
      </c>
      <c r="C857">
        <v>100000</v>
      </c>
      <c r="D857" t="s">
        <v>11</v>
      </c>
      <c r="E857" t="s">
        <v>1049</v>
      </c>
      <c r="F857" t="s">
        <v>1515</v>
      </c>
      <c r="G857" t="s">
        <v>1517</v>
      </c>
      <c r="H857" t="s">
        <v>1516</v>
      </c>
      <c r="I857" s="1">
        <v>39863.361805555556</v>
      </c>
      <c r="J857">
        <v>50.0833333</v>
      </c>
      <c r="K857">
        <v>14.466666699999999</v>
      </c>
    </row>
    <row r="858" spans="1:11" x14ac:dyDescent="0.45">
      <c r="A858" s="1">
        <v>39817.217361111114</v>
      </c>
      <c r="B858" t="s">
        <v>10</v>
      </c>
      <c r="C858">
        <v>110000</v>
      </c>
      <c r="D858" t="s">
        <v>11</v>
      </c>
      <c r="E858" t="s">
        <v>773</v>
      </c>
      <c r="F858" t="s">
        <v>1518</v>
      </c>
      <c r="G858" t="s">
        <v>1519</v>
      </c>
      <c r="H858" t="s">
        <v>1516</v>
      </c>
      <c r="I858" s="1">
        <v>39871.979166666664</v>
      </c>
      <c r="J858">
        <v>50.211666700000002</v>
      </c>
      <c r="K858">
        <v>15.844166700000001</v>
      </c>
    </row>
    <row r="859" spans="1:11" x14ac:dyDescent="0.45">
      <c r="A859" s="1">
        <v>39832.286111111112</v>
      </c>
      <c r="B859" t="s">
        <v>10</v>
      </c>
      <c r="C859">
        <v>1200</v>
      </c>
      <c r="D859" t="s">
        <v>63</v>
      </c>
      <c r="E859" t="s">
        <v>1520</v>
      </c>
      <c r="F859" t="s">
        <v>1521</v>
      </c>
      <c r="G859" t="s">
        <v>1522</v>
      </c>
      <c r="H859" t="s">
        <v>1523</v>
      </c>
      <c r="I859" s="1">
        <v>39869.238888888889</v>
      </c>
      <c r="J859">
        <v>10.033333300000001</v>
      </c>
      <c r="K859">
        <v>-84.15</v>
      </c>
    </row>
    <row r="860" spans="1:11" x14ac:dyDescent="0.45">
      <c r="A860" s="1">
        <v>39834.900694444441</v>
      </c>
      <c r="B860" t="s">
        <v>10</v>
      </c>
      <c r="C860">
        <v>1200</v>
      </c>
      <c r="D860" t="s">
        <v>11</v>
      </c>
      <c r="E860" t="s">
        <v>472</v>
      </c>
      <c r="F860" t="s">
        <v>1524</v>
      </c>
      <c r="G860" t="s">
        <v>1525</v>
      </c>
      <c r="H860" t="s">
        <v>1526</v>
      </c>
      <c r="I860" s="1">
        <v>39867.066666666666</v>
      </c>
      <c r="J860">
        <v>22.25</v>
      </c>
      <c r="K860">
        <v>112.7833333</v>
      </c>
    </row>
    <row r="861" spans="1:11" x14ac:dyDescent="0.45">
      <c r="A861" s="1">
        <v>39834.834722222222</v>
      </c>
      <c r="B861" t="s">
        <v>10</v>
      </c>
      <c r="C861">
        <v>1200</v>
      </c>
      <c r="D861" t="s">
        <v>16</v>
      </c>
      <c r="E861" t="s">
        <v>1527</v>
      </c>
      <c r="F861" t="s">
        <v>1528</v>
      </c>
      <c r="H861" t="s">
        <v>1529</v>
      </c>
      <c r="I861" s="1">
        <v>39863.804861111108</v>
      </c>
      <c r="J861">
        <v>19.3</v>
      </c>
      <c r="K861">
        <v>-81.383333300000004</v>
      </c>
    </row>
    <row r="862" spans="1:11" x14ac:dyDescent="0.45">
      <c r="A862" s="1">
        <v>39818.484027777777</v>
      </c>
      <c r="B862" t="s">
        <v>10</v>
      </c>
      <c r="C862">
        <v>1200</v>
      </c>
      <c r="D862" t="s">
        <v>11</v>
      </c>
      <c r="E862" t="s">
        <v>169</v>
      </c>
      <c r="F862" t="s">
        <v>1530</v>
      </c>
      <c r="G862" t="s">
        <v>1531</v>
      </c>
      <c r="H862" t="s">
        <v>1532</v>
      </c>
      <c r="I862" s="1">
        <v>39818.808333333334</v>
      </c>
      <c r="J862">
        <v>45.4166667</v>
      </c>
      <c r="K862">
        <v>-75.7</v>
      </c>
    </row>
    <row r="863" spans="1:11" x14ac:dyDescent="0.45">
      <c r="A863" s="1">
        <v>39823.901388888888</v>
      </c>
      <c r="B863" t="s">
        <v>10</v>
      </c>
      <c r="C863">
        <v>1200</v>
      </c>
      <c r="D863" t="s">
        <v>11</v>
      </c>
      <c r="E863" t="s">
        <v>1533</v>
      </c>
      <c r="F863" t="s">
        <v>1534</v>
      </c>
      <c r="G863" t="s">
        <v>1535</v>
      </c>
      <c r="H863" t="s">
        <v>1532</v>
      </c>
      <c r="I863" s="1">
        <v>39824.813888888886</v>
      </c>
      <c r="J863">
        <v>49.25</v>
      </c>
      <c r="K863">
        <v>-122.5</v>
      </c>
    </row>
    <row r="864" spans="1:11" x14ac:dyDescent="0.45">
      <c r="A864" s="1">
        <v>39817.36041666667</v>
      </c>
      <c r="B864" t="s">
        <v>20</v>
      </c>
      <c r="C864">
        <v>100000</v>
      </c>
      <c r="D864" t="s">
        <v>63</v>
      </c>
      <c r="E864" t="s">
        <v>1536</v>
      </c>
      <c r="F864" t="s">
        <v>1537</v>
      </c>
      <c r="G864" t="s">
        <v>1538</v>
      </c>
      <c r="H864" t="s">
        <v>1532</v>
      </c>
      <c r="I864" s="1">
        <v>39824.878472222219</v>
      </c>
      <c r="J864">
        <v>53.2</v>
      </c>
      <c r="K864">
        <v>-105.75</v>
      </c>
    </row>
    <row r="865" spans="1:11" x14ac:dyDescent="0.45">
      <c r="A865" s="1">
        <v>39820.848611111112</v>
      </c>
      <c r="B865" t="s">
        <v>10</v>
      </c>
      <c r="C865">
        <v>1200</v>
      </c>
      <c r="D865" t="s">
        <v>11</v>
      </c>
      <c r="E865" t="s">
        <v>1539</v>
      </c>
      <c r="F865" t="s">
        <v>1540</v>
      </c>
      <c r="G865" t="s">
        <v>1541</v>
      </c>
      <c r="H865" t="s">
        <v>1532</v>
      </c>
      <c r="I865" s="1">
        <v>39825.51666666667</v>
      </c>
      <c r="J865">
        <v>52.266666700000002</v>
      </c>
      <c r="K865">
        <v>-113.8</v>
      </c>
    </row>
    <row r="866" spans="1:11" x14ac:dyDescent="0.45">
      <c r="A866" s="1">
        <v>39821.855555555558</v>
      </c>
      <c r="B866" t="s">
        <v>10</v>
      </c>
      <c r="C866">
        <v>1200</v>
      </c>
      <c r="D866" t="s">
        <v>11</v>
      </c>
      <c r="E866" t="s">
        <v>454</v>
      </c>
      <c r="F866" t="s">
        <v>1542</v>
      </c>
      <c r="G866" t="s">
        <v>1541</v>
      </c>
      <c r="H866" t="s">
        <v>1532</v>
      </c>
      <c r="I866" s="1">
        <v>39825.588194444441</v>
      </c>
      <c r="J866">
        <v>51.0833333</v>
      </c>
      <c r="K866">
        <v>-114.08333330000001</v>
      </c>
    </row>
    <row r="867" spans="1:11" x14ac:dyDescent="0.45">
      <c r="A867" s="1">
        <v>39821.56527777778</v>
      </c>
      <c r="B867" t="s">
        <v>10</v>
      </c>
      <c r="C867">
        <v>1200</v>
      </c>
      <c r="D867" t="s">
        <v>11</v>
      </c>
      <c r="E867" t="s">
        <v>1543</v>
      </c>
      <c r="F867" t="s">
        <v>1544</v>
      </c>
      <c r="G867" t="s">
        <v>1531</v>
      </c>
      <c r="H867" t="s">
        <v>1532</v>
      </c>
      <c r="I867" s="1">
        <v>39825.771527777775</v>
      </c>
      <c r="J867">
        <v>44.1666667</v>
      </c>
      <c r="K867">
        <v>-77.383333300000004</v>
      </c>
    </row>
    <row r="868" spans="1:11" x14ac:dyDescent="0.45">
      <c r="A868" s="1">
        <v>39825.794444444444</v>
      </c>
      <c r="B868" t="s">
        <v>10</v>
      </c>
      <c r="C868">
        <v>1200</v>
      </c>
      <c r="D868" t="s">
        <v>11</v>
      </c>
      <c r="E868" t="s">
        <v>1545</v>
      </c>
      <c r="F868" t="s">
        <v>1546</v>
      </c>
      <c r="G868" t="s">
        <v>1535</v>
      </c>
      <c r="H868" t="s">
        <v>1532</v>
      </c>
      <c r="I868" s="1">
        <v>39825.792361111111</v>
      </c>
      <c r="J868">
        <v>49.683333300000001</v>
      </c>
      <c r="K868">
        <v>-124.9333333</v>
      </c>
    </row>
    <row r="869" spans="1:11" x14ac:dyDescent="0.45">
      <c r="A869" s="1">
        <v>39814.852777777778</v>
      </c>
      <c r="B869" t="s">
        <v>10</v>
      </c>
      <c r="C869">
        <v>1200</v>
      </c>
      <c r="D869" t="s">
        <v>11</v>
      </c>
      <c r="E869" t="s">
        <v>1547</v>
      </c>
      <c r="F869" t="s">
        <v>1542</v>
      </c>
      <c r="G869" t="s">
        <v>1541</v>
      </c>
      <c r="H869" t="s">
        <v>1532</v>
      </c>
      <c r="I869" s="1">
        <v>39826.882638888892</v>
      </c>
      <c r="J869">
        <v>51.0833333</v>
      </c>
      <c r="K869">
        <v>-114.08333330000001</v>
      </c>
    </row>
    <row r="870" spans="1:11" x14ac:dyDescent="0.45">
      <c r="A870" s="1">
        <v>39816.640277777777</v>
      </c>
      <c r="B870" t="s">
        <v>10</v>
      </c>
      <c r="C870">
        <v>1200</v>
      </c>
      <c r="D870" t="s">
        <v>16</v>
      </c>
      <c r="E870" t="s">
        <v>1548</v>
      </c>
      <c r="F870" t="s">
        <v>1549</v>
      </c>
      <c r="G870" t="s">
        <v>1535</v>
      </c>
      <c r="H870" t="s">
        <v>1532</v>
      </c>
      <c r="I870" s="1">
        <v>39826.959722222222</v>
      </c>
      <c r="J870">
        <v>49.25</v>
      </c>
      <c r="K870">
        <v>-123.1333333</v>
      </c>
    </row>
    <row r="871" spans="1:11" x14ac:dyDescent="0.45">
      <c r="A871" s="1">
        <v>39817.32916666667</v>
      </c>
      <c r="B871" t="s">
        <v>10</v>
      </c>
      <c r="C871">
        <v>1200</v>
      </c>
      <c r="D871" t="s">
        <v>11</v>
      </c>
      <c r="E871" t="s">
        <v>1550</v>
      </c>
      <c r="F871" t="s">
        <v>1551</v>
      </c>
      <c r="G871" t="s">
        <v>1531</v>
      </c>
      <c r="H871" t="s">
        <v>1532</v>
      </c>
      <c r="I871" s="1">
        <v>39827.54583333333</v>
      </c>
      <c r="J871">
        <v>44.15</v>
      </c>
      <c r="K871">
        <v>-79.866666699999996</v>
      </c>
    </row>
    <row r="872" spans="1:11" x14ac:dyDescent="0.45">
      <c r="A872" s="1">
        <v>39819.884027777778</v>
      </c>
      <c r="B872" t="s">
        <v>10</v>
      </c>
      <c r="C872">
        <v>90000</v>
      </c>
      <c r="D872" t="s">
        <v>11</v>
      </c>
      <c r="E872" t="s">
        <v>1552</v>
      </c>
      <c r="F872" t="s">
        <v>1549</v>
      </c>
      <c r="G872" t="s">
        <v>1535</v>
      </c>
      <c r="H872" t="s">
        <v>1532</v>
      </c>
      <c r="I872" s="1">
        <v>39827.868055555555</v>
      </c>
      <c r="J872">
        <v>49.25</v>
      </c>
      <c r="K872">
        <v>-123.1333333</v>
      </c>
    </row>
    <row r="873" spans="1:11" x14ac:dyDescent="0.45">
      <c r="A873" s="1">
        <v>39825.491666666669</v>
      </c>
      <c r="B873" t="s">
        <v>10</v>
      </c>
      <c r="C873">
        <v>200000</v>
      </c>
      <c r="D873" t="s">
        <v>11</v>
      </c>
      <c r="E873" t="s">
        <v>355</v>
      </c>
      <c r="F873" t="s">
        <v>1553</v>
      </c>
      <c r="G873" t="s">
        <v>1535</v>
      </c>
      <c r="H873" t="s">
        <v>1532</v>
      </c>
      <c r="I873" s="1">
        <v>39828.37222222222</v>
      </c>
      <c r="J873">
        <v>49.016666700000002</v>
      </c>
      <c r="K873">
        <v>-123.08333330000001</v>
      </c>
    </row>
    <row r="874" spans="1:11" x14ac:dyDescent="0.45">
      <c r="A874" s="1">
        <v>39819.307638888888</v>
      </c>
      <c r="B874" t="s">
        <v>10</v>
      </c>
      <c r="C874">
        <v>60000</v>
      </c>
      <c r="D874" t="s">
        <v>11</v>
      </c>
      <c r="E874" t="s">
        <v>174</v>
      </c>
      <c r="F874" t="s">
        <v>1554</v>
      </c>
      <c r="G874" t="s">
        <v>1541</v>
      </c>
      <c r="H874" t="s">
        <v>1532</v>
      </c>
      <c r="I874" s="1">
        <v>39828.416666666664</v>
      </c>
      <c r="J874">
        <v>50.716666699999998</v>
      </c>
      <c r="K874">
        <v>-113.9666667</v>
      </c>
    </row>
    <row r="875" spans="1:11" x14ac:dyDescent="0.45">
      <c r="A875" s="1">
        <v>39828.49722222222</v>
      </c>
      <c r="B875" t="s">
        <v>10</v>
      </c>
      <c r="C875">
        <v>1200</v>
      </c>
      <c r="D875" t="s">
        <v>11</v>
      </c>
      <c r="E875" t="s">
        <v>346</v>
      </c>
      <c r="F875" t="s">
        <v>1542</v>
      </c>
      <c r="G875" t="s">
        <v>1541</v>
      </c>
      <c r="H875" t="s">
        <v>1532</v>
      </c>
      <c r="I875" s="1">
        <v>39828.48541666667</v>
      </c>
      <c r="J875">
        <v>51.0833333</v>
      </c>
      <c r="K875">
        <v>-114.08333330000001</v>
      </c>
    </row>
    <row r="876" spans="1:11" x14ac:dyDescent="0.45">
      <c r="A876" s="1">
        <v>39828.498611111114</v>
      </c>
      <c r="B876" t="s">
        <v>10</v>
      </c>
      <c r="C876">
        <v>1200</v>
      </c>
      <c r="D876" t="s">
        <v>11</v>
      </c>
      <c r="E876" t="s">
        <v>626</v>
      </c>
      <c r="F876" t="s">
        <v>1555</v>
      </c>
      <c r="G876" t="s">
        <v>1531</v>
      </c>
      <c r="H876" t="s">
        <v>1532</v>
      </c>
      <c r="I876" s="1">
        <v>39828.492361111108</v>
      </c>
      <c r="J876">
        <v>45.3333333</v>
      </c>
      <c r="K876">
        <v>-75.900000000000006</v>
      </c>
    </row>
    <row r="877" spans="1:11" x14ac:dyDescent="0.45">
      <c r="A877" s="1">
        <v>39828.537499999999</v>
      </c>
      <c r="B877" t="s">
        <v>10</v>
      </c>
      <c r="C877">
        <v>90000</v>
      </c>
      <c r="D877" t="s">
        <v>16</v>
      </c>
      <c r="E877" t="s">
        <v>1556</v>
      </c>
      <c r="F877" t="s">
        <v>1557</v>
      </c>
      <c r="G877" t="s">
        <v>1558</v>
      </c>
      <c r="H877" t="s">
        <v>1532</v>
      </c>
      <c r="I877" s="1">
        <v>39829.328472222223</v>
      </c>
      <c r="J877">
        <v>45.4</v>
      </c>
      <c r="K877">
        <v>-73.933333300000001</v>
      </c>
    </row>
    <row r="878" spans="1:11" x14ac:dyDescent="0.45">
      <c r="A878" s="1">
        <v>39817.991666666669</v>
      </c>
      <c r="B878" t="s">
        <v>10</v>
      </c>
      <c r="C878">
        <v>200000</v>
      </c>
      <c r="D878" t="s">
        <v>63</v>
      </c>
      <c r="E878" t="s">
        <v>1559</v>
      </c>
      <c r="F878" t="s">
        <v>1560</v>
      </c>
      <c r="G878" t="s">
        <v>1561</v>
      </c>
      <c r="H878" t="s">
        <v>1532</v>
      </c>
      <c r="I878" s="1">
        <v>39831.678472222222</v>
      </c>
      <c r="J878">
        <v>62.45</v>
      </c>
      <c r="K878">
        <v>-114.35</v>
      </c>
    </row>
    <row r="879" spans="1:11" x14ac:dyDescent="0.45">
      <c r="A879" s="1">
        <v>39826.874305555553</v>
      </c>
      <c r="B879" t="s">
        <v>10</v>
      </c>
      <c r="C879">
        <v>60000</v>
      </c>
      <c r="D879" t="s">
        <v>16</v>
      </c>
      <c r="E879" t="s">
        <v>1089</v>
      </c>
      <c r="F879" t="s">
        <v>1562</v>
      </c>
      <c r="G879" t="s">
        <v>1563</v>
      </c>
      <c r="H879" t="s">
        <v>1532</v>
      </c>
      <c r="I879" s="1">
        <v>39831.803472222222</v>
      </c>
      <c r="J879">
        <v>49.883333299999997</v>
      </c>
      <c r="K879">
        <v>-97.166666699999993</v>
      </c>
    </row>
    <row r="880" spans="1:11" x14ac:dyDescent="0.45">
      <c r="A880" s="1">
        <v>39817.53402777778</v>
      </c>
      <c r="B880" t="s">
        <v>10</v>
      </c>
      <c r="C880">
        <v>1200</v>
      </c>
      <c r="D880" t="s">
        <v>63</v>
      </c>
      <c r="E880" t="s">
        <v>1564</v>
      </c>
      <c r="F880" t="s">
        <v>1565</v>
      </c>
      <c r="G880" t="s">
        <v>1558</v>
      </c>
      <c r="H880" t="s">
        <v>1532</v>
      </c>
      <c r="I880" s="1">
        <v>39832.331944444442</v>
      </c>
      <c r="J880">
        <v>45.5</v>
      </c>
      <c r="K880">
        <v>-73.583333300000007</v>
      </c>
    </row>
    <row r="881" spans="1:11" x14ac:dyDescent="0.45">
      <c r="A881" s="1">
        <v>39818.704861111109</v>
      </c>
      <c r="B881" t="s">
        <v>10</v>
      </c>
      <c r="C881">
        <v>1200</v>
      </c>
      <c r="D881" t="s">
        <v>11</v>
      </c>
      <c r="E881" t="s">
        <v>1566</v>
      </c>
      <c r="F881" t="s">
        <v>1567</v>
      </c>
      <c r="G881" t="s">
        <v>1558</v>
      </c>
      <c r="H881" t="s">
        <v>1532</v>
      </c>
      <c r="I881" s="1">
        <v>39833.609722222223</v>
      </c>
      <c r="J881">
        <v>45.6</v>
      </c>
      <c r="K881">
        <v>-73.616666699999996</v>
      </c>
    </row>
    <row r="882" spans="1:11" x14ac:dyDescent="0.45">
      <c r="A882" s="1">
        <v>39817.376388888886</v>
      </c>
      <c r="B882" t="s">
        <v>10</v>
      </c>
      <c r="C882">
        <v>90000</v>
      </c>
      <c r="D882" t="s">
        <v>11</v>
      </c>
      <c r="E882" t="s">
        <v>635</v>
      </c>
      <c r="F882" t="s">
        <v>1542</v>
      </c>
      <c r="G882" t="s">
        <v>1541</v>
      </c>
      <c r="H882" t="s">
        <v>1532</v>
      </c>
      <c r="I882" s="1">
        <v>39835.810416666667</v>
      </c>
      <c r="J882">
        <v>51.0833333</v>
      </c>
      <c r="K882">
        <v>-114.08333330000001</v>
      </c>
    </row>
    <row r="883" spans="1:11" x14ac:dyDescent="0.45">
      <c r="A883" s="1">
        <v>39826.848611111112</v>
      </c>
      <c r="B883" t="s">
        <v>10</v>
      </c>
      <c r="C883">
        <v>200000</v>
      </c>
      <c r="D883" t="s">
        <v>11</v>
      </c>
      <c r="E883" t="s">
        <v>454</v>
      </c>
      <c r="F883" t="s">
        <v>1568</v>
      </c>
      <c r="G883" t="s">
        <v>1535</v>
      </c>
      <c r="H883" t="s">
        <v>1532</v>
      </c>
      <c r="I883" s="1">
        <v>39838.809027777781</v>
      </c>
      <c r="J883">
        <v>49.9</v>
      </c>
      <c r="K883">
        <v>-119.4833333</v>
      </c>
    </row>
    <row r="884" spans="1:11" x14ac:dyDescent="0.45">
      <c r="A884" s="1">
        <v>39814.59652777778</v>
      </c>
      <c r="B884" t="s">
        <v>10</v>
      </c>
      <c r="C884">
        <v>60000</v>
      </c>
      <c r="D884" t="s">
        <v>16</v>
      </c>
      <c r="E884" t="s">
        <v>1569</v>
      </c>
      <c r="F884" t="s">
        <v>1570</v>
      </c>
      <c r="G884" t="s">
        <v>1541</v>
      </c>
      <c r="H884" t="s">
        <v>1532</v>
      </c>
      <c r="I884" s="1">
        <v>39839.303472222222</v>
      </c>
      <c r="J884">
        <v>51.7</v>
      </c>
      <c r="K884">
        <v>-113.2666667</v>
      </c>
    </row>
    <row r="885" spans="1:11" x14ac:dyDescent="0.45">
      <c r="A885" s="1">
        <v>39839.433333333334</v>
      </c>
      <c r="B885" t="s">
        <v>10</v>
      </c>
      <c r="C885">
        <v>1200</v>
      </c>
      <c r="D885" t="s">
        <v>11</v>
      </c>
      <c r="E885" t="s">
        <v>387</v>
      </c>
      <c r="F885" t="s">
        <v>1549</v>
      </c>
      <c r="G885" t="s">
        <v>1535</v>
      </c>
      <c r="H885" t="s">
        <v>1532</v>
      </c>
      <c r="I885" s="1">
        <v>39839.425000000003</v>
      </c>
      <c r="J885">
        <v>49.25</v>
      </c>
      <c r="K885">
        <v>-123.1333333</v>
      </c>
    </row>
    <row r="886" spans="1:11" x14ac:dyDescent="0.45">
      <c r="A886" s="1">
        <v>39826.410416666666</v>
      </c>
      <c r="B886" t="s">
        <v>10</v>
      </c>
      <c r="C886">
        <v>1200</v>
      </c>
      <c r="D886" t="s">
        <v>16</v>
      </c>
      <c r="E886" t="s">
        <v>1571</v>
      </c>
      <c r="F886" t="s">
        <v>1542</v>
      </c>
      <c r="G886" t="s">
        <v>1541</v>
      </c>
      <c r="H886" t="s">
        <v>1532</v>
      </c>
      <c r="I886" s="1">
        <v>39839.724999999999</v>
      </c>
      <c r="J886">
        <v>51.0833333</v>
      </c>
      <c r="K886">
        <v>-114.08333330000001</v>
      </c>
    </row>
    <row r="887" spans="1:11" x14ac:dyDescent="0.45">
      <c r="A887" s="1">
        <v>39825.42083333333</v>
      </c>
      <c r="B887" t="s">
        <v>10</v>
      </c>
      <c r="C887">
        <v>90000</v>
      </c>
      <c r="D887" t="s">
        <v>16</v>
      </c>
      <c r="E887" t="s">
        <v>1572</v>
      </c>
      <c r="F887" t="s">
        <v>1542</v>
      </c>
      <c r="G887" t="s">
        <v>1541</v>
      </c>
      <c r="H887" t="s">
        <v>1532</v>
      </c>
      <c r="I887" s="1">
        <v>39840.601388888892</v>
      </c>
      <c r="J887">
        <v>51.0833333</v>
      </c>
      <c r="K887">
        <v>-114.08333330000001</v>
      </c>
    </row>
    <row r="888" spans="1:11" x14ac:dyDescent="0.45">
      <c r="A888" s="1">
        <v>39814.809027777781</v>
      </c>
      <c r="B888" t="s">
        <v>10</v>
      </c>
      <c r="C888">
        <v>200000</v>
      </c>
      <c r="D888" t="s">
        <v>63</v>
      </c>
      <c r="E888" t="s">
        <v>1573</v>
      </c>
      <c r="F888" t="s">
        <v>1574</v>
      </c>
      <c r="G888" t="s">
        <v>1531</v>
      </c>
      <c r="H888" t="s">
        <v>1532</v>
      </c>
      <c r="I888" s="1">
        <v>39840.624305555553</v>
      </c>
      <c r="J888">
        <v>43.6666667</v>
      </c>
      <c r="K888">
        <v>-79.416666699999993</v>
      </c>
    </row>
    <row r="889" spans="1:11" x14ac:dyDescent="0.45">
      <c r="A889" s="1">
        <v>39838.355555555558</v>
      </c>
      <c r="B889" t="s">
        <v>10</v>
      </c>
      <c r="C889">
        <v>60000</v>
      </c>
      <c r="D889" t="s">
        <v>11</v>
      </c>
      <c r="E889" t="s">
        <v>1575</v>
      </c>
      <c r="F889" t="s">
        <v>1576</v>
      </c>
      <c r="G889" t="s">
        <v>1531</v>
      </c>
      <c r="H889" t="s">
        <v>1532</v>
      </c>
      <c r="I889" s="1">
        <v>39840.828472222223</v>
      </c>
      <c r="J889">
        <v>50.066666699999999</v>
      </c>
      <c r="K889">
        <v>-91.75</v>
      </c>
    </row>
    <row r="890" spans="1:11" x14ac:dyDescent="0.45">
      <c r="A890" s="1">
        <v>39841.129861111112</v>
      </c>
      <c r="B890" t="s">
        <v>10</v>
      </c>
      <c r="C890">
        <v>1200</v>
      </c>
      <c r="D890" t="s">
        <v>11</v>
      </c>
      <c r="E890" t="s">
        <v>50</v>
      </c>
      <c r="F890" t="s">
        <v>1577</v>
      </c>
      <c r="G890" t="s">
        <v>1558</v>
      </c>
      <c r="H890" t="s">
        <v>1532</v>
      </c>
      <c r="I890" s="1">
        <v>39841.338888888888</v>
      </c>
      <c r="J890">
        <v>49.216666699999998</v>
      </c>
      <c r="K890">
        <v>-68.150000000000006</v>
      </c>
    </row>
    <row r="891" spans="1:11" x14ac:dyDescent="0.45">
      <c r="A891" s="1">
        <v>39836.40902777778</v>
      </c>
      <c r="B891" t="s">
        <v>10</v>
      </c>
      <c r="C891">
        <v>1200</v>
      </c>
      <c r="D891" t="s">
        <v>11</v>
      </c>
      <c r="E891" t="s">
        <v>1578</v>
      </c>
      <c r="F891" t="s">
        <v>1579</v>
      </c>
      <c r="G891" t="s">
        <v>1531</v>
      </c>
      <c r="H891" t="s">
        <v>1532</v>
      </c>
      <c r="I891" s="1">
        <v>39841.404861111114</v>
      </c>
      <c r="J891">
        <v>43.933333300000001</v>
      </c>
      <c r="K891">
        <v>-79.533333299999995</v>
      </c>
    </row>
    <row r="892" spans="1:11" x14ac:dyDescent="0.45">
      <c r="A892" s="1">
        <v>39819.413194444445</v>
      </c>
      <c r="B892" t="s">
        <v>10</v>
      </c>
      <c r="C892">
        <v>90000</v>
      </c>
      <c r="D892" t="s">
        <v>16</v>
      </c>
      <c r="E892" t="s">
        <v>635</v>
      </c>
      <c r="F892" t="s">
        <v>1549</v>
      </c>
      <c r="G892" t="s">
        <v>1535</v>
      </c>
      <c r="H892" t="s">
        <v>1532</v>
      </c>
      <c r="I892" s="1">
        <v>39841.553472222222</v>
      </c>
      <c r="J892">
        <v>49.25</v>
      </c>
      <c r="K892">
        <v>-123.1333333</v>
      </c>
    </row>
    <row r="893" spans="1:11" x14ac:dyDescent="0.45">
      <c r="A893" s="1">
        <v>39837.712500000001</v>
      </c>
      <c r="B893" t="s">
        <v>10</v>
      </c>
      <c r="C893">
        <v>200000</v>
      </c>
      <c r="D893" t="s">
        <v>11</v>
      </c>
      <c r="E893" t="s">
        <v>1347</v>
      </c>
      <c r="F893" t="s">
        <v>1580</v>
      </c>
      <c r="G893" t="s">
        <v>1531</v>
      </c>
      <c r="H893" t="s">
        <v>1532</v>
      </c>
      <c r="I893" s="1">
        <v>39844.881944444445</v>
      </c>
      <c r="J893">
        <v>43.1666667</v>
      </c>
      <c r="K893">
        <v>-79.233333299999998</v>
      </c>
    </row>
    <row r="894" spans="1:11" x14ac:dyDescent="0.45">
      <c r="A894" s="1">
        <v>39820.335416666669</v>
      </c>
      <c r="B894" t="s">
        <v>10</v>
      </c>
      <c r="C894">
        <v>60000</v>
      </c>
      <c r="D894" t="s">
        <v>63</v>
      </c>
      <c r="E894" t="s">
        <v>1581</v>
      </c>
      <c r="F894" t="s">
        <v>1530</v>
      </c>
      <c r="G894" t="s">
        <v>1531</v>
      </c>
      <c r="H894" t="s">
        <v>1532</v>
      </c>
      <c r="I894" s="1">
        <v>39845.786111111112</v>
      </c>
      <c r="J894">
        <v>45.4166667</v>
      </c>
      <c r="K894">
        <v>-75.7</v>
      </c>
    </row>
    <row r="895" spans="1:11" x14ac:dyDescent="0.45">
      <c r="A895" s="1">
        <v>39817.880555555559</v>
      </c>
      <c r="B895" t="s">
        <v>10</v>
      </c>
      <c r="C895">
        <v>1200</v>
      </c>
      <c r="D895" t="s">
        <v>16</v>
      </c>
      <c r="E895" t="s">
        <v>1582</v>
      </c>
      <c r="F895" t="s">
        <v>1542</v>
      </c>
      <c r="G895" t="s">
        <v>1541</v>
      </c>
      <c r="H895" t="s">
        <v>1532</v>
      </c>
      <c r="I895" s="1">
        <v>39846.784722222219</v>
      </c>
      <c r="J895">
        <v>51.0833333</v>
      </c>
      <c r="K895">
        <v>-114.08333330000001</v>
      </c>
    </row>
    <row r="896" spans="1:11" x14ac:dyDescent="0.45">
      <c r="A896" s="1">
        <v>39823.899305555555</v>
      </c>
      <c r="B896" t="s">
        <v>10</v>
      </c>
      <c r="C896">
        <v>1200</v>
      </c>
      <c r="D896" t="s">
        <v>16</v>
      </c>
      <c r="E896" t="s">
        <v>1583</v>
      </c>
      <c r="F896" t="s">
        <v>1584</v>
      </c>
      <c r="G896" t="s">
        <v>1531</v>
      </c>
      <c r="H896" t="s">
        <v>1532</v>
      </c>
      <c r="I896" s="1">
        <v>39847.154166666667</v>
      </c>
      <c r="J896">
        <v>43.85</v>
      </c>
      <c r="K896">
        <v>-79.016666700000002</v>
      </c>
    </row>
    <row r="897" spans="1:11" x14ac:dyDescent="0.45">
      <c r="A897" s="1">
        <v>39835.301388888889</v>
      </c>
      <c r="B897" t="s">
        <v>10</v>
      </c>
      <c r="C897">
        <v>90000</v>
      </c>
      <c r="D897" t="s">
        <v>11</v>
      </c>
      <c r="E897" t="s">
        <v>1585</v>
      </c>
      <c r="F897" t="s">
        <v>1586</v>
      </c>
      <c r="G897" t="s">
        <v>1531</v>
      </c>
      <c r="H897" t="s">
        <v>1532</v>
      </c>
      <c r="I897" s="1">
        <v>39847.275000000001</v>
      </c>
      <c r="J897">
        <v>46.3</v>
      </c>
      <c r="K897">
        <v>-79.45</v>
      </c>
    </row>
    <row r="898" spans="1:11" x14ac:dyDescent="0.45">
      <c r="A898" s="1">
        <v>39841.543749999997</v>
      </c>
      <c r="B898" t="s">
        <v>20</v>
      </c>
      <c r="C898">
        <v>100000</v>
      </c>
      <c r="D898" t="s">
        <v>63</v>
      </c>
      <c r="E898" t="s">
        <v>674</v>
      </c>
      <c r="F898" t="s">
        <v>1554</v>
      </c>
      <c r="G898" t="s">
        <v>1541</v>
      </c>
      <c r="H898" t="s">
        <v>1532</v>
      </c>
      <c r="I898" s="1">
        <v>39847.384027777778</v>
      </c>
      <c r="J898">
        <v>50.716666699999998</v>
      </c>
      <c r="K898">
        <v>-113.9666667</v>
      </c>
    </row>
    <row r="899" spans="1:11" x14ac:dyDescent="0.45">
      <c r="A899" s="1">
        <v>39834.845833333333</v>
      </c>
      <c r="B899" t="s">
        <v>10</v>
      </c>
      <c r="C899">
        <v>60000</v>
      </c>
      <c r="D899" t="s">
        <v>63</v>
      </c>
      <c r="E899" t="s">
        <v>1587</v>
      </c>
      <c r="F899" t="s">
        <v>1549</v>
      </c>
      <c r="G899" t="s">
        <v>1535</v>
      </c>
      <c r="H899" t="s">
        <v>1532</v>
      </c>
      <c r="I899" s="1">
        <v>39847.515277777777</v>
      </c>
      <c r="J899">
        <v>49.25</v>
      </c>
      <c r="K899">
        <v>-123.1333333</v>
      </c>
    </row>
    <row r="900" spans="1:11" x14ac:dyDescent="0.45">
      <c r="A900" s="1">
        <v>39825.486111111109</v>
      </c>
      <c r="B900" t="s">
        <v>20</v>
      </c>
      <c r="C900">
        <v>100000</v>
      </c>
      <c r="D900" t="s">
        <v>11</v>
      </c>
      <c r="E900" t="s">
        <v>1588</v>
      </c>
      <c r="F900" t="s">
        <v>1574</v>
      </c>
      <c r="G900" t="s">
        <v>1531</v>
      </c>
      <c r="H900" t="s">
        <v>1532</v>
      </c>
      <c r="I900" s="1">
        <v>39847.820833333331</v>
      </c>
      <c r="J900">
        <v>43.6666667</v>
      </c>
      <c r="K900">
        <v>-79.416666699999993</v>
      </c>
    </row>
    <row r="901" spans="1:11" x14ac:dyDescent="0.45">
      <c r="A901" s="1">
        <v>39827.344444444447</v>
      </c>
      <c r="B901" t="s">
        <v>20</v>
      </c>
      <c r="C901">
        <v>100000</v>
      </c>
      <c r="D901" t="s">
        <v>63</v>
      </c>
      <c r="E901" t="s">
        <v>177</v>
      </c>
      <c r="F901" t="s">
        <v>1589</v>
      </c>
      <c r="G901" t="s">
        <v>1538</v>
      </c>
      <c r="H901" t="s">
        <v>1532</v>
      </c>
      <c r="I901" s="1">
        <v>39849.474999999999</v>
      </c>
      <c r="J901">
        <v>52.133333299999997</v>
      </c>
      <c r="K901">
        <v>-106.66666669999999</v>
      </c>
    </row>
    <row r="902" spans="1:11" x14ac:dyDescent="0.45">
      <c r="A902" s="1">
        <v>39821.425694444442</v>
      </c>
      <c r="B902" t="s">
        <v>10</v>
      </c>
      <c r="C902">
        <v>1200</v>
      </c>
      <c r="D902" t="s">
        <v>63</v>
      </c>
      <c r="E902" t="s">
        <v>1590</v>
      </c>
      <c r="F902" t="s">
        <v>1591</v>
      </c>
      <c r="G902" t="s">
        <v>1535</v>
      </c>
      <c r="H902" t="s">
        <v>1532</v>
      </c>
      <c r="I902" s="1">
        <v>39849.585416666669</v>
      </c>
      <c r="J902">
        <v>54.433333300000001</v>
      </c>
      <c r="K902">
        <v>-124.25</v>
      </c>
    </row>
    <row r="903" spans="1:11" x14ac:dyDescent="0.45">
      <c r="A903" s="1">
        <v>39823.570833333331</v>
      </c>
      <c r="B903" t="s">
        <v>10</v>
      </c>
      <c r="C903">
        <v>1200</v>
      </c>
      <c r="D903" t="s">
        <v>11</v>
      </c>
      <c r="E903" t="s">
        <v>472</v>
      </c>
      <c r="F903" t="s">
        <v>1592</v>
      </c>
      <c r="G903" t="s">
        <v>1531</v>
      </c>
      <c r="H903" t="s">
        <v>1532</v>
      </c>
      <c r="I903" s="1">
        <v>39853.412499999999</v>
      </c>
      <c r="J903">
        <v>43.25</v>
      </c>
      <c r="K903">
        <v>-79.833333300000007</v>
      </c>
    </row>
    <row r="904" spans="1:11" x14ac:dyDescent="0.45">
      <c r="A904" s="1">
        <v>39815.456944444442</v>
      </c>
      <c r="B904" t="s">
        <v>20</v>
      </c>
      <c r="C904">
        <v>100000</v>
      </c>
      <c r="D904" t="s">
        <v>11</v>
      </c>
      <c r="E904" t="s">
        <v>1593</v>
      </c>
      <c r="F904" t="s">
        <v>1574</v>
      </c>
      <c r="G904" t="s">
        <v>1531</v>
      </c>
      <c r="H904" t="s">
        <v>1532</v>
      </c>
      <c r="I904" s="1">
        <v>39853.580555555556</v>
      </c>
      <c r="J904">
        <v>43.6666667</v>
      </c>
      <c r="K904">
        <v>-79.416666699999993</v>
      </c>
    </row>
    <row r="905" spans="1:11" x14ac:dyDescent="0.45">
      <c r="A905" s="1">
        <v>39828.227083333331</v>
      </c>
      <c r="B905" t="s">
        <v>20</v>
      </c>
      <c r="C905">
        <v>100000</v>
      </c>
      <c r="D905" t="s">
        <v>11</v>
      </c>
      <c r="E905" t="s">
        <v>1594</v>
      </c>
      <c r="F905" t="s">
        <v>1586</v>
      </c>
      <c r="G905" t="s">
        <v>1531</v>
      </c>
      <c r="H905" t="s">
        <v>1532</v>
      </c>
      <c r="I905" s="1">
        <v>39853.765277777777</v>
      </c>
      <c r="J905">
        <v>46.3</v>
      </c>
      <c r="K905">
        <v>-79.45</v>
      </c>
    </row>
    <row r="906" spans="1:11" x14ac:dyDescent="0.45">
      <c r="A906" s="1">
        <v>39818.52847222222</v>
      </c>
      <c r="B906" t="s">
        <v>10</v>
      </c>
      <c r="C906">
        <v>1200</v>
      </c>
      <c r="D906" t="s">
        <v>11</v>
      </c>
      <c r="E906" t="s">
        <v>1033</v>
      </c>
      <c r="F906" t="s">
        <v>1542</v>
      </c>
      <c r="G906" t="s">
        <v>1541</v>
      </c>
      <c r="H906" t="s">
        <v>1532</v>
      </c>
      <c r="I906" s="1">
        <v>39854.489583333336</v>
      </c>
      <c r="J906">
        <v>51.0833333</v>
      </c>
      <c r="K906">
        <v>-114.08333330000001</v>
      </c>
    </row>
    <row r="907" spans="1:11" x14ac:dyDescent="0.45">
      <c r="A907" s="1">
        <v>39841.537499999999</v>
      </c>
      <c r="B907" t="s">
        <v>20</v>
      </c>
      <c r="C907">
        <v>100000</v>
      </c>
      <c r="D907" t="s">
        <v>16</v>
      </c>
      <c r="E907" t="s">
        <v>64</v>
      </c>
      <c r="F907" t="s">
        <v>1549</v>
      </c>
      <c r="G907" t="s">
        <v>1535</v>
      </c>
      <c r="H907" t="s">
        <v>1532</v>
      </c>
      <c r="I907" s="1">
        <v>39854.506249999999</v>
      </c>
      <c r="J907">
        <v>49.25</v>
      </c>
      <c r="K907">
        <v>-123.1333333</v>
      </c>
    </row>
    <row r="908" spans="1:11" x14ac:dyDescent="0.45">
      <c r="A908" s="1">
        <v>39821.531944444447</v>
      </c>
      <c r="B908" t="s">
        <v>10</v>
      </c>
      <c r="C908">
        <v>1200</v>
      </c>
      <c r="D908" t="s">
        <v>16</v>
      </c>
      <c r="E908" t="s">
        <v>1595</v>
      </c>
      <c r="F908" t="s">
        <v>1596</v>
      </c>
      <c r="G908" t="s">
        <v>1531</v>
      </c>
      <c r="H908" t="s">
        <v>1532</v>
      </c>
      <c r="I908" s="1">
        <v>39854.924305555556</v>
      </c>
      <c r="J908">
        <v>44.6</v>
      </c>
      <c r="K908">
        <v>-79.416666699999993</v>
      </c>
    </row>
    <row r="909" spans="1:11" x14ac:dyDescent="0.45">
      <c r="A909" s="1">
        <v>39824.413194444445</v>
      </c>
      <c r="B909" t="s">
        <v>10</v>
      </c>
      <c r="C909">
        <v>1200</v>
      </c>
      <c r="D909" t="s">
        <v>11</v>
      </c>
      <c r="E909" t="s">
        <v>1597</v>
      </c>
      <c r="F909" t="s">
        <v>1598</v>
      </c>
      <c r="G909" t="s">
        <v>1531</v>
      </c>
      <c r="H909" t="s">
        <v>1532</v>
      </c>
      <c r="I909" s="1">
        <v>39855.364583333336</v>
      </c>
      <c r="J909">
        <v>44.316666699999999</v>
      </c>
      <c r="K909">
        <v>-80.099999999999994</v>
      </c>
    </row>
    <row r="910" spans="1:11" x14ac:dyDescent="0.45">
      <c r="A910" s="1">
        <v>39822.357638888891</v>
      </c>
      <c r="B910" t="s">
        <v>10</v>
      </c>
      <c r="C910">
        <v>1200</v>
      </c>
      <c r="D910" t="s">
        <v>63</v>
      </c>
      <c r="E910" t="s">
        <v>1599</v>
      </c>
      <c r="F910" t="s">
        <v>1600</v>
      </c>
      <c r="G910" t="s">
        <v>1541</v>
      </c>
      <c r="H910" t="s">
        <v>1532</v>
      </c>
      <c r="I910" s="1">
        <v>39855.601388888892</v>
      </c>
      <c r="J910">
        <v>53.55</v>
      </c>
      <c r="K910">
        <v>-113.5</v>
      </c>
    </row>
    <row r="911" spans="1:11" x14ac:dyDescent="0.45">
      <c r="A911" s="1">
        <v>39822.850694444445</v>
      </c>
      <c r="B911" t="s">
        <v>10</v>
      </c>
      <c r="C911">
        <v>1200</v>
      </c>
      <c r="D911" t="s">
        <v>63</v>
      </c>
      <c r="E911" t="s">
        <v>1601</v>
      </c>
      <c r="F911" t="s">
        <v>1568</v>
      </c>
      <c r="G911" t="s">
        <v>1535</v>
      </c>
      <c r="H911" t="s">
        <v>1532</v>
      </c>
      <c r="I911" s="1">
        <v>39855.84652777778</v>
      </c>
      <c r="J911">
        <v>49.9</v>
      </c>
      <c r="K911">
        <v>-119.4833333</v>
      </c>
    </row>
    <row r="912" spans="1:11" x14ac:dyDescent="0.45">
      <c r="A912" s="1">
        <v>39828.911805555559</v>
      </c>
      <c r="B912" t="s">
        <v>10</v>
      </c>
      <c r="C912">
        <v>1200</v>
      </c>
      <c r="D912" t="s">
        <v>11</v>
      </c>
      <c r="E912" t="s">
        <v>508</v>
      </c>
      <c r="F912" t="s">
        <v>1574</v>
      </c>
      <c r="G912" t="s">
        <v>1531</v>
      </c>
      <c r="H912" t="s">
        <v>1532</v>
      </c>
      <c r="I912" s="1">
        <v>39855.875694444447</v>
      </c>
      <c r="J912">
        <v>43.6666667</v>
      </c>
      <c r="K912">
        <v>-79.416666699999993</v>
      </c>
    </row>
    <row r="913" spans="1:11" x14ac:dyDescent="0.45">
      <c r="A913" s="1">
        <v>39826.49722222222</v>
      </c>
      <c r="B913" t="s">
        <v>10</v>
      </c>
      <c r="C913">
        <v>1200</v>
      </c>
      <c r="D913" t="s">
        <v>63</v>
      </c>
      <c r="E913" t="s">
        <v>592</v>
      </c>
      <c r="F913" t="s">
        <v>1565</v>
      </c>
      <c r="G913" t="s">
        <v>1558</v>
      </c>
      <c r="H913" t="s">
        <v>1532</v>
      </c>
      <c r="I913" s="1">
        <v>39857.345833333333</v>
      </c>
      <c r="J913">
        <v>45.5</v>
      </c>
      <c r="K913">
        <v>-73.583333300000007</v>
      </c>
    </row>
    <row r="914" spans="1:11" x14ac:dyDescent="0.45">
      <c r="A914" s="1">
        <v>39837.873611111114</v>
      </c>
      <c r="B914" t="s">
        <v>10</v>
      </c>
      <c r="C914">
        <v>1200</v>
      </c>
      <c r="D914" t="s">
        <v>11</v>
      </c>
      <c r="E914" t="s">
        <v>1602</v>
      </c>
      <c r="F914" t="s">
        <v>1603</v>
      </c>
      <c r="G914" t="s">
        <v>1535</v>
      </c>
      <c r="H914" t="s">
        <v>1532</v>
      </c>
      <c r="I914" s="1">
        <v>39858.925000000003</v>
      </c>
      <c r="J914">
        <v>49.316666699999999</v>
      </c>
      <c r="K914">
        <v>-123.0666667</v>
      </c>
    </row>
    <row r="915" spans="1:11" x14ac:dyDescent="0.45">
      <c r="A915" s="1">
        <v>39817.447222222225</v>
      </c>
      <c r="B915" t="s">
        <v>10</v>
      </c>
      <c r="C915">
        <v>1200</v>
      </c>
      <c r="D915" t="s">
        <v>63</v>
      </c>
      <c r="E915" t="s">
        <v>1604</v>
      </c>
      <c r="F915" t="s">
        <v>1605</v>
      </c>
      <c r="G915" t="s">
        <v>1535</v>
      </c>
      <c r="H915" t="s">
        <v>1532</v>
      </c>
      <c r="I915" s="1">
        <v>39859.573611111111</v>
      </c>
      <c r="J915">
        <v>49.25</v>
      </c>
      <c r="K915">
        <v>-122.95</v>
      </c>
    </row>
    <row r="916" spans="1:11" x14ac:dyDescent="0.45">
      <c r="A916" s="1">
        <v>39816.779861111114</v>
      </c>
      <c r="B916" t="s">
        <v>10</v>
      </c>
      <c r="C916">
        <v>1200</v>
      </c>
      <c r="D916" t="s">
        <v>11</v>
      </c>
      <c r="E916" t="s">
        <v>84</v>
      </c>
      <c r="F916" t="s">
        <v>1606</v>
      </c>
      <c r="G916" t="s">
        <v>1531</v>
      </c>
      <c r="H916" t="s">
        <v>1532</v>
      </c>
      <c r="I916" s="1">
        <v>39861.261805555558</v>
      </c>
      <c r="J916">
        <v>45.016666700000002</v>
      </c>
      <c r="K916">
        <v>-74.733333299999998</v>
      </c>
    </row>
    <row r="917" spans="1:11" x14ac:dyDescent="0.45">
      <c r="A917" s="1">
        <v>39821.447222222225</v>
      </c>
      <c r="B917" t="s">
        <v>10</v>
      </c>
      <c r="C917">
        <v>1200</v>
      </c>
      <c r="D917" t="s">
        <v>11</v>
      </c>
      <c r="E917" t="s">
        <v>667</v>
      </c>
      <c r="F917" t="s">
        <v>1607</v>
      </c>
      <c r="G917" t="s">
        <v>1531</v>
      </c>
      <c r="H917" t="s">
        <v>1532</v>
      </c>
      <c r="I917" s="1">
        <v>39861.277083333334</v>
      </c>
      <c r="J917">
        <v>43.966666699999998</v>
      </c>
      <c r="K917">
        <v>-80.733333299999998</v>
      </c>
    </row>
    <row r="918" spans="1:11" x14ac:dyDescent="0.45">
      <c r="A918" s="1">
        <v>39837.538888888892</v>
      </c>
      <c r="B918" t="s">
        <v>10</v>
      </c>
      <c r="C918">
        <v>1200</v>
      </c>
      <c r="D918" t="s">
        <v>11</v>
      </c>
      <c r="E918" t="s">
        <v>1608</v>
      </c>
      <c r="F918" t="s">
        <v>1609</v>
      </c>
      <c r="G918" t="s">
        <v>1558</v>
      </c>
      <c r="H918" t="s">
        <v>1532</v>
      </c>
      <c r="I918" s="1">
        <v>39861.388194444444</v>
      </c>
      <c r="J918">
        <v>45.533333300000002</v>
      </c>
      <c r="K918">
        <v>-73.716666700000005</v>
      </c>
    </row>
    <row r="919" spans="1:11" x14ac:dyDescent="0.45">
      <c r="A919" s="1">
        <v>39818.385416666664</v>
      </c>
      <c r="B919" t="s">
        <v>10</v>
      </c>
      <c r="C919">
        <v>1200</v>
      </c>
      <c r="D919" t="s">
        <v>11</v>
      </c>
      <c r="E919" t="s">
        <v>1610</v>
      </c>
      <c r="F919" t="s">
        <v>1611</v>
      </c>
      <c r="G919" t="s">
        <v>1558</v>
      </c>
      <c r="H919" t="s">
        <v>1532</v>
      </c>
      <c r="I919" s="1">
        <v>39861.523611111108</v>
      </c>
      <c r="J919">
        <v>45.633333299999997</v>
      </c>
      <c r="K919">
        <v>-73.849999999999994</v>
      </c>
    </row>
    <row r="920" spans="1:11" x14ac:dyDescent="0.45">
      <c r="A920" s="1">
        <v>39839.43472222222</v>
      </c>
      <c r="B920" t="s">
        <v>10</v>
      </c>
      <c r="C920">
        <v>1200</v>
      </c>
      <c r="D920" t="s">
        <v>11</v>
      </c>
      <c r="E920" t="s">
        <v>1612</v>
      </c>
      <c r="F920" t="s">
        <v>1542</v>
      </c>
      <c r="G920" t="s">
        <v>1541</v>
      </c>
      <c r="H920" t="s">
        <v>1532</v>
      </c>
      <c r="I920" s="1">
        <v>39861.636805555558</v>
      </c>
      <c r="J920">
        <v>51.0833333</v>
      </c>
      <c r="K920">
        <v>-114.08333330000001</v>
      </c>
    </row>
    <row r="921" spans="1:11" x14ac:dyDescent="0.45">
      <c r="A921" s="1">
        <v>39841.30972222222</v>
      </c>
      <c r="B921" t="s">
        <v>10</v>
      </c>
      <c r="C921">
        <v>1200</v>
      </c>
      <c r="D921" t="s">
        <v>11</v>
      </c>
      <c r="E921" t="s">
        <v>1613</v>
      </c>
      <c r="F921" t="s">
        <v>1614</v>
      </c>
      <c r="G921" t="s">
        <v>1531</v>
      </c>
      <c r="H921" t="s">
        <v>1532</v>
      </c>
      <c r="I921" s="1">
        <v>39861.755555555559</v>
      </c>
      <c r="J921">
        <v>43.55</v>
      </c>
      <c r="K921">
        <v>-80.25</v>
      </c>
    </row>
    <row r="922" spans="1:11" x14ac:dyDescent="0.45">
      <c r="A922" s="1">
        <v>39833.373611111114</v>
      </c>
      <c r="B922" t="s">
        <v>10</v>
      </c>
      <c r="C922">
        <v>1200</v>
      </c>
      <c r="D922" t="s">
        <v>11</v>
      </c>
      <c r="E922" t="s">
        <v>1446</v>
      </c>
      <c r="F922" t="s">
        <v>1600</v>
      </c>
      <c r="G922" t="s">
        <v>1541</v>
      </c>
      <c r="H922" t="s">
        <v>1532</v>
      </c>
      <c r="I922" s="1">
        <v>39862.404166666667</v>
      </c>
      <c r="J922">
        <v>53.55</v>
      </c>
      <c r="K922">
        <v>-113.5</v>
      </c>
    </row>
    <row r="923" spans="1:11" x14ac:dyDescent="0.45">
      <c r="A923" s="1">
        <v>39830.426388888889</v>
      </c>
      <c r="B923" t="s">
        <v>10</v>
      </c>
      <c r="C923">
        <v>1200</v>
      </c>
      <c r="D923" t="s">
        <v>16</v>
      </c>
      <c r="E923" t="s">
        <v>81</v>
      </c>
      <c r="F923" t="s">
        <v>1615</v>
      </c>
      <c r="G923" t="s">
        <v>1531</v>
      </c>
      <c r="H923" t="s">
        <v>1532</v>
      </c>
      <c r="I923" s="1">
        <v>39862.78402777778</v>
      </c>
      <c r="J923">
        <v>42.8333333</v>
      </c>
      <c r="K923">
        <v>-80.3</v>
      </c>
    </row>
    <row r="924" spans="1:11" x14ac:dyDescent="0.45">
      <c r="A924" s="1">
        <v>39844.55972222222</v>
      </c>
      <c r="B924" t="s">
        <v>10</v>
      </c>
      <c r="C924">
        <v>1200</v>
      </c>
      <c r="D924" t="s">
        <v>11</v>
      </c>
      <c r="E924" t="s">
        <v>1616</v>
      </c>
      <c r="F924" t="s">
        <v>1319</v>
      </c>
      <c r="G924" t="s">
        <v>1531</v>
      </c>
      <c r="H924" t="s">
        <v>1532</v>
      </c>
      <c r="I924" s="1">
        <v>39864.352083333331</v>
      </c>
      <c r="J924">
        <v>42.933333300000001</v>
      </c>
      <c r="K924">
        <v>-80.283333299999995</v>
      </c>
    </row>
    <row r="925" spans="1:11" x14ac:dyDescent="0.45">
      <c r="A925" s="1">
        <v>39838.672222222223</v>
      </c>
      <c r="B925" t="s">
        <v>10</v>
      </c>
      <c r="C925">
        <v>1200</v>
      </c>
      <c r="D925" t="s">
        <v>63</v>
      </c>
      <c r="E925" t="s">
        <v>260</v>
      </c>
      <c r="F925" t="s">
        <v>1549</v>
      </c>
      <c r="G925" t="s">
        <v>1535</v>
      </c>
      <c r="H925" t="s">
        <v>1532</v>
      </c>
      <c r="I925" s="1">
        <v>39864.532638888886</v>
      </c>
      <c r="J925">
        <v>49.25</v>
      </c>
      <c r="K925">
        <v>-123.1333333</v>
      </c>
    </row>
    <row r="926" spans="1:11" x14ac:dyDescent="0.45">
      <c r="A926" s="1">
        <v>39817.929166666669</v>
      </c>
      <c r="B926" t="s">
        <v>20</v>
      </c>
      <c r="C926">
        <v>100000</v>
      </c>
      <c r="D926" t="s">
        <v>16</v>
      </c>
      <c r="E926" t="s">
        <v>1617</v>
      </c>
      <c r="F926" t="s">
        <v>1618</v>
      </c>
      <c r="G926" t="s">
        <v>1535</v>
      </c>
      <c r="H926" t="s">
        <v>1532</v>
      </c>
      <c r="I926" s="1">
        <v>39864.90625</v>
      </c>
      <c r="J926">
        <v>49.883333299999997</v>
      </c>
      <c r="K926">
        <v>-124.55</v>
      </c>
    </row>
    <row r="927" spans="1:11" x14ac:dyDescent="0.45">
      <c r="A927" s="1">
        <v>39842.902777777781</v>
      </c>
      <c r="B927" t="s">
        <v>10</v>
      </c>
      <c r="C927">
        <v>1200</v>
      </c>
      <c r="D927" t="s">
        <v>11</v>
      </c>
      <c r="E927" t="s">
        <v>1619</v>
      </c>
      <c r="F927" t="s">
        <v>1549</v>
      </c>
      <c r="G927" t="s">
        <v>1535</v>
      </c>
      <c r="H927" t="s">
        <v>1532</v>
      </c>
      <c r="I927" s="1">
        <v>39865.855555555558</v>
      </c>
      <c r="J927">
        <v>49.25</v>
      </c>
      <c r="K927">
        <v>-123.1333333</v>
      </c>
    </row>
    <row r="928" spans="1:11" x14ac:dyDescent="0.45">
      <c r="A928" s="1">
        <v>39820.804166666669</v>
      </c>
      <c r="B928" t="s">
        <v>10</v>
      </c>
      <c r="C928">
        <v>1200</v>
      </c>
      <c r="D928" t="s">
        <v>16</v>
      </c>
      <c r="E928" t="s">
        <v>1620</v>
      </c>
      <c r="F928" t="s">
        <v>1530</v>
      </c>
      <c r="G928" t="s">
        <v>1531</v>
      </c>
      <c r="H928" t="s">
        <v>1532</v>
      </c>
      <c r="I928" s="1">
        <v>39866.67083333333</v>
      </c>
      <c r="J928">
        <v>45.4166667</v>
      </c>
      <c r="K928">
        <v>-75.7</v>
      </c>
    </row>
    <row r="929" spans="1:11" x14ac:dyDescent="0.45">
      <c r="A929" s="1">
        <v>39819.86041666667</v>
      </c>
      <c r="B929" t="s">
        <v>20</v>
      </c>
      <c r="C929">
        <v>3600</v>
      </c>
      <c r="D929" t="s">
        <v>16</v>
      </c>
      <c r="E929" t="s">
        <v>82</v>
      </c>
      <c r="F929" t="s">
        <v>1621</v>
      </c>
      <c r="G929" t="s">
        <v>1535</v>
      </c>
      <c r="H929" t="s">
        <v>1532</v>
      </c>
      <c r="I929" s="1">
        <v>39867.371527777781</v>
      </c>
      <c r="J929">
        <v>49.133333299999997</v>
      </c>
      <c r="K929">
        <v>-122.3</v>
      </c>
    </row>
    <row r="930" spans="1:11" x14ac:dyDescent="0.45">
      <c r="A930" s="1">
        <v>39833.724305555559</v>
      </c>
      <c r="B930" t="s">
        <v>20</v>
      </c>
      <c r="C930">
        <v>200000</v>
      </c>
      <c r="D930" t="s">
        <v>11</v>
      </c>
      <c r="E930" t="s">
        <v>626</v>
      </c>
      <c r="F930" t="s">
        <v>1574</v>
      </c>
      <c r="G930" t="s">
        <v>1531</v>
      </c>
      <c r="H930" t="s">
        <v>1532</v>
      </c>
      <c r="I930" s="1">
        <v>39867.815972222219</v>
      </c>
      <c r="J930">
        <v>43.6666667</v>
      </c>
      <c r="K930">
        <v>-79.416666699999993</v>
      </c>
    </row>
    <row r="931" spans="1:11" x14ac:dyDescent="0.45">
      <c r="A931" s="1">
        <v>39815.438888888886</v>
      </c>
      <c r="B931" t="s">
        <v>10</v>
      </c>
      <c r="C931">
        <v>1200</v>
      </c>
      <c r="D931" t="s">
        <v>16</v>
      </c>
      <c r="E931" t="s">
        <v>1622</v>
      </c>
      <c r="F931" t="s">
        <v>1600</v>
      </c>
      <c r="G931" t="s">
        <v>1541</v>
      </c>
      <c r="H931" t="s">
        <v>1532</v>
      </c>
      <c r="I931" s="1">
        <v>39868.505555555559</v>
      </c>
      <c r="J931">
        <v>53.55</v>
      </c>
      <c r="K931">
        <v>-113.5</v>
      </c>
    </row>
    <row r="932" spans="1:11" x14ac:dyDescent="0.45">
      <c r="A932" s="1">
        <v>39821.502083333333</v>
      </c>
      <c r="B932" t="s">
        <v>10</v>
      </c>
      <c r="C932">
        <v>1200</v>
      </c>
      <c r="D932" t="s">
        <v>63</v>
      </c>
      <c r="E932" t="s">
        <v>234</v>
      </c>
      <c r="F932" t="s">
        <v>1542</v>
      </c>
      <c r="G932" t="s">
        <v>1541</v>
      </c>
      <c r="H932" t="s">
        <v>1532</v>
      </c>
      <c r="I932" s="1">
        <v>39868.736805555556</v>
      </c>
      <c r="J932">
        <v>51.0833333</v>
      </c>
      <c r="K932">
        <v>-114.08333330000001</v>
      </c>
    </row>
    <row r="933" spans="1:11" x14ac:dyDescent="0.45">
      <c r="A933" s="1">
        <v>39820.55972222222</v>
      </c>
      <c r="B933" t="s">
        <v>10</v>
      </c>
      <c r="C933">
        <v>1200</v>
      </c>
      <c r="D933" t="s">
        <v>11</v>
      </c>
      <c r="E933" t="s">
        <v>419</v>
      </c>
      <c r="F933" t="s">
        <v>550</v>
      </c>
      <c r="G933" t="s">
        <v>1558</v>
      </c>
      <c r="H933" t="s">
        <v>1532</v>
      </c>
      <c r="I933" s="1">
        <v>39869.636111111111</v>
      </c>
      <c r="J933">
        <v>45.95</v>
      </c>
      <c r="K933">
        <v>-71.983333299999998</v>
      </c>
    </row>
    <row r="934" spans="1:11" x14ac:dyDescent="0.45">
      <c r="A934" s="1">
        <v>39835.665972222225</v>
      </c>
      <c r="B934" t="s">
        <v>20</v>
      </c>
      <c r="C934">
        <v>200000</v>
      </c>
      <c r="D934" t="s">
        <v>11</v>
      </c>
      <c r="E934" t="s">
        <v>50</v>
      </c>
      <c r="F934" t="s">
        <v>1530</v>
      </c>
      <c r="G934" t="s">
        <v>1531</v>
      </c>
      <c r="H934" t="s">
        <v>1532</v>
      </c>
      <c r="I934" s="1">
        <v>39869.71875</v>
      </c>
      <c r="J934">
        <v>45.4166667</v>
      </c>
      <c r="K934">
        <v>-75.7</v>
      </c>
    </row>
    <row r="935" spans="1:11" x14ac:dyDescent="0.45">
      <c r="A935" s="1">
        <v>39826.554861111108</v>
      </c>
      <c r="B935" t="s">
        <v>20</v>
      </c>
      <c r="C935">
        <v>200000</v>
      </c>
      <c r="D935" t="s">
        <v>16</v>
      </c>
      <c r="E935" t="s">
        <v>385</v>
      </c>
      <c r="F935" t="s">
        <v>1574</v>
      </c>
      <c r="G935" t="s">
        <v>1531</v>
      </c>
      <c r="H935" t="s">
        <v>1532</v>
      </c>
      <c r="I935" s="1">
        <v>39870.47152777778</v>
      </c>
      <c r="J935">
        <v>43.6666667</v>
      </c>
      <c r="K935">
        <v>-79.416666699999993</v>
      </c>
    </row>
    <row r="936" spans="1:11" x14ac:dyDescent="0.45">
      <c r="A936" s="1">
        <v>39843.873611111114</v>
      </c>
      <c r="B936" t="s">
        <v>20</v>
      </c>
      <c r="C936">
        <v>200000</v>
      </c>
      <c r="D936" t="s">
        <v>16</v>
      </c>
      <c r="E936" t="s">
        <v>1623</v>
      </c>
      <c r="F936" t="s">
        <v>1624</v>
      </c>
      <c r="G936" t="s">
        <v>1625</v>
      </c>
      <c r="H936" t="s">
        <v>1532</v>
      </c>
      <c r="I936" s="1">
        <v>39870.54583333333</v>
      </c>
      <c r="J936">
        <v>60.183333300000001</v>
      </c>
      <c r="K936">
        <v>-134.71666669999999</v>
      </c>
    </row>
    <row r="937" spans="1:11" x14ac:dyDescent="0.45">
      <c r="A937" s="1">
        <v>39833.420138888891</v>
      </c>
      <c r="B937" t="s">
        <v>20</v>
      </c>
      <c r="C937">
        <v>200000</v>
      </c>
      <c r="D937" t="s">
        <v>11</v>
      </c>
      <c r="E937" t="s">
        <v>1626</v>
      </c>
      <c r="F937" t="s">
        <v>1542</v>
      </c>
      <c r="G937" t="s">
        <v>1541</v>
      </c>
      <c r="H937" t="s">
        <v>1532</v>
      </c>
      <c r="I937" s="1">
        <v>39870.561111111114</v>
      </c>
      <c r="J937">
        <v>51.0833333</v>
      </c>
      <c r="K937">
        <v>-114.08333330000001</v>
      </c>
    </row>
    <row r="938" spans="1:11" x14ac:dyDescent="0.45">
      <c r="A938" s="1">
        <v>39832.138194444444</v>
      </c>
      <c r="B938" t="s">
        <v>10</v>
      </c>
      <c r="C938">
        <v>1200</v>
      </c>
      <c r="D938" t="s">
        <v>16</v>
      </c>
      <c r="E938" t="s">
        <v>1627</v>
      </c>
      <c r="F938" t="s">
        <v>1628</v>
      </c>
      <c r="G938" t="s">
        <v>1629</v>
      </c>
      <c r="H938" t="s">
        <v>1630</v>
      </c>
      <c r="I938" s="1">
        <v>39850.179861111108</v>
      </c>
      <c r="J938">
        <v>42.35</v>
      </c>
      <c r="K938">
        <v>25.6666667</v>
      </c>
    </row>
    <row r="939" spans="1:11" x14ac:dyDescent="0.45">
      <c r="A939" s="1">
        <v>39830.464583333334</v>
      </c>
      <c r="B939" t="s">
        <v>10</v>
      </c>
      <c r="C939">
        <v>1200</v>
      </c>
      <c r="D939" t="s">
        <v>16</v>
      </c>
      <c r="E939" t="s">
        <v>1631</v>
      </c>
      <c r="F939" t="s">
        <v>1632</v>
      </c>
      <c r="G939" t="s">
        <v>1633</v>
      </c>
      <c r="H939" t="s">
        <v>1634</v>
      </c>
      <c r="I939" s="1">
        <v>39844.279166666667</v>
      </c>
      <c r="J939">
        <v>-3.7166667000000002</v>
      </c>
      <c r="K939">
        <v>-38.5</v>
      </c>
    </row>
    <row r="940" spans="1:11" x14ac:dyDescent="0.45">
      <c r="A940" s="1">
        <v>39827.438888888886</v>
      </c>
      <c r="B940" t="s">
        <v>230</v>
      </c>
      <c r="C940">
        <v>200000</v>
      </c>
      <c r="D940" t="s">
        <v>16</v>
      </c>
      <c r="E940" t="s">
        <v>1220</v>
      </c>
      <c r="F940" t="s">
        <v>1635</v>
      </c>
      <c r="G940" t="s">
        <v>1636</v>
      </c>
      <c r="H940" t="s">
        <v>1634</v>
      </c>
      <c r="I940" s="1">
        <v>39846.245833333334</v>
      </c>
      <c r="J940">
        <v>-22.9</v>
      </c>
      <c r="K940">
        <v>-47.0833333</v>
      </c>
    </row>
    <row r="941" spans="1:11" x14ac:dyDescent="0.45">
      <c r="A941" s="1">
        <v>39837.43472222222</v>
      </c>
      <c r="B941" t="s">
        <v>10</v>
      </c>
      <c r="C941">
        <v>1200</v>
      </c>
      <c r="D941" t="s">
        <v>11</v>
      </c>
      <c r="E941" t="s">
        <v>1608</v>
      </c>
      <c r="F941" t="s">
        <v>1637</v>
      </c>
      <c r="G941" t="s">
        <v>1638</v>
      </c>
      <c r="H941" t="s">
        <v>1634</v>
      </c>
      <c r="I941" s="1">
        <v>39861.336805555555</v>
      </c>
      <c r="J941">
        <v>-30.033333299999999</v>
      </c>
      <c r="K941">
        <v>-51.2</v>
      </c>
    </row>
    <row r="942" spans="1:11" x14ac:dyDescent="0.45">
      <c r="A942" s="1">
        <v>39838.822222222225</v>
      </c>
      <c r="B942" t="s">
        <v>10</v>
      </c>
      <c r="C942">
        <v>1200</v>
      </c>
      <c r="D942" t="s">
        <v>16</v>
      </c>
      <c r="E942" t="s">
        <v>1639</v>
      </c>
      <c r="F942" t="s">
        <v>1640</v>
      </c>
      <c r="G942" t="s">
        <v>1641</v>
      </c>
      <c r="H942" t="s">
        <v>1634</v>
      </c>
      <c r="I942" s="1">
        <v>39866.6</v>
      </c>
      <c r="J942">
        <v>-19.6666667</v>
      </c>
      <c r="K942">
        <v>-43.9166667</v>
      </c>
    </row>
    <row r="943" spans="1:11" x14ac:dyDescent="0.45">
      <c r="A943" s="1">
        <v>39831.746527777781</v>
      </c>
      <c r="B943" t="s">
        <v>10</v>
      </c>
      <c r="C943">
        <v>1200</v>
      </c>
      <c r="D943" t="s">
        <v>63</v>
      </c>
      <c r="E943" t="s">
        <v>1642</v>
      </c>
      <c r="F943" t="s">
        <v>1643</v>
      </c>
      <c r="G943" t="s">
        <v>1644</v>
      </c>
      <c r="H943" t="s">
        <v>1634</v>
      </c>
      <c r="I943" s="1">
        <v>39868.42291666667</v>
      </c>
      <c r="J943">
        <v>-26.118055600000002</v>
      </c>
      <c r="K943">
        <v>-49.801666699999998</v>
      </c>
    </row>
    <row r="944" spans="1:11" x14ac:dyDescent="0.45">
      <c r="A944" s="1">
        <v>39836.300694444442</v>
      </c>
      <c r="B944" t="s">
        <v>10</v>
      </c>
      <c r="C944">
        <v>1200</v>
      </c>
      <c r="D944" t="s">
        <v>11</v>
      </c>
      <c r="E944" t="s">
        <v>674</v>
      </c>
      <c r="F944" t="s">
        <v>1592</v>
      </c>
      <c r="G944" t="s">
        <v>1592</v>
      </c>
      <c r="H944" t="s">
        <v>1645</v>
      </c>
      <c r="I944" s="1">
        <v>39869.680555555555</v>
      </c>
      <c r="J944">
        <v>32.294166699999998</v>
      </c>
      <c r="K944">
        <v>-64.783888899999994</v>
      </c>
    </row>
    <row r="945" spans="1:11" x14ac:dyDescent="0.45">
      <c r="A945" s="1">
        <v>39824.595138888886</v>
      </c>
      <c r="B945" t="s">
        <v>10</v>
      </c>
      <c r="C945">
        <v>1200</v>
      </c>
      <c r="D945" t="s">
        <v>11</v>
      </c>
      <c r="E945" t="s">
        <v>540</v>
      </c>
      <c r="F945" t="s">
        <v>1646</v>
      </c>
      <c r="G945" t="s">
        <v>1647</v>
      </c>
      <c r="H945" t="s">
        <v>1648</v>
      </c>
      <c r="I945" s="1">
        <v>39824.568749999999</v>
      </c>
      <c r="J945">
        <v>50.8333333</v>
      </c>
      <c r="K945">
        <v>4.3333332999999996</v>
      </c>
    </row>
    <row r="946" spans="1:11" x14ac:dyDescent="0.45">
      <c r="A946" s="1">
        <v>39820.304861111108</v>
      </c>
      <c r="B946" t="s">
        <v>10</v>
      </c>
      <c r="C946">
        <v>1200</v>
      </c>
      <c r="D946" t="s">
        <v>63</v>
      </c>
      <c r="E946" t="s">
        <v>1649</v>
      </c>
      <c r="F946" t="s">
        <v>1650</v>
      </c>
      <c r="G946" t="s">
        <v>1647</v>
      </c>
      <c r="H946" t="s">
        <v>1648</v>
      </c>
      <c r="I946" s="1">
        <v>39829.370833333334</v>
      </c>
      <c r="J946">
        <v>50.8333333</v>
      </c>
      <c r="K946">
        <v>4.3333332999999996</v>
      </c>
    </row>
    <row r="947" spans="1:11" x14ac:dyDescent="0.45">
      <c r="A947" s="1">
        <v>39843.217361111114</v>
      </c>
      <c r="B947" t="s">
        <v>10</v>
      </c>
      <c r="C947">
        <v>1200</v>
      </c>
      <c r="D947" t="s">
        <v>11</v>
      </c>
      <c r="E947" t="s">
        <v>1651</v>
      </c>
      <c r="F947" t="s">
        <v>1652</v>
      </c>
      <c r="G947" t="s">
        <v>1652</v>
      </c>
      <c r="H947" t="s">
        <v>1648</v>
      </c>
      <c r="I947" s="1">
        <v>39846.239583333336</v>
      </c>
      <c r="J947">
        <v>51.216666699999998</v>
      </c>
      <c r="K947">
        <v>4.4166667000000004</v>
      </c>
    </row>
    <row r="948" spans="1:11" x14ac:dyDescent="0.45">
      <c r="A948" s="1">
        <v>39839.072222222225</v>
      </c>
      <c r="B948" t="s">
        <v>20</v>
      </c>
      <c r="C948">
        <v>200000</v>
      </c>
      <c r="D948" t="s">
        <v>11</v>
      </c>
      <c r="E948" t="s">
        <v>1653</v>
      </c>
      <c r="F948" t="s">
        <v>1646</v>
      </c>
      <c r="G948" t="s">
        <v>1647</v>
      </c>
      <c r="H948" t="s">
        <v>1648</v>
      </c>
      <c r="I948" s="1">
        <v>39852.61041666667</v>
      </c>
      <c r="J948">
        <v>50.8333333</v>
      </c>
      <c r="K948">
        <v>4.3333332999999996</v>
      </c>
    </row>
    <row r="949" spans="1:11" x14ac:dyDescent="0.45">
      <c r="A949" s="1">
        <v>39837.495833333334</v>
      </c>
      <c r="B949" t="s">
        <v>10</v>
      </c>
      <c r="C949">
        <v>1200</v>
      </c>
      <c r="D949" t="s">
        <v>11</v>
      </c>
      <c r="E949" t="s">
        <v>1654</v>
      </c>
      <c r="F949" t="s">
        <v>1650</v>
      </c>
      <c r="G949" t="s">
        <v>1647</v>
      </c>
      <c r="H949" t="s">
        <v>1648</v>
      </c>
      <c r="I949" s="1">
        <v>39857.277083333334</v>
      </c>
      <c r="J949">
        <v>50.8333333</v>
      </c>
      <c r="K949">
        <v>4.3333332999999996</v>
      </c>
    </row>
    <row r="950" spans="1:11" x14ac:dyDescent="0.45">
      <c r="A950" s="1">
        <v>39832.284722222219</v>
      </c>
      <c r="B950" t="s">
        <v>10</v>
      </c>
      <c r="C950">
        <v>1200</v>
      </c>
      <c r="D950" t="s">
        <v>63</v>
      </c>
      <c r="E950" t="s">
        <v>533</v>
      </c>
      <c r="F950" t="s">
        <v>1650</v>
      </c>
      <c r="G950" t="s">
        <v>1647</v>
      </c>
      <c r="H950" t="s">
        <v>1648</v>
      </c>
      <c r="I950" s="1">
        <v>39862.104166666664</v>
      </c>
      <c r="J950">
        <v>50.8333333</v>
      </c>
      <c r="K950">
        <v>4.3333332999999996</v>
      </c>
    </row>
    <row r="951" spans="1:11" x14ac:dyDescent="0.45">
      <c r="A951" s="1">
        <v>39819.588888888888</v>
      </c>
      <c r="B951" t="s">
        <v>10</v>
      </c>
      <c r="C951">
        <v>1200</v>
      </c>
      <c r="D951" t="s">
        <v>16</v>
      </c>
      <c r="E951" t="s">
        <v>454</v>
      </c>
      <c r="F951" t="s">
        <v>1646</v>
      </c>
      <c r="G951" t="s">
        <v>1647</v>
      </c>
      <c r="H951" t="s">
        <v>1648</v>
      </c>
      <c r="I951" s="1">
        <v>39865.450694444444</v>
      </c>
      <c r="J951">
        <v>50.8333333</v>
      </c>
      <c r="K951">
        <v>4.3333332999999996</v>
      </c>
    </row>
    <row r="952" spans="1:11" x14ac:dyDescent="0.45">
      <c r="A952" s="1">
        <v>39819.271527777775</v>
      </c>
      <c r="B952" t="s">
        <v>10</v>
      </c>
      <c r="C952">
        <v>1200</v>
      </c>
      <c r="D952" t="s">
        <v>11</v>
      </c>
      <c r="E952" t="s">
        <v>1655</v>
      </c>
      <c r="F952" t="s">
        <v>1656</v>
      </c>
      <c r="G952" t="s">
        <v>1657</v>
      </c>
      <c r="H952" t="s">
        <v>1648</v>
      </c>
      <c r="I952" s="1">
        <v>39868.355555555558</v>
      </c>
      <c r="J952">
        <v>50.466666699999998</v>
      </c>
      <c r="K952">
        <v>4.1833333000000001</v>
      </c>
    </row>
    <row r="953" spans="1:11" x14ac:dyDescent="0.45">
      <c r="A953" s="1">
        <v>39825.277777777781</v>
      </c>
      <c r="B953" t="s">
        <v>10</v>
      </c>
      <c r="C953">
        <v>1200</v>
      </c>
      <c r="D953" t="s">
        <v>11</v>
      </c>
      <c r="E953" t="s">
        <v>1658</v>
      </c>
      <c r="F953" t="s">
        <v>1659</v>
      </c>
      <c r="G953" t="s">
        <v>1660</v>
      </c>
      <c r="H953" t="s">
        <v>1661</v>
      </c>
      <c r="I953" s="1">
        <v>39828.198611111111</v>
      </c>
      <c r="J953">
        <v>26.217222199999998</v>
      </c>
      <c r="K953">
        <v>50.540555599999998</v>
      </c>
    </row>
    <row r="954" spans="1:11" x14ac:dyDescent="0.45">
      <c r="A954" s="1">
        <v>39829.07708333333</v>
      </c>
      <c r="B954" t="s">
        <v>10</v>
      </c>
      <c r="C954">
        <v>1200</v>
      </c>
      <c r="D954" t="s">
        <v>11</v>
      </c>
      <c r="E954" t="s">
        <v>88</v>
      </c>
      <c r="F954" t="s">
        <v>222</v>
      </c>
      <c r="G954" t="s">
        <v>222</v>
      </c>
      <c r="H954" t="s">
        <v>1662</v>
      </c>
      <c r="I954" s="1">
        <v>39837.23541666667</v>
      </c>
      <c r="J954">
        <v>48.2</v>
      </c>
      <c r="K954">
        <v>16.3666667</v>
      </c>
    </row>
    <row r="955" spans="1:11" x14ac:dyDescent="0.45">
      <c r="A955" s="1">
        <v>39837.347916666666</v>
      </c>
      <c r="B955" t="s">
        <v>10</v>
      </c>
      <c r="C955">
        <v>1200</v>
      </c>
      <c r="D955" t="s">
        <v>16</v>
      </c>
      <c r="E955" t="s">
        <v>1663</v>
      </c>
      <c r="F955" t="s">
        <v>1664</v>
      </c>
      <c r="G955" t="s">
        <v>222</v>
      </c>
      <c r="H955" t="s">
        <v>1662</v>
      </c>
      <c r="I955" s="1">
        <v>39838.598611111112</v>
      </c>
      <c r="J955">
        <v>48.25</v>
      </c>
      <c r="K955">
        <v>16.3</v>
      </c>
    </row>
    <row r="956" spans="1:11" x14ac:dyDescent="0.45">
      <c r="A956" s="1">
        <v>39837.350694444445</v>
      </c>
      <c r="B956" t="s">
        <v>10</v>
      </c>
      <c r="C956">
        <v>1200</v>
      </c>
      <c r="D956" t="s">
        <v>16</v>
      </c>
      <c r="E956" t="s">
        <v>1665</v>
      </c>
      <c r="F956" t="s">
        <v>1664</v>
      </c>
      <c r="G956" t="s">
        <v>222</v>
      </c>
      <c r="H956" t="s">
        <v>1662</v>
      </c>
      <c r="I956" s="1">
        <v>39838.598611111112</v>
      </c>
      <c r="J956">
        <v>48.25</v>
      </c>
      <c r="K956">
        <v>16.3</v>
      </c>
    </row>
    <row r="957" spans="1:11" x14ac:dyDescent="0.45">
      <c r="A957" s="1">
        <v>39819.215277777781</v>
      </c>
      <c r="B957" t="s">
        <v>10</v>
      </c>
      <c r="C957">
        <v>1200</v>
      </c>
      <c r="D957" t="s">
        <v>11</v>
      </c>
      <c r="E957" t="s">
        <v>914</v>
      </c>
      <c r="F957" t="s">
        <v>1666</v>
      </c>
      <c r="G957" t="s">
        <v>1667</v>
      </c>
      <c r="H957" t="s">
        <v>1662</v>
      </c>
      <c r="I957" s="1">
        <v>39850.025694444441</v>
      </c>
      <c r="J957">
        <v>48.15</v>
      </c>
      <c r="K957">
        <v>15.9166667</v>
      </c>
    </row>
    <row r="958" spans="1:11" x14ac:dyDescent="0.45">
      <c r="A958" s="1">
        <v>39834.606944444444</v>
      </c>
      <c r="B958" t="s">
        <v>10</v>
      </c>
      <c r="C958">
        <v>1200</v>
      </c>
      <c r="D958" t="s">
        <v>16</v>
      </c>
      <c r="E958" t="s">
        <v>1668</v>
      </c>
      <c r="F958" t="s">
        <v>1669</v>
      </c>
      <c r="G958" t="s">
        <v>1667</v>
      </c>
      <c r="H958" t="s">
        <v>1662</v>
      </c>
      <c r="I958" s="1">
        <v>39855.138194444444</v>
      </c>
      <c r="J958">
        <v>48.3</v>
      </c>
      <c r="K958">
        <v>16.316666699999999</v>
      </c>
    </row>
    <row r="959" spans="1:11" x14ac:dyDescent="0.45">
      <c r="A959" s="1">
        <v>39838.494444444441</v>
      </c>
      <c r="B959" t="s">
        <v>20</v>
      </c>
      <c r="C959">
        <v>200000</v>
      </c>
      <c r="D959" t="s">
        <v>16</v>
      </c>
      <c r="E959" t="s">
        <v>1354</v>
      </c>
      <c r="F959" t="s">
        <v>1670</v>
      </c>
      <c r="G959" t="s">
        <v>1671</v>
      </c>
      <c r="H959" t="s">
        <v>1662</v>
      </c>
      <c r="I959" s="1">
        <v>39871.234027777777</v>
      </c>
      <c r="J959">
        <v>47.65</v>
      </c>
      <c r="K959">
        <v>12.316666700000001</v>
      </c>
    </row>
    <row r="960" spans="1:11" x14ac:dyDescent="0.45">
      <c r="A960" s="1">
        <v>39818.557638888888</v>
      </c>
      <c r="B960" t="s">
        <v>10</v>
      </c>
      <c r="C960">
        <v>1200</v>
      </c>
      <c r="D960" t="s">
        <v>11</v>
      </c>
      <c r="E960" t="s">
        <v>1672</v>
      </c>
      <c r="F960" t="s">
        <v>1673</v>
      </c>
      <c r="G960" t="s">
        <v>222</v>
      </c>
      <c r="H960" t="s">
        <v>1662</v>
      </c>
      <c r="I960" s="1">
        <v>39873.102777777778</v>
      </c>
      <c r="J960">
        <v>48.216666699999998</v>
      </c>
      <c r="K960">
        <v>16.3666667</v>
      </c>
    </row>
    <row r="961" spans="1:11" x14ac:dyDescent="0.45">
      <c r="A961" s="1">
        <v>39816.613888888889</v>
      </c>
      <c r="B961" t="s">
        <v>10</v>
      </c>
      <c r="C961">
        <v>1200</v>
      </c>
      <c r="D961" t="s">
        <v>11</v>
      </c>
      <c r="E961" t="s">
        <v>1674</v>
      </c>
      <c r="F961" t="s">
        <v>1675</v>
      </c>
      <c r="G961" t="s">
        <v>1676</v>
      </c>
      <c r="H961" t="s">
        <v>1677</v>
      </c>
      <c r="I961" s="1">
        <v>39816.598611111112</v>
      </c>
      <c r="J961">
        <v>-36.133333299999997</v>
      </c>
      <c r="K961">
        <v>144.75</v>
      </c>
    </row>
    <row r="962" spans="1:11" x14ac:dyDescent="0.45">
      <c r="A962" s="1">
        <v>39818.833333333336</v>
      </c>
      <c r="B962" t="s">
        <v>20</v>
      </c>
      <c r="C962">
        <v>200000</v>
      </c>
      <c r="D962" t="s">
        <v>11</v>
      </c>
      <c r="E962" t="s">
        <v>1446</v>
      </c>
      <c r="F962" t="s">
        <v>1678</v>
      </c>
      <c r="G962" t="s">
        <v>1679</v>
      </c>
      <c r="H962" t="s">
        <v>1677</v>
      </c>
      <c r="I962" s="1">
        <v>39821.748611111114</v>
      </c>
      <c r="J962">
        <v>-27.1666667</v>
      </c>
      <c r="K962">
        <v>152.94999999999999</v>
      </c>
    </row>
    <row r="963" spans="1:11" x14ac:dyDescent="0.45">
      <c r="A963" s="1">
        <v>39819.055555555555</v>
      </c>
      <c r="B963" t="s">
        <v>10</v>
      </c>
      <c r="C963">
        <v>1200</v>
      </c>
      <c r="D963" t="s">
        <v>16</v>
      </c>
      <c r="E963" t="s">
        <v>216</v>
      </c>
      <c r="F963" t="s">
        <v>1680</v>
      </c>
      <c r="G963" t="s">
        <v>1676</v>
      </c>
      <c r="H963" t="s">
        <v>1677</v>
      </c>
      <c r="I963" s="1">
        <v>39823.768750000003</v>
      </c>
      <c r="J963">
        <v>-37.816666699999999</v>
      </c>
      <c r="K963">
        <v>144.96666669999999</v>
      </c>
    </row>
    <row r="964" spans="1:11" x14ac:dyDescent="0.45">
      <c r="A964" s="1">
        <v>39824.086111111108</v>
      </c>
      <c r="B964" t="s">
        <v>10</v>
      </c>
      <c r="C964">
        <v>1200</v>
      </c>
      <c r="D964" t="s">
        <v>11</v>
      </c>
      <c r="E964" t="s">
        <v>819</v>
      </c>
      <c r="F964" t="s">
        <v>1681</v>
      </c>
      <c r="G964" t="s">
        <v>1679</v>
      </c>
      <c r="H964" t="s">
        <v>1677</v>
      </c>
      <c r="I964" s="1">
        <v>39824.09097222222</v>
      </c>
      <c r="J964">
        <v>-28</v>
      </c>
      <c r="K964">
        <v>153.43333329999999</v>
      </c>
    </row>
    <row r="965" spans="1:11" x14ac:dyDescent="0.45">
      <c r="A965" s="1">
        <v>39825.067361111112</v>
      </c>
      <c r="B965" t="s">
        <v>10</v>
      </c>
      <c r="C965">
        <v>1200</v>
      </c>
      <c r="D965" t="s">
        <v>11</v>
      </c>
      <c r="E965" t="s">
        <v>1682</v>
      </c>
      <c r="F965" t="s">
        <v>1683</v>
      </c>
      <c r="G965" t="s">
        <v>1679</v>
      </c>
      <c r="H965" t="s">
        <v>1677</v>
      </c>
      <c r="I965" s="1">
        <v>39828.745833333334</v>
      </c>
      <c r="J965">
        <v>-27.5</v>
      </c>
      <c r="K965">
        <v>153.0166667</v>
      </c>
    </row>
    <row r="966" spans="1:11" x14ac:dyDescent="0.45">
      <c r="A966" s="1">
        <v>39817.068055555559</v>
      </c>
      <c r="B966" t="s">
        <v>10</v>
      </c>
      <c r="C966">
        <v>1200</v>
      </c>
      <c r="D966" t="s">
        <v>63</v>
      </c>
      <c r="E966" t="s">
        <v>1684</v>
      </c>
      <c r="F966" t="s">
        <v>1685</v>
      </c>
      <c r="G966" t="s">
        <v>1686</v>
      </c>
      <c r="H966" t="s">
        <v>1677</v>
      </c>
      <c r="I966" s="1">
        <v>39833.047222222223</v>
      </c>
      <c r="J966">
        <v>-32.950000000000003</v>
      </c>
      <c r="K966">
        <v>151.66666670000001</v>
      </c>
    </row>
    <row r="967" spans="1:11" x14ac:dyDescent="0.45">
      <c r="A967" s="1">
        <v>39833.160416666666</v>
      </c>
      <c r="B967" t="s">
        <v>10</v>
      </c>
      <c r="C967">
        <v>1200</v>
      </c>
      <c r="D967" t="s">
        <v>11</v>
      </c>
      <c r="E967" t="s">
        <v>674</v>
      </c>
      <c r="F967" t="s">
        <v>1687</v>
      </c>
      <c r="G967" t="s">
        <v>1679</v>
      </c>
      <c r="H967" t="s">
        <v>1677</v>
      </c>
      <c r="I967" s="1">
        <v>39833.549305555556</v>
      </c>
      <c r="J967">
        <v>-24.816666699999999</v>
      </c>
      <c r="K967">
        <v>152.41666670000001</v>
      </c>
    </row>
    <row r="968" spans="1:11" x14ac:dyDescent="0.45">
      <c r="A968" s="1">
        <v>39822.618750000001</v>
      </c>
      <c r="B968" t="s">
        <v>10</v>
      </c>
      <c r="C968">
        <v>1200</v>
      </c>
      <c r="D968" t="s">
        <v>11</v>
      </c>
      <c r="E968" t="s">
        <v>1688</v>
      </c>
      <c r="F968" t="s">
        <v>1689</v>
      </c>
      <c r="G968" t="s">
        <v>1686</v>
      </c>
      <c r="H968" t="s">
        <v>1677</v>
      </c>
      <c r="I968" s="1">
        <v>39834.020138888889</v>
      </c>
      <c r="J968">
        <v>-33.883333299999997</v>
      </c>
      <c r="K968">
        <v>151.21666669999999</v>
      </c>
    </row>
    <row r="969" spans="1:11" x14ac:dyDescent="0.45">
      <c r="A969" s="1">
        <v>39829.775000000001</v>
      </c>
      <c r="B969" t="s">
        <v>10</v>
      </c>
      <c r="C969">
        <v>1200</v>
      </c>
      <c r="D969" t="s">
        <v>11</v>
      </c>
      <c r="E969" t="s">
        <v>674</v>
      </c>
      <c r="F969" t="s">
        <v>1690</v>
      </c>
      <c r="G969" t="s">
        <v>1686</v>
      </c>
      <c r="H969" t="s">
        <v>1677</v>
      </c>
      <c r="I969" s="1">
        <v>39834.075694444444</v>
      </c>
      <c r="J969">
        <v>-34.433333300000001</v>
      </c>
      <c r="K969">
        <v>150.8833333</v>
      </c>
    </row>
    <row r="970" spans="1:11" x14ac:dyDescent="0.45">
      <c r="A970" s="1">
        <v>39815.102777777778</v>
      </c>
      <c r="B970" t="s">
        <v>10</v>
      </c>
      <c r="C970">
        <v>1200</v>
      </c>
      <c r="D970" t="s">
        <v>16</v>
      </c>
      <c r="E970" t="s">
        <v>1691</v>
      </c>
      <c r="F970" t="s">
        <v>1692</v>
      </c>
      <c r="G970" t="s">
        <v>1679</v>
      </c>
      <c r="H970" t="s">
        <v>1677</v>
      </c>
      <c r="I970" s="1">
        <v>39834.692361111112</v>
      </c>
      <c r="J970">
        <v>-27.8833333</v>
      </c>
      <c r="K970">
        <v>153.30000000000001</v>
      </c>
    </row>
    <row r="971" spans="1:11" x14ac:dyDescent="0.45">
      <c r="A971" s="1">
        <v>39824.931944444441</v>
      </c>
      <c r="B971" t="s">
        <v>20</v>
      </c>
      <c r="C971">
        <v>200000</v>
      </c>
      <c r="D971" t="s">
        <v>11</v>
      </c>
      <c r="E971" t="s">
        <v>1693</v>
      </c>
      <c r="F971" t="s">
        <v>1694</v>
      </c>
      <c r="G971" t="s">
        <v>1686</v>
      </c>
      <c r="H971" t="s">
        <v>1677</v>
      </c>
      <c r="I971" s="1">
        <v>39834.939583333333</v>
      </c>
      <c r="J971">
        <v>-33.6666667</v>
      </c>
      <c r="K971">
        <v>151.30000000000001</v>
      </c>
    </row>
    <row r="972" spans="1:11" x14ac:dyDescent="0.45">
      <c r="A972" s="1">
        <v>39820.418749999997</v>
      </c>
      <c r="B972" t="s">
        <v>10</v>
      </c>
      <c r="C972">
        <v>1200</v>
      </c>
      <c r="D972" t="s">
        <v>16</v>
      </c>
      <c r="E972" t="s">
        <v>1695</v>
      </c>
      <c r="F972" t="s">
        <v>1689</v>
      </c>
      <c r="G972" t="s">
        <v>1686</v>
      </c>
      <c r="H972" t="s">
        <v>1677</v>
      </c>
      <c r="I972" s="1">
        <v>39840.845833333333</v>
      </c>
      <c r="J972">
        <v>-33.883333299999997</v>
      </c>
      <c r="K972">
        <v>151.21666669999999</v>
      </c>
    </row>
    <row r="973" spans="1:11" x14ac:dyDescent="0.45">
      <c r="A973" s="1">
        <v>39831.156944444447</v>
      </c>
      <c r="B973" t="s">
        <v>10</v>
      </c>
      <c r="C973">
        <v>1200</v>
      </c>
      <c r="D973" t="s">
        <v>11</v>
      </c>
      <c r="E973" t="s">
        <v>403</v>
      </c>
      <c r="F973" t="s">
        <v>1696</v>
      </c>
      <c r="G973" t="s">
        <v>1679</v>
      </c>
      <c r="H973" t="s">
        <v>1677</v>
      </c>
      <c r="I973" s="1">
        <v>39840.994444444441</v>
      </c>
      <c r="J973">
        <v>-27.983333300000002</v>
      </c>
      <c r="K973">
        <v>153.33333329999999</v>
      </c>
    </row>
    <row r="974" spans="1:11" x14ac:dyDescent="0.45">
      <c r="A974" s="1">
        <v>39814.339583333334</v>
      </c>
      <c r="B974" t="s">
        <v>10</v>
      </c>
      <c r="C974">
        <v>1200</v>
      </c>
      <c r="D974" t="s">
        <v>16</v>
      </c>
      <c r="E974" t="s">
        <v>81</v>
      </c>
      <c r="F974" t="s">
        <v>1697</v>
      </c>
      <c r="G974" t="s">
        <v>1676</v>
      </c>
      <c r="H974" t="s">
        <v>1677</v>
      </c>
      <c r="I974" s="1">
        <v>39844.236111111109</v>
      </c>
      <c r="J974">
        <v>-37.8333333</v>
      </c>
      <c r="K974">
        <v>144.96666669999999</v>
      </c>
    </row>
    <row r="975" spans="1:11" x14ac:dyDescent="0.45">
      <c r="A975" s="1">
        <v>39843.731249999997</v>
      </c>
      <c r="B975" t="s">
        <v>10</v>
      </c>
      <c r="C975">
        <v>1200</v>
      </c>
      <c r="D975" t="s">
        <v>11</v>
      </c>
      <c r="E975" t="s">
        <v>1698</v>
      </c>
      <c r="F975" t="s">
        <v>550</v>
      </c>
      <c r="G975" t="s">
        <v>1679</v>
      </c>
      <c r="H975" t="s">
        <v>1677</v>
      </c>
      <c r="I975" s="1">
        <v>39846.259027777778</v>
      </c>
      <c r="J975">
        <v>-28.233333300000002</v>
      </c>
      <c r="K975">
        <v>152.0166667</v>
      </c>
    </row>
    <row r="976" spans="1:11" x14ac:dyDescent="0.45">
      <c r="A976" s="1">
        <v>39817.707638888889</v>
      </c>
      <c r="B976" t="s">
        <v>10</v>
      </c>
      <c r="C976">
        <v>1200</v>
      </c>
      <c r="D976" t="s">
        <v>11</v>
      </c>
      <c r="E976" t="s">
        <v>143</v>
      </c>
      <c r="F976" t="s">
        <v>1699</v>
      </c>
      <c r="G976" t="s">
        <v>1686</v>
      </c>
      <c r="H976" t="s">
        <v>1677</v>
      </c>
      <c r="I976" s="1">
        <v>39849.947222222225</v>
      </c>
      <c r="J976">
        <v>-33.816666699999999</v>
      </c>
      <c r="K976">
        <v>151</v>
      </c>
    </row>
    <row r="977" spans="1:11" x14ac:dyDescent="0.45">
      <c r="A977" s="1">
        <v>39815.947222222225</v>
      </c>
      <c r="B977" t="s">
        <v>20</v>
      </c>
      <c r="C977">
        <v>200000</v>
      </c>
      <c r="D977" t="s">
        <v>11</v>
      </c>
      <c r="E977" t="s">
        <v>1700</v>
      </c>
      <c r="F977" t="s">
        <v>1701</v>
      </c>
      <c r="G977" t="s">
        <v>1676</v>
      </c>
      <c r="H977" t="s">
        <v>1677</v>
      </c>
      <c r="I977" s="1">
        <v>39850.835416666669</v>
      </c>
      <c r="J977">
        <v>-37.483333299999998</v>
      </c>
      <c r="K977">
        <v>144.58333329999999</v>
      </c>
    </row>
    <row r="978" spans="1:11" x14ac:dyDescent="0.45">
      <c r="A978" s="1">
        <v>39839.845833333333</v>
      </c>
      <c r="B978" t="s">
        <v>10</v>
      </c>
      <c r="C978">
        <v>1200</v>
      </c>
      <c r="D978" t="s">
        <v>16</v>
      </c>
      <c r="E978" t="s">
        <v>606</v>
      </c>
      <c r="F978" t="s">
        <v>1702</v>
      </c>
      <c r="G978" t="s">
        <v>1686</v>
      </c>
      <c r="H978" t="s">
        <v>1677</v>
      </c>
      <c r="I978" s="1">
        <v>39851.75277777778</v>
      </c>
      <c r="J978">
        <v>-34.283333300000002</v>
      </c>
      <c r="K978">
        <v>146.03333330000001</v>
      </c>
    </row>
    <row r="979" spans="1:11" x14ac:dyDescent="0.45">
      <c r="A979" s="1">
        <v>39821.986111111109</v>
      </c>
      <c r="B979" t="s">
        <v>10</v>
      </c>
      <c r="C979">
        <v>1200</v>
      </c>
      <c r="D979" t="s">
        <v>11</v>
      </c>
      <c r="E979" t="s">
        <v>282</v>
      </c>
      <c r="F979" t="s">
        <v>1703</v>
      </c>
      <c r="G979" t="s">
        <v>1686</v>
      </c>
      <c r="H979" t="s">
        <v>1677</v>
      </c>
      <c r="I979" s="1">
        <v>39853.771527777775</v>
      </c>
      <c r="J979">
        <v>-33.783333300000002</v>
      </c>
      <c r="K979">
        <v>151.16666670000001</v>
      </c>
    </row>
    <row r="980" spans="1:11" x14ac:dyDescent="0.45">
      <c r="A980" s="1">
        <v>39837.770833333336</v>
      </c>
      <c r="B980" t="s">
        <v>10</v>
      </c>
      <c r="C980">
        <v>1200</v>
      </c>
      <c r="D980" t="s">
        <v>11</v>
      </c>
      <c r="E980" t="s">
        <v>1704</v>
      </c>
      <c r="F980" t="s">
        <v>1680</v>
      </c>
      <c r="G980" t="s">
        <v>1676</v>
      </c>
      <c r="H980" t="s">
        <v>1677</v>
      </c>
      <c r="I980" s="1">
        <v>39854.091666666667</v>
      </c>
      <c r="J980">
        <v>-37.816666699999999</v>
      </c>
      <c r="K980">
        <v>144.96666669999999</v>
      </c>
    </row>
    <row r="981" spans="1:11" x14ac:dyDescent="0.45">
      <c r="A981" s="1">
        <v>39827.274305555555</v>
      </c>
      <c r="B981" t="s">
        <v>10</v>
      </c>
      <c r="C981">
        <v>1200</v>
      </c>
      <c r="D981" t="s">
        <v>11</v>
      </c>
      <c r="E981" t="s">
        <v>290</v>
      </c>
      <c r="F981" t="s">
        <v>1680</v>
      </c>
      <c r="G981" t="s">
        <v>1676</v>
      </c>
      <c r="H981" t="s">
        <v>1677</v>
      </c>
      <c r="I981" s="1">
        <v>39855.086805555555</v>
      </c>
      <c r="J981">
        <v>-37.816666699999999</v>
      </c>
      <c r="K981">
        <v>144.96666669999999</v>
      </c>
    </row>
    <row r="982" spans="1:11" x14ac:dyDescent="0.45">
      <c r="A982" s="1">
        <v>39844.964583333334</v>
      </c>
      <c r="B982" t="s">
        <v>10</v>
      </c>
      <c r="C982">
        <v>1200</v>
      </c>
      <c r="D982" t="s">
        <v>63</v>
      </c>
      <c r="E982" t="s">
        <v>1705</v>
      </c>
      <c r="F982" t="s">
        <v>1706</v>
      </c>
      <c r="G982" t="s">
        <v>1686</v>
      </c>
      <c r="H982" t="s">
        <v>1677</v>
      </c>
      <c r="I982" s="1">
        <v>39855.131249999999</v>
      </c>
      <c r="J982">
        <v>-33.866666700000003</v>
      </c>
      <c r="K982">
        <v>151.28333330000001</v>
      </c>
    </row>
    <row r="983" spans="1:11" x14ac:dyDescent="0.45">
      <c r="A983" s="1">
        <v>39837.142361111109</v>
      </c>
      <c r="B983" t="s">
        <v>10</v>
      </c>
      <c r="C983">
        <v>1200</v>
      </c>
      <c r="D983" t="s">
        <v>11</v>
      </c>
      <c r="E983" t="s">
        <v>959</v>
      </c>
      <c r="F983" t="s">
        <v>1707</v>
      </c>
      <c r="G983" t="s">
        <v>1708</v>
      </c>
      <c r="H983" t="s">
        <v>1677</v>
      </c>
      <c r="I983" s="1">
        <v>39855.628472222219</v>
      </c>
      <c r="J983">
        <v>-34.616666700000003</v>
      </c>
      <c r="K983">
        <v>138.8833333</v>
      </c>
    </row>
    <row r="984" spans="1:11" x14ac:dyDescent="0.45">
      <c r="A984" s="1">
        <v>39825.982638888891</v>
      </c>
      <c r="B984" t="s">
        <v>10</v>
      </c>
      <c r="C984">
        <v>1200</v>
      </c>
      <c r="D984" t="s">
        <v>11</v>
      </c>
      <c r="E984" t="s">
        <v>50</v>
      </c>
      <c r="F984" t="s">
        <v>886</v>
      </c>
      <c r="G984" t="s">
        <v>1709</v>
      </c>
      <c r="H984" t="s">
        <v>1677</v>
      </c>
      <c r="I984" s="1">
        <v>39856.156944444447</v>
      </c>
      <c r="J984">
        <v>-31.933333300000001</v>
      </c>
      <c r="K984">
        <v>115.83333330000001</v>
      </c>
    </row>
    <row r="985" spans="1:11" x14ac:dyDescent="0.45">
      <c r="A985" s="1">
        <v>39814.902777777781</v>
      </c>
      <c r="B985" t="s">
        <v>10</v>
      </c>
      <c r="C985">
        <v>1200</v>
      </c>
      <c r="D985" t="s">
        <v>16</v>
      </c>
      <c r="E985" t="s">
        <v>1572</v>
      </c>
      <c r="F985" t="s">
        <v>1710</v>
      </c>
      <c r="G985" t="s">
        <v>1676</v>
      </c>
      <c r="H985" t="s">
        <v>1677</v>
      </c>
      <c r="I985" s="1">
        <v>39856.623611111114</v>
      </c>
      <c r="J985">
        <v>-38.4166667</v>
      </c>
      <c r="K985">
        <v>144.16666670000001</v>
      </c>
    </row>
    <row r="986" spans="1:11" x14ac:dyDescent="0.45">
      <c r="A986" s="1">
        <v>39835.605555555558</v>
      </c>
      <c r="B986" t="s">
        <v>10</v>
      </c>
      <c r="C986">
        <v>1200</v>
      </c>
      <c r="D986" t="s">
        <v>11</v>
      </c>
      <c r="E986" t="s">
        <v>760</v>
      </c>
      <c r="F986" t="s">
        <v>1711</v>
      </c>
      <c r="G986" t="s">
        <v>1709</v>
      </c>
      <c r="H986" t="s">
        <v>1677</v>
      </c>
      <c r="I986" s="1">
        <v>39857.159722222219</v>
      </c>
      <c r="J986">
        <v>-31.933333300000001</v>
      </c>
      <c r="K986">
        <v>115.83333330000001</v>
      </c>
    </row>
    <row r="987" spans="1:11" x14ac:dyDescent="0.45">
      <c r="A987" s="1">
        <v>39836.218055555553</v>
      </c>
      <c r="B987" t="s">
        <v>10</v>
      </c>
      <c r="C987">
        <v>1200</v>
      </c>
      <c r="D987" t="s">
        <v>11</v>
      </c>
      <c r="E987" t="s">
        <v>1712</v>
      </c>
      <c r="F987" t="s">
        <v>1680</v>
      </c>
      <c r="G987" t="s">
        <v>1676</v>
      </c>
      <c r="H987" t="s">
        <v>1677</v>
      </c>
      <c r="I987" s="1">
        <v>39857.644444444442</v>
      </c>
      <c r="J987">
        <v>-37.816666699999999</v>
      </c>
      <c r="K987">
        <v>144.96666669999999</v>
      </c>
    </row>
    <row r="988" spans="1:11" x14ac:dyDescent="0.45">
      <c r="A988" s="1">
        <v>39816.595138888886</v>
      </c>
      <c r="B988" t="s">
        <v>20</v>
      </c>
      <c r="C988">
        <v>200000</v>
      </c>
      <c r="D988" t="s">
        <v>11</v>
      </c>
      <c r="E988" t="s">
        <v>1713</v>
      </c>
      <c r="F988" t="s">
        <v>1714</v>
      </c>
      <c r="G988" t="s">
        <v>1715</v>
      </c>
      <c r="H988" t="s">
        <v>1677</v>
      </c>
      <c r="I988" s="1">
        <v>39858.84097222222</v>
      </c>
      <c r="J988">
        <v>-41.465000000000003</v>
      </c>
      <c r="K988">
        <v>148.2572222</v>
      </c>
    </row>
    <row r="989" spans="1:11" x14ac:dyDescent="0.45">
      <c r="A989" s="1">
        <v>39817.731944444444</v>
      </c>
      <c r="B989" t="s">
        <v>10</v>
      </c>
      <c r="C989">
        <v>1200</v>
      </c>
      <c r="D989" t="s">
        <v>16</v>
      </c>
      <c r="E989" t="s">
        <v>1716</v>
      </c>
      <c r="F989" t="s">
        <v>1717</v>
      </c>
      <c r="G989" t="s">
        <v>1709</v>
      </c>
      <c r="H989" t="s">
        <v>1677</v>
      </c>
      <c r="I989" s="1">
        <v>39859.093055555553</v>
      </c>
      <c r="J989">
        <v>-32.283333300000002</v>
      </c>
      <c r="K989">
        <v>115.7166667</v>
      </c>
    </row>
    <row r="990" spans="1:11" x14ac:dyDescent="0.45">
      <c r="A990" s="1">
        <v>39832.077777777777</v>
      </c>
      <c r="B990" t="s">
        <v>10</v>
      </c>
      <c r="C990">
        <v>1200</v>
      </c>
      <c r="D990" t="s">
        <v>63</v>
      </c>
      <c r="E990" t="s">
        <v>1718</v>
      </c>
      <c r="F990" t="s">
        <v>1680</v>
      </c>
      <c r="G990" t="s">
        <v>1676</v>
      </c>
      <c r="H990" t="s">
        <v>1677</v>
      </c>
      <c r="I990" s="1">
        <v>39861.055555555555</v>
      </c>
      <c r="J990">
        <v>-37.816666699999999</v>
      </c>
      <c r="K990">
        <v>144.96666669999999</v>
      </c>
    </row>
    <row r="991" spans="1:11" x14ac:dyDescent="0.45">
      <c r="A991" s="1">
        <v>39827.002083333333</v>
      </c>
      <c r="B991" t="s">
        <v>20</v>
      </c>
      <c r="C991">
        <v>200000</v>
      </c>
      <c r="D991" t="s">
        <v>16</v>
      </c>
      <c r="E991" t="s">
        <v>1719</v>
      </c>
      <c r="F991" t="s">
        <v>1720</v>
      </c>
      <c r="G991" t="s">
        <v>1709</v>
      </c>
      <c r="H991" t="s">
        <v>1677</v>
      </c>
      <c r="I991" s="1">
        <v>39861.813194444447</v>
      </c>
      <c r="J991">
        <v>-33.3333333</v>
      </c>
      <c r="K991">
        <v>115.6333333</v>
      </c>
    </row>
    <row r="992" spans="1:11" x14ac:dyDescent="0.45">
      <c r="A992" s="1">
        <v>39833.57916666667</v>
      </c>
      <c r="B992" t="s">
        <v>10</v>
      </c>
      <c r="C992">
        <v>1200</v>
      </c>
      <c r="D992" t="s">
        <v>16</v>
      </c>
      <c r="E992" t="s">
        <v>690</v>
      </c>
      <c r="F992" t="s">
        <v>1721</v>
      </c>
      <c r="G992" t="s">
        <v>1679</v>
      </c>
      <c r="H992" t="s">
        <v>1677</v>
      </c>
      <c r="I992" s="1">
        <v>39862.963194444441</v>
      </c>
      <c r="J992">
        <v>-27.483333300000002</v>
      </c>
      <c r="K992">
        <v>153.21666669999999</v>
      </c>
    </row>
    <row r="993" spans="1:11" x14ac:dyDescent="0.45">
      <c r="A993" s="1">
        <v>39836.899305555555</v>
      </c>
      <c r="B993" t="s">
        <v>10</v>
      </c>
      <c r="C993">
        <v>1200</v>
      </c>
      <c r="D993" t="s">
        <v>11</v>
      </c>
      <c r="E993" t="s">
        <v>313</v>
      </c>
      <c r="F993" t="s">
        <v>1683</v>
      </c>
      <c r="G993" t="s">
        <v>1679</v>
      </c>
      <c r="H993" t="s">
        <v>1677</v>
      </c>
      <c r="I993" s="1">
        <v>39862.966666666667</v>
      </c>
      <c r="J993">
        <v>-27.5</v>
      </c>
      <c r="K993">
        <v>153.0166667</v>
      </c>
    </row>
    <row r="994" spans="1:11" x14ac:dyDescent="0.45">
      <c r="A994" s="1">
        <v>39819.111805555556</v>
      </c>
      <c r="B994" t="s">
        <v>10</v>
      </c>
      <c r="C994">
        <v>1200</v>
      </c>
      <c r="D994" t="s">
        <v>11</v>
      </c>
      <c r="E994" t="s">
        <v>1722</v>
      </c>
      <c r="F994" t="s">
        <v>886</v>
      </c>
      <c r="G994" t="s">
        <v>1709</v>
      </c>
      <c r="H994" t="s">
        <v>1677</v>
      </c>
      <c r="I994" s="1">
        <v>39868.669444444444</v>
      </c>
      <c r="J994">
        <v>-31.933333300000001</v>
      </c>
      <c r="K994">
        <v>115.83333330000001</v>
      </c>
    </row>
    <row r="995" spans="1:11" x14ac:dyDescent="0.45">
      <c r="A995" s="1">
        <v>39815.724999999999</v>
      </c>
      <c r="B995" t="s">
        <v>20</v>
      </c>
      <c r="C995">
        <v>200000</v>
      </c>
      <c r="D995" t="s">
        <v>63</v>
      </c>
      <c r="E995" t="s">
        <v>1723</v>
      </c>
      <c r="F995" t="s">
        <v>886</v>
      </c>
      <c r="G995" t="s">
        <v>1709</v>
      </c>
      <c r="H995" t="s">
        <v>1677</v>
      </c>
      <c r="I995" s="1">
        <v>39871.779861111114</v>
      </c>
      <c r="J995">
        <v>-31.933333300000001</v>
      </c>
      <c r="K995">
        <v>115.83333330000001</v>
      </c>
    </row>
    <row r="996" spans="1:11" x14ac:dyDescent="0.45">
      <c r="A996" s="1">
        <v>39817.789583333331</v>
      </c>
      <c r="B996" t="s">
        <v>10</v>
      </c>
      <c r="C996">
        <v>1200</v>
      </c>
      <c r="D996" t="s">
        <v>16</v>
      </c>
      <c r="E996" t="s">
        <v>1724</v>
      </c>
      <c r="F996" t="s">
        <v>1725</v>
      </c>
      <c r="G996" t="s">
        <v>1679</v>
      </c>
      <c r="H996" t="s">
        <v>1677</v>
      </c>
      <c r="I996" s="1">
        <v>39872.583333333336</v>
      </c>
      <c r="J996">
        <v>-28.05</v>
      </c>
      <c r="K996">
        <v>153.35</v>
      </c>
    </row>
    <row r="997" spans="1:11" x14ac:dyDescent="0.45">
      <c r="A997" s="1">
        <v>39836.529166666667</v>
      </c>
      <c r="B997" t="s">
        <v>20</v>
      </c>
      <c r="C997">
        <v>200000</v>
      </c>
      <c r="D997" t="s">
        <v>16</v>
      </c>
      <c r="E997" t="s">
        <v>1726</v>
      </c>
      <c r="F997" t="s">
        <v>1727</v>
      </c>
      <c r="G997" t="s">
        <v>1686</v>
      </c>
      <c r="H997" t="s">
        <v>1677</v>
      </c>
      <c r="I997" s="1">
        <v>39872.93472222222</v>
      </c>
      <c r="J997">
        <v>-33.633333299999997</v>
      </c>
      <c r="K997">
        <v>151.33333329999999</v>
      </c>
    </row>
    <row r="998" spans="1:11" x14ac:dyDescent="0.45">
      <c r="A998" s="1">
        <v>39820.824999999997</v>
      </c>
      <c r="B998" t="s">
        <v>20</v>
      </c>
      <c r="C998">
        <v>200000</v>
      </c>
      <c r="D998" t="s">
        <v>16</v>
      </c>
      <c r="E998" t="s">
        <v>1728</v>
      </c>
      <c r="F998" t="s">
        <v>1689</v>
      </c>
      <c r="G998" t="s">
        <v>1686</v>
      </c>
      <c r="H998" t="s">
        <v>1677</v>
      </c>
      <c r="I998" s="1">
        <v>39873.009722222225</v>
      </c>
      <c r="J998">
        <v>-33.883333299999997</v>
      </c>
      <c r="K998">
        <v>151.21666669999999</v>
      </c>
    </row>
    <row r="999" spans="1:11" x14ac:dyDescent="0.45">
      <c r="A999" s="1">
        <v>39838.247916666667</v>
      </c>
      <c r="B999" t="s">
        <v>10</v>
      </c>
      <c r="C999">
        <v>1200</v>
      </c>
      <c r="D999" t="s">
        <v>63</v>
      </c>
      <c r="E999" t="s">
        <v>1729</v>
      </c>
      <c r="F999" t="s">
        <v>1730</v>
      </c>
      <c r="G999" t="s">
        <v>1731</v>
      </c>
      <c r="H999" t="s">
        <v>1732</v>
      </c>
      <c r="I999" s="1">
        <v>39854.276388888888</v>
      </c>
      <c r="J999">
        <v>-37.15</v>
      </c>
      <c r="K999">
        <v>-58.483333299999998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86A90-894E-4423-AF8C-9305E8175D2D}">
  <dimension ref="A1:K999"/>
  <sheetViews>
    <sheetView zoomScale="52" zoomScaleNormal="145" workbookViewId="0">
      <selection activeCell="G16" sqref="G16"/>
    </sheetView>
  </sheetViews>
  <sheetFormatPr defaultRowHeight="14.25" x14ac:dyDescent="0.45"/>
  <cols>
    <col min="1" max="1" width="18" bestFit="1" customWidth="1"/>
    <col min="2" max="2" width="19.86328125" bestFit="1" customWidth="1"/>
    <col min="3" max="3" width="13.1328125" bestFit="1" customWidth="1"/>
    <col min="4" max="4" width="10.1328125" bestFit="1" customWidth="1"/>
    <col min="5" max="5" width="7.86328125" bestFit="1" customWidth="1"/>
    <col min="6" max="6" width="16.59765625" bestFit="1" customWidth="1"/>
    <col min="7" max="7" width="20.86328125" bestFit="1" customWidth="1"/>
    <col min="8" max="8" width="30.86328125" customWidth="1"/>
    <col min="9" max="9" width="20" bestFit="1" customWidth="1"/>
    <col min="10" max="10" width="12.59765625" bestFit="1" customWidth="1"/>
    <col min="11" max="11" width="12.59765625" style="5" bestFit="1" customWidth="1"/>
    <col min="12" max="13" width="20" bestFit="1" customWidth="1"/>
  </cols>
  <sheetData>
    <row r="1" spans="1:11" x14ac:dyDescent="0.45">
      <c r="A1" t="s">
        <v>1733</v>
      </c>
      <c r="B1" t="s">
        <v>1736</v>
      </c>
      <c r="C1" t="s">
        <v>1743</v>
      </c>
      <c r="D1" t="s">
        <v>1</v>
      </c>
      <c r="E1" t="s">
        <v>1734</v>
      </c>
      <c r="F1" t="s">
        <v>2</v>
      </c>
      <c r="G1" t="s">
        <v>1735</v>
      </c>
      <c r="H1" t="s">
        <v>3</v>
      </c>
      <c r="I1" t="s">
        <v>5</v>
      </c>
      <c r="J1" s="5" t="s">
        <v>1742</v>
      </c>
      <c r="K1"/>
    </row>
    <row r="2" spans="1:11" x14ac:dyDescent="0.45">
      <c r="A2" s="3">
        <v>39815</v>
      </c>
      <c r="B2" s="2">
        <v>0.20347222222222222</v>
      </c>
      <c r="C2" t="s">
        <v>1737</v>
      </c>
      <c r="D2" t="s">
        <v>10</v>
      </c>
      <c r="E2">
        <v>1200</v>
      </c>
      <c r="F2" t="s">
        <v>11</v>
      </c>
      <c r="G2" t="s">
        <v>12</v>
      </c>
      <c r="H2" t="s">
        <v>13</v>
      </c>
      <c r="I2" t="s">
        <v>15</v>
      </c>
      <c r="J2" s="5">
        <f>WEEKDAY(Table1_2[[#This Row],[Transaction date]])</f>
        <v>6</v>
      </c>
      <c r="K2"/>
    </row>
    <row r="3" spans="1:11" x14ac:dyDescent="0.45">
      <c r="A3" s="3">
        <v>39815</v>
      </c>
      <c r="B3" s="2">
        <v>4.7222222222222221E-2</v>
      </c>
      <c r="C3" t="s">
        <v>1737</v>
      </c>
      <c r="D3" t="s">
        <v>10</v>
      </c>
      <c r="E3">
        <v>1200</v>
      </c>
      <c r="F3" t="s">
        <v>16</v>
      </c>
      <c r="G3" t="s">
        <v>17</v>
      </c>
      <c r="H3" t="s">
        <v>18</v>
      </c>
      <c r="I3" t="s">
        <v>15</v>
      </c>
      <c r="J3" s="5">
        <f>WEEKDAY(Table1_2[[#This Row],[Transaction date]])</f>
        <v>6</v>
      </c>
      <c r="K3"/>
    </row>
    <row r="4" spans="1:11" x14ac:dyDescent="0.45">
      <c r="A4" s="3">
        <v>39817</v>
      </c>
      <c r="B4" s="2">
        <v>0.53888888888888886</v>
      </c>
      <c r="C4" t="s">
        <v>1738</v>
      </c>
      <c r="D4" t="s">
        <v>20</v>
      </c>
      <c r="E4">
        <v>3600</v>
      </c>
      <c r="F4" t="s">
        <v>11</v>
      </c>
      <c r="G4" t="s">
        <v>21</v>
      </c>
      <c r="H4" t="s">
        <v>22</v>
      </c>
      <c r="I4" t="s">
        <v>15</v>
      </c>
      <c r="J4" s="5">
        <f>WEEKDAY(Table1_2[[#This Row],[Transaction date]])</f>
        <v>1</v>
      </c>
      <c r="K4"/>
    </row>
    <row r="5" spans="1:11" x14ac:dyDescent="0.45">
      <c r="A5" s="3">
        <v>39818</v>
      </c>
      <c r="B5" s="2">
        <v>0.53888888888888886</v>
      </c>
      <c r="C5" t="s">
        <v>1738</v>
      </c>
      <c r="D5" t="s">
        <v>10</v>
      </c>
      <c r="E5">
        <v>1200</v>
      </c>
      <c r="F5" t="s">
        <v>11</v>
      </c>
      <c r="G5" t="s">
        <v>24</v>
      </c>
      <c r="H5" t="s">
        <v>25</v>
      </c>
      <c r="I5" t="s">
        <v>15</v>
      </c>
      <c r="J5" s="5">
        <f>WEEKDAY(Table1_2[[#This Row],[Transaction date]])</f>
        <v>2</v>
      </c>
      <c r="K5"/>
    </row>
    <row r="6" spans="1:11" x14ac:dyDescent="0.45">
      <c r="A6" s="3">
        <v>39819</v>
      </c>
      <c r="B6" s="2">
        <v>0.53888888888888886</v>
      </c>
      <c r="C6" t="s">
        <v>1738</v>
      </c>
      <c r="D6" t="s">
        <v>10</v>
      </c>
      <c r="E6">
        <v>1200</v>
      </c>
      <c r="F6" t="s">
        <v>16</v>
      </c>
      <c r="G6" t="s">
        <v>27</v>
      </c>
      <c r="H6" t="s">
        <v>28</v>
      </c>
      <c r="I6" t="s">
        <v>15</v>
      </c>
      <c r="J6" s="5">
        <f>WEEKDAY(Table1_2[[#This Row],[Transaction date]])</f>
        <v>3</v>
      </c>
      <c r="K6"/>
    </row>
    <row r="7" spans="1:11" x14ac:dyDescent="0.45">
      <c r="A7" s="3">
        <v>39815</v>
      </c>
      <c r="B7" s="2">
        <v>0.33958333333333335</v>
      </c>
      <c r="C7" t="s">
        <v>1737</v>
      </c>
      <c r="D7" t="s">
        <v>10</v>
      </c>
      <c r="E7">
        <v>1200</v>
      </c>
      <c r="F7" t="s">
        <v>16</v>
      </c>
      <c r="G7" t="s">
        <v>30</v>
      </c>
      <c r="H7" t="s">
        <v>31</v>
      </c>
      <c r="I7" t="s">
        <v>15</v>
      </c>
      <c r="J7" s="5">
        <f>WEEKDAY(Table1_2[[#This Row],[Transaction date]])</f>
        <v>6</v>
      </c>
      <c r="K7"/>
    </row>
    <row r="8" spans="1:11" x14ac:dyDescent="0.45">
      <c r="A8" s="3">
        <v>39818</v>
      </c>
      <c r="B8" s="2">
        <v>0.1125</v>
      </c>
      <c r="C8" t="s">
        <v>1737</v>
      </c>
      <c r="D8" t="s">
        <v>10</v>
      </c>
      <c r="E8">
        <v>1200</v>
      </c>
      <c r="F8" t="s">
        <v>11</v>
      </c>
      <c r="G8" t="s">
        <v>33</v>
      </c>
      <c r="H8" t="s">
        <v>34</v>
      </c>
      <c r="I8" t="s">
        <v>15</v>
      </c>
      <c r="J8" s="5">
        <f>WEEKDAY(Table1_2[[#This Row],[Transaction date]])</f>
        <v>2</v>
      </c>
      <c r="K8"/>
    </row>
    <row r="9" spans="1:11" x14ac:dyDescent="0.45">
      <c r="A9" s="3">
        <v>39815</v>
      </c>
      <c r="B9" s="2">
        <v>0.38611111111111113</v>
      </c>
      <c r="C9" t="s">
        <v>1737</v>
      </c>
      <c r="D9" t="s">
        <v>10</v>
      </c>
      <c r="E9">
        <v>1200</v>
      </c>
      <c r="F9" t="s">
        <v>16</v>
      </c>
      <c r="G9" t="s">
        <v>36</v>
      </c>
      <c r="H9" t="s">
        <v>37</v>
      </c>
      <c r="I9" t="s">
        <v>15</v>
      </c>
      <c r="J9" s="5">
        <f>WEEKDAY(Table1_2[[#This Row],[Transaction date]])</f>
        <v>6</v>
      </c>
      <c r="K9"/>
    </row>
    <row r="10" spans="1:11" x14ac:dyDescent="0.45">
      <c r="A10" s="3">
        <v>39818</v>
      </c>
      <c r="B10" s="2">
        <v>0.42222222222222222</v>
      </c>
      <c r="C10" t="s">
        <v>1737</v>
      </c>
      <c r="D10" t="s">
        <v>10</v>
      </c>
      <c r="E10">
        <v>1200</v>
      </c>
      <c r="F10" t="s">
        <v>11</v>
      </c>
      <c r="G10" t="s">
        <v>39</v>
      </c>
      <c r="H10" t="s">
        <v>40</v>
      </c>
      <c r="I10" t="s">
        <v>15</v>
      </c>
      <c r="J10" s="5">
        <f>WEEKDAY(Table1_2[[#This Row],[Transaction date]])</f>
        <v>2</v>
      </c>
      <c r="K10"/>
    </row>
    <row r="11" spans="1:11" x14ac:dyDescent="0.45">
      <c r="A11" s="3">
        <v>39815</v>
      </c>
      <c r="B11" s="2">
        <v>9.583333333333334E-2</v>
      </c>
      <c r="C11" t="s">
        <v>1737</v>
      </c>
      <c r="D11" t="s">
        <v>10</v>
      </c>
      <c r="E11">
        <v>1200</v>
      </c>
      <c r="F11" t="s">
        <v>11</v>
      </c>
      <c r="G11" t="s">
        <v>42</v>
      </c>
      <c r="H11" t="s">
        <v>43</v>
      </c>
      <c r="I11" t="s">
        <v>15</v>
      </c>
      <c r="J11" s="5">
        <f>WEEKDAY(Table1_2[[#This Row],[Transaction date]])</f>
        <v>6</v>
      </c>
      <c r="K11"/>
    </row>
    <row r="12" spans="1:11" x14ac:dyDescent="0.45">
      <c r="A12" s="3">
        <v>39815</v>
      </c>
      <c r="B12" s="2">
        <v>0.31597222222222221</v>
      </c>
      <c r="C12" t="s">
        <v>1737</v>
      </c>
      <c r="D12" t="s">
        <v>10</v>
      </c>
      <c r="E12">
        <v>1200</v>
      </c>
      <c r="F12" t="s">
        <v>11</v>
      </c>
      <c r="G12" t="s">
        <v>44</v>
      </c>
      <c r="H12" t="s">
        <v>45</v>
      </c>
      <c r="I12" t="s">
        <v>15</v>
      </c>
      <c r="J12" s="5">
        <f>WEEKDAY(Table1_2[[#This Row],[Transaction date]])</f>
        <v>6</v>
      </c>
      <c r="K12"/>
    </row>
    <row r="13" spans="1:11" x14ac:dyDescent="0.45">
      <c r="A13" s="3">
        <v>39819</v>
      </c>
      <c r="B13" s="2">
        <v>0.30416666666666664</v>
      </c>
      <c r="C13" t="s">
        <v>1737</v>
      </c>
      <c r="D13" t="s">
        <v>10</v>
      </c>
      <c r="E13">
        <v>1200</v>
      </c>
      <c r="F13" t="s">
        <v>11</v>
      </c>
      <c r="G13" t="s">
        <v>47</v>
      </c>
      <c r="H13" t="s">
        <v>48</v>
      </c>
      <c r="I13" t="s">
        <v>15</v>
      </c>
      <c r="J13" s="5">
        <f>WEEKDAY(Table1_2[[#This Row],[Transaction date]])</f>
        <v>3</v>
      </c>
      <c r="K13"/>
    </row>
    <row r="14" spans="1:11" x14ac:dyDescent="0.45">
      <c r="A14" s="3">
        <v>39814</v>
      </c>
      <c r="B14" s="2">
        <v>0.1</v>
      </c>
      <c r="C14" t="s">
        <v>1737</v>
      </c>
      <c r="D14" t="s">
        <v>10</v>
      </c>
      <c r="E14">
        <v>1200</v>
      </c>
      <c r="F14" t="s">
        <v>11</v>
      </c>
      <c r="G14" t="s">
        <v>50</v>
      </c>
      <c r="H14" t="s">
        <v>51</v>
      </c>
      <c r="I14" t="s">
        <v>15</v>
      </c>
      <c r="J14" s="5">
        <f>WEEKDAY(Table1_2[[#This Row],[Transaction date]])</f>
        <v>5</v>
      </c>
      <c r="K14"/>
    </row>
    <row r="15" spans="1:11" x14ac:dyDescent="0.45">
      <c r="A15" s="3">
        <v>39820</v>
      </c>
      <c r="B15" s="2">
        <v>0.33888888888888891</v>
      </c>
      <c r="C15" t="s">
        <v>1737</v>
      </c>
      <c r="D15" t="s">
        <v>10</v>
      </c>
      <c r="E15">
        <v>1200</v>
      </c>
      <c r="F15" t="s">
        <v>11</v>
      </c>
      <c r="G15" t="s">
        <v>52</v>
      </c>
      <c r="H15" t="s">
        <v>34</v>
      </c>
      <c r="I15" t="s">
        <v>15</v>
      </c>
      <c r="J15" s="5">
        <f>WEEKDAY(Table1_2[[#This Row],[Transaction date]])</f>
        <v>4</v>
      </c>
      <c r="K15"/>
    </row>
    <row r="16" spans="1:11" x14ac:dyDescent="0.45">
      <c r="A16" s="3">
        <v>39814</v>
      </c>
      <c r="B16" s="2">
        <v>0.34791666666666665</v>
      </c>
      <c r="C16" t="s">
        <v>1737</v>
      </c>
      <c r="D16" t="s">
        <v>10</v>
      </c>
      <c r="E16">
        <v>1200</v>
      </c>
      <c r="F16" t="s">
        <v>11</v>
      </c>
      <c r="G16" t="s">
        <v>53</v>
      </c>
      <c r="H16" t="s">
        <v>54</v>
      </c>
      <c r="I16" t="s">
        <v>15</v>
      </c>
      <c r="J16" s="5">
        <f>WEEKDAY(Table1_2[[#This Row],[Transaction date]])</f>
        <v>5</v>
      </c>
      <c r="K16"/>
    </row>
    <row r="17" spans="1:11" x14ac:dyDescent="0.45">
      <c r="A17" s="3">
        <v>39821</v>
      </c>
      <c r="B17" s="2">
        <v>0.52916666666666667</v>
      </c>
      <c r="C17" t="s">
        <v>1738</v>
      </c>
      <c r="D17" t="s">
        <v>10</v>
      </c>
      <c r="E17">
        <v>1200</v>
      </c>
      <c r="F17" t="s">
        <v>11</v>
      </c>
      <c r="G17" t="s">
        <v>55</v>
      </c>
      <c r="H17" t="s">
        <v>56</v>
      </c>
      <c r="I17" t="s">
        <v>15</v>
      </c>
      <c r="J17" s="5">
        <f>WEEKDAY(Table1_2[[#This Row],[Transaction date]])</f>
        <v>5</v>
      </c>
      <c r="K17"/>
    </row>
    <row r="18" spans="1:11" x14ac:dyDescent="0.45">
      <c r="A18" s="3">
        <v>39821</v>
      </c>
      <c r="B18" s="2">
        <v>0.16388888888888889</v>
      </c>
      <c r="C18" t="s">
        <v>1737</v>
      </c>
      <c r="D18" t="s">
        <v>10</v>
      </c>
      <c r="E18">
        <v>1200</v>
      </c>
      <c r="F18" t="s">
        <v>16</v>
      </c>
      <c r="G18" t="s">
        <v>57</v>
      </c>
      <c r="H18" t="s">
        <v>34</v>
      </c>
      <c r="I18" t="s">
        <v>15</v>
      </c>
      <c r="J18" s="5">
        <f>WEEKDAY(Table1_2[[#This Row],[Transaction date]])</f>
        <v>5</v>
      </c>
      <c r="K18"/>
    </row>
    <row r="19" spans="1:11" x14ac:dyDescent="0.45">
      <c r="A19" s="3">
        <v>39821</v>
      </c>
      <c r="B19" s="2">
        <v>0.1361111111111111</v>
      </c>
      <c r="C19" t="s">
        <v>1737</v>
      </c>
      <c r="D19" t="s">
        <v>10</v>
      </c>
      <c r="E19">
        <v>1200</v>
      </c>
      <c r="F19" t="s">
        <v>16</v>
      </c>
      <c r="G19" t="s">
        <v>58</v>
      </c>
      <c r="H19" t="s">
        <v>59</v>
      </c>
      <c r="I19" t="s">
        <v>15</v>
      </c>
      <c r="J19" s="5">
        <f>WEEKDAY(Table1_2[[#This Row],[Transaction date]])</f>
        <v>5</v>
      </c>
      <c r="K19"/>
    </row>
    <row r="20" spans="1:11" x14ac:dyDescent="0.45">
      <c r="A20" s="3">
        <v>39816</v>
      </c>
      <c r="B20" s="2">
        <v>0.37708333333333333</v>
      </c>
      <c r="C20" t="s">
        <v>1737</v>
      </c>
      <c r="D20" t="s">
        <v>10</v>
      </c>
      <c r="E20">
        <v>1200</v>
      </c>
      <c r="F20" t="s">
        <v>11</v>
      </c>
      <c r="G20" t="s">
        <v>61</v>
      </c>
      <c r="H20" t="s">
        <v>62</v>
      </c>
      <c r="I20" t="s">
        <v>15</v>
      </c>
      <c r="J20" s="5">
        <f>WEEKDAY(Table1_2[[#This Row],[Transaction date]])</f>
        <v>7</v>
      </c>
      <c r="K20"/>
    </row>
    <row r="21" spans="1:11" x14ac:dyDescent="0.45">
      <c r="A21" s="3">
        <v>39819</v>
      </c>
      <c r="B21" s="2">
        <v>0.32361111111111113</v>
      </c>
      <c r="C21" t="s">
        <v>1737</v>
      </c>
      <c r="D21" t="s">
        <v>230</v>
      </c>
      <c r="E21">
        <v>1200</v>
      </c>
      <c r="F21" t="s">
        <v>63</v>
      </c>
      <c r="G21" t="s">
        <v>64</v>
      </c>
      <c r="H21" t="s">
        <v>65</v>
      </c>
      <c r="I21" t="s">
        <v>15</v>
      </c>
      <c r="J21" s="5">
        <f>WEEKDAY(Table1_2[[#This Row],[Transaction date]])</f>
        <v>3</v>
      </c>
      <c r="K21"/>
    </row>
    <row r="22" spans="1:11" x14ac:dyDescent="0.45">
      <c r="A22" s="3">
        <v>39821</v>
      </c>
      <c r="B22" s="2">
        <v>0.18333333333333332</v>
      </c>
      <c r="C22" t="s">
        <v>1737</v>
      </c>
      <c r="D22" t="s">
        <v>10</v>
      </c>
      <c r="E22">
        <v>1200</v>
      </c>
      <c r="F22" t="s">
        <v>11</v>
      </c>
      <c r="G22" t="s">
        <v>67</v>
      </c>
      <c r="H22" t="s">
        <v>68</v>
      </c>
      <c r="I22" t="s">
        <v>15</v>
      </c>
      <c r="J22" s="5">
        <f>WEEKDAY(Table1_2[[#This Row],[Transaction date]])</f>
        <v>5</v>
      </c>
      <c r="K22"/>
    </row>
    <row r="23" spans="1:11" x14ac:dyDescent="0.45">
      <c r="A23" s="3">
        <v>39822</v>
      </c>
      <c r="B23" s="2">
        <v>0.27708333333333335</v>
      </c>
      <c r="C23" t="s">
        <v>1737</v>
      </c>
      <c r="D23" t="s">
        <v>10</v>
      </c>
      <c r="E23">
        <v>1200</v>
      </c>
      <c r="F23" t="s">
        <v>16</v>
      </c>
      <c r="G23" t="s">
        <v>70</v>
      </c>
      <c r="H23" t="s">
        <v>71</v>
      </c>
      <c r="I23" t="s">
        <v>15</v>
      </c>
      <c r="J23" s="5">
        <f>WEEKDAY(Table1_2[[#This Row],[Transaction date]])</f>
        <v>6</v>
      </c>
      <c r="K23"/>
    </row>
    <row r="24" spans="1:11" x14ac:dyDescent="0.45">
      <c r="A24" s="3">
        <v>39819</v>
      </c>
      <c r="B24" s="2">
        <v>0.42986111111111114</v>
      </c>
      <c r="C24" t="s">
        <v>1737</v>
      </c>
      <c r="D24" t="s">
        <v>230</v>
      </c>
      <c r="E24">
        <v>3600</v>
      </c>
      <c r="F24" t="s">
        <v>63</v>
      </c>
      <c r="G24" t="s">
        <v>72</v>
      </c>
      <c r="H24" t="s">
        <v>73</v>
      </c>
      <c r="I24" t="s">
        <v>15</v>
      </c>
      <c r="J24" s="5">
        <f>WEEKDAY(Table1_2[[#This Row],[Transaction date]])</f>
        <v>3</v>
      </c>
      <c r="K24"/>
    </row>
    <row r="25" spans="1:11" x14ac:dyDescent="0.45">
      <c r="A25" s="3">
        <v>39819</v>
      </c>
      <c r="B25" s="2">
        <v>0.45833333333333331</v>
      </c>
      <c r="C25" t="s">
        <v>1737</v>
      </c>
      <c r="D25" t="s">
        <v>230</v>
      </c>
      <c r="E25">
        <v>3600</v>
      </c>
      <c r="F25" t="s">
        <v>63</v>
      </c>
      <c r="G25" t="s">
        <v>75</v>
      </c>
      <c r="H25" t="s">
        <v>73</v>
      </c>
      <c r="I25" t="s">
        <v>15</v>
      </c>
      <c r="J25" s="5">
        <f>WEEKDAY(Table1_2[[#This Row],[Transaction date]])</f>
        <v>3</v>
      </c>
      <c r="K25"/>
    </row>
    <row r="26" spans="1:11" x14ac:dyDescent="0.45">
      <c r="A26" s="3">
        <v>39820</v>
      </c>
      <c r="B26" s="2">
        <v>0.32222222222222224</v>
      </c>
      <c r="C26" t="s">
        <v>1737</v>
      </c>
      <c r="D26" t="s">
        <v>10</v>
      </c>
      <c r="E26">
        <v>1200</v>
      </c>
      <c r="F26" t="s">
        <v>16</v>
      </c>
      <c r="G26" t="s">
        <v>76</v>
      </c>
      <c r="H26" t="s">
        <v>77</v>
      </c>
      <c r="I26" t="s">
        <v>15</v>
      </c>
      <c r="J26" s="5">
        <f>WEEKDAY(Table1_2[[#This Row],[Transaction date]])</f>
        <v>4</v>
      </c>
      <c r="K26"/>
    </row>
    <row r="27" spans="1:11" x14ac:dyDescent="0.45">
      <c r="A27" s="3">
        <v>39820</v>
      </c>
      <c r="B27" s="2">
        <v>0.13333333333333333</v>
      </c>
      <c r="C27" t="s">
        <v>1737</v>
      </c>
      <c r="D27" t="s">
        <v>20</v>
      </c>
      <c r="E27">
        <v>3600</v>
      </c>
      <c r="F27" t="s">
        <v>11</v>
      </c>
      <c r="G27" t="s">
        <v>79</v>
      </c>
      <c r="H27" t="s">
        <v>80</v>
      </c>
      <c r="I27" t="s">
        <v>15</v>
      </c>
      <c r="J27" s="5">
        <f>WEEKDAY(Table1_2[[#This Row],[Transaction date]])</f>
        <v>4</v>
      </c>
      <c r="K27"/>
    </row>
    <row r="28" spans="1:11" x14ac:dyDescent="0.45">
      <c r="A28" s="3">
        <v>39820</v>
      </c>
      <c r="B28" s="2">
        <v>0.34375</v>
      </c>
      <c r="C28" t="s">
        <v>1737</v>
      </c>
      <c r="D28" t="s">
        <v>230</v>
      </c>
      <c r="E28">
        <v>1200</v>
      </c>
      <c r="F28" t="s">
        <v>63</v>
      </c>
      <c r="G28" t="s">
        <v>81</v>
      </c>
      <c r="H28" t="s">
        <v>71</v>
      </c>
      <c r="I28" t="s">
        <v>15</v>
      </c>
      <c r="J28" s="5">
        <f>WEEKDAY(Table1_2[[#This Row],[Transaction date]])</f>
        <v>4</v>
      </c>
      <c r="K28"/>
    </row>
    <row r="29" spans="1:11" x14ac:dyDescent="0.45">
      <c r="A29" s="3">
        <v>39816</v>
      </c>
      <c r="B29" s="2">
        <v>0.42430555555555555</v>
      </c>
      <c r="C29" t="s">
        <v>1737</v>
      </c>
      <c r="D29" t="s">
        <v>20</v>
      </c>
      <c r="E29">
        <v>3600</v>
      </c>
      <c r="F29" t="s">
        <v>11</v>
      </c>
      <c r="G29" t="s">
        <v>82</v>
      </c>
      <c r="H29" t="s">
        <v>83</v>
      </c>
      <c r="I29" t="s">
        <v>15</v>
      </c>
      <c r="J29" s="5">
        <f>WEEKDAY(Table1_2[[#This Row],[Transaction date]])</f>
        <v>7</v>
      </c>
      <c r="K29"/>
    </row>
    <row r="30" spans="1:11" x14ac:dyDescent="0.45">
      <c r="A30" s="3">
        <v>39823</v>
      </c>
      <c r="B30" s="2">
        <v>0.5395833333333333</v>
      </c>
      <c r="C30" t="s">
        <v>1738</v>
      </c>
      <c r="D30" t="s">
        <v>230</v>
      </c>
      <c r="E30">
        <v>1200</v>
      </c>
      <c r="F30" t="s">
        <v>63</v>
      </c>
      <c r="G30" t="s">
        <v>84</v>
      </c>
      <c r="H30" t="s">
        <v>85</v>
      </c>
      <c r="I30" t="s">
        <v>15</v>
      </c>
      <c r="J30" s="5">
        <f>WEEKDAY(Table1_2[[#This Row],[Transaction date]])</f>
        <v>7</v>
      </c>
      <c r="K30"/>
    </row>
    <row r="31" spans="1:11" x14ac:dyDescent="0.45">
      <c r="A31" s="3">
        <v>39823</v>
      </c>
      <c r="B31" s="2">
        <v>0.50347222222222221</v>
      </c>
      <c r="C31" t="s">
        <v>1738</v>
      </c>
      <c r="D31" t="s">
        <v>10</v>
      </c>
      <c r="E31">
        <v>1200</v>
      </c>
      <c r="F31" t="s">
        <v>11</v>
      </c>
      <c r="G31" t="s">
        <v>86</v>
      </c>
      <c r="H31" t="s">
        <v>87</v>
      </c>
      <c r="I31" t="s">
        <v>15</v>
      </c>
      <c r="J31" s="5">
        <f>WEEKDAY(Table1_2[[#This Row],[Transaction date]])</f>
        <v>7</v>
      </c>
      <c r="K31"/>
    </row>
    <row r="32" spans="1:11" x14ac:dyDescent="0.45">
      <c r="A32" s="3">
        <v>39823</v>
      </c>
      <c r="B32" s="2">
        <v>0.12222222222222222</v>
      </c>
      <c r="C32" t="s">
        <v>1737</v>
      </c>
      <c r="D32" t="s">
        <v>10</v>
      </c>
      <c r="E32">
        <v>1200</v>
      </c>
      <c r="F32" t="s">
        <v>11</v>
      </c>
      <c r="G32" t="s">
        <v>88</v>
      </c>
      <c r="H32" t="s">
        <v>89</v>
      </c>
      <c r="I32" t="s">
        <v>15</v>
      </c>
      <c r="J32" s="5">
        <f>WEEKDAY(Table1_2[[#This Row],[Transaction date]])</f>
        <v>7</v>
      </c>
      <c r="K32"/>
    </row>
    <row r="33" spans="1:11" x14ac:dyDescent="0.45">
      <c r="A33" s="3">
        <v>39820</v>
      </c>
      <c r="B33" s="2">
        <v>0.41736111111111113</v>
      </c>
      <c r="C33" t="s">
        <v>1737</v>
      </c>
      <c r="D33" t="s">
        <v>10</v>
      </c>
      <c r="E33">
        <v>1200</v>
      </c>
      <c r="F33" t="s">
        <v>11</v>
      </c>
      <c r="G33" t="s">
        <v>91</v>
      </c>
      <c r="H33" t="s">
        <v>92</v>
      </c>
      <c r="I33" t="s">
        <v>15</v>
      </c>
      <c r="J33" s="5">
        <f>WEEKDAY(Table1_2[[#This Row],[Transaction date]])</f>
        <v>4</v>
      </c>
      <c r="K33"/>
    </row>
    <row r="34" spans="1:11" x14ac:dyDescent="0.45">
      <c r="A34" s="3">
        <v>39814</v>
      </c>
      <c r="B34" s="2">
        <v>5.9722222222222225E-2</v>
      </c>
      <c r="C34" t="s">
        <v>1737</v>
      </c>
      <c r="D34" t="s">
        <v>10</v>
      </c>
      <c r="E34">
        <v>1200</v>
      </c>
      <c r="F34" t="s">
        <v>16</v>
      </c>
      <c r="G34" t="s">
        <v>94</v>
      </c>
      <c r="H34" t="s">
        <v>95</v>
      </c>
      <c r="I34" t="s">
        <v>15</v>
      </c>
      <c r="J34" s="5">
        <f>WEEKDAY(Table1_2[[#This Row],[Transaction date]])</f>
        <v>5</v>
      </c>
      <c r="K34"/>
    </row>
    <row r="35" spans="1:11" x14ac:dyDescent="0.45">
      <c r="A35" s="3">
        <v>39820</v>
      </c>
      <c r="B35" s="2">
        <v>0.26250000000000001</v>
      </c>
      <c r="C35" t="s">
        <v>1737</v>
      </c>
      <c r="D35" t="s">
        <v>10</v>
      </c>
      <c r="E35">
        <v>1200</v>
      </c>
      <c r="F35" t="s">
        <v>16</v>
      </c>
      <c r="G35" t="s">
        <v>96</v>
      </c>
      <c r="H35" t="s">
        <v>97</v>
      </c>
      <c r="I35" t="s">
        <v>15</v>
      </c>
      <c r="J35" s="5">
        <f>WEEKDAY(Table1_2[[#This Row],[Transaction date]])</f>
        <v>4</v>
      </c>
      <c r="K35"/>
    </row>
    <row r="36" spans="1:11" x14ac:dyDescent="0.45">
      <c r="A36" s="3">
        <v>39825</v>
      </c>
      <c r="B36" s="2">
        <v>0.1423611111111111</v>
      </c>
      <c r="C36" t="s">
        <v>1737</v>
      </c>
      <c r="D36" t="s">
        <v>10</v>
      </c>
      <c r="E36">
        <v>1200</v>
      </c>
      <c r="F36" t="s">
        <v>16</v>
      </c>
      <c r="G36" t="s">
        <v>99</v>
      </c>
      <c r="H36" t="s">
        <v>100</v>
      </c>
      <c r="I36" t="s">
        <v>15</v>
      </c>
      <c r="J36" s="5">
        <f>WEEKDAY(Table1_2[[#This Row],[Transaction date]])</f>
        <v>2</v>
      </c>
      <c r="K36"/>
    </row>
    <row r="37" spans="1:11" x14ac:dyDescent="0.45">
      <c r="A37" s="3">
        <v>39821</v>
      </c>
      <c r="B37" s="2">
        <v>0.1361111111111111</v>
      </c>
      <c r="C37" t="s">
        <v>1737</v>
      </c>
      <c r="D37" t="s">
        <v>10</v>
      </c>
      <c r="E37">
        <v>1200</v>
      </c>
      <c r="F37" t="s">
        <v>11</v>
      </c>
      <c r="G37" t="s">
        <v>102</v>
      </c>
      <c r="H37" t="s">
        <v>103</v>
      </c>
      <c r="I37" t="s">
        <v>15</v>
      </c>
      <c r="J37" s="5">
        <f>WEEKDAY(Table1_2[[#This Row],[Transaction date]])</f>
        <v>5</v>
      </c>
      <c r="K37"/>
    </row>
    <row r="38" spans="1:11" x14ac:dyDescent="0.45">
      <c r="A38" s="3">
        <v>39815</v>
      </c>
      <c r="B38" s="2">
        <v>0.41666666666666669</v>
      </c>
      <c r="C38" t="s">
        <v>1737</v>
      </c>
      <c r="D38" t="s">
        <v>10</v>
      </c>
      <c r="E38">
        <v>1200</v>
      </c>
      <c r="F38" t="s">
        <v>11</v>
      </c>
      <c r="G38" t="s">
        <v>105</v>
      </c>
      <c r="H38" t="s">
        <v>106</v>
      </c>
      <c r="I38" t="s">
        <v>15</v>
      </c>
      <c r="J38" s="5">
        <f>WEEKDAY(Table1_2[[#This Row],[Transaction date]])</f>
        <v>6</v>
      </c>
      <c r="K38"/>
    </row>
    <row r="39" spans="1:11" x14ac:dyDescent="0.45">
      <c r="A39" s="3">
        <v>39824</v>
      </c>
      <c r="B39" s="2">
        <v>4.7222222222222221E-2</v>
      </c>
      <c r="C39" t="s">
        <v>1737</v>
      </c>
      <c r="D39" t="s">
        <v>10</v>
      </c>
      <c r="E39">
        <v>1200</v>
      </c>
      <c r="F39" t="s">
        <v>11</v>
      </c>
      <c r="G39" t="s">
        <v>107</v>
      </c>
      <c r="H39" t="s">
        <v>108</v>
      </c>
      <c r="I39" t="s">
        <v>15</v>
      </c>
      <c r="J39" s="5">
        <f>WEEKDAY(Table1_2[[#This Row],[Transaction date]])</f>
        <v>1</v>
      </c>
      <c r="K39"/>
    </row>
    <row r="40" spans="1:11" x14ac:dyDescent="0.45">
      <c r="A40" s="3">
        <v>39826</v>
      </c>
      <c r="B40" s="2">
        <v>0.2590277777777778</v>
      </c>
      <c r="C40" t="s">
        <v>1737</v>
      </c>
      <c r="D40" t="s">
        <v>10</v>
      </c>
      <c r="E40">
        <v>1200</v>
      </c>
      <c r="F40" t="s">
        <v>11</v>
      </c>
      <c r="G40" t="s">
        <v>109</v>
      </c>
      <c r="H40" t="s">
        <v>110</v>
      </c>
      <c r="I40" t="s">
        <v>15</v>
      </c>
      <c r="J40" s="5">
        <f>WEEKDAY(Table1_2[[#This Row],[Transaction date]])</f>
        <v>3</v>
      </c>
      <c r="K40"/>
    </row>
    <row r="41" spans="1:11" x14ac:dyDescent="0.45">
      <c r="A41" s="3">
        <v>39815</v>
      </c>
      <c r="B41" s="2">
        <v>0.48680555555555555</v>
      </c>
      <c r="C41" t="s">
        <v>1737</v>
      </c>
      <c r="D41" t="s">
        <v>10</v>
      </c>
      <c r="E41">
        <v>1200</v>
      </c>
      <c r="F41" t="s">
        <v>11</v>
      </c>
      <c r="G41" t="s">
        <v>111</v>
      </c>
      <c r="H41" t="s">
        <v>112</v>
      </c>
      <c r="I41" t="s">
        <v>15</v>
      </c>
      <c r="J41" s="5">
        <f>WEEKDAY(Table1_2[[#This Row],[Transaction date]])</f>
        <v>6</v>
      </c>
      <c r="K41"/>
    </row>
    <row r="42" spans="1:11" x14ac:dyDescent="0.45">
      <c r="A42" s="3">
        <v>39820</v>
      </c>
      <c r="B42" s="2">
        <v>0.3263888888888889</v>
      </c>
      <c r="C42" t="s">
        <v>1737</v>
      </c>
      <c r="D42" t="s">
        <v>10</v>
      </c>
      <c r="E42">
        <v>1200</v>
      </c>
      <c r="F42" t="s">
        <v>11</v>
      </c>
      <c r="G42" t="s">
        <v>114</v>
      </c>
      <c r="H42" t="s">
        <v>115</v>
      </c>
      <c r="I42" t="s">
        <v>15</v>
      </c>
      <c r="J42" s="5">
        <f>WEEKDAY(Table1_2[[#This Row],[Transaction date]])</f>
        <v>4</v>
      </c>
      <c r="K42"/>
    </row>
    <row r="43" spans="1:11" x14ac:dyDescent="0.45">
      <c r="A43" s="3">
        <v>39825</v>
      </c>
      <c r="B43" s="2">
        <v>0.12708333333333333</v>
      </c>
      <c r="C43" t="s">
        <v>1737</v>
      </c>
      <c r="D43" t="s">
        <v>20</v>
      </c>
      <c r="E43">
        <v>3600</v>
      </c>
      <c r="F43" t="s">
        <v>16</v>
      </c>
      <c r="G43" t="s">
        <v>116</v>
      </c>
      <c r="H43" t="s">
        <v>117</v>
      </c>
      <c r="I43" t="s">
        <v>15</v>
      </c>
      <c r="J43" s="5">
        <f>WEEKDAY(Table1_2[[#This Row],[Transaction date]])</f>
        <v>2</v>
      </c>
      <c r="K43"/>
    </row>
    <row r="44" spans="1:11" x14ac:dyDescent="0.45">
      <c r="A44" s="3">
        <v>39826</v>
      </c>
      <c r="B44" s="2">
        <v>0.47638888888888886</v>
      </c>
      <c r="C44" t="s">
        <v>1737</v>
      </c>
      <c r="D44" t="s">
        <v>10</v>
      </c>
      <c r="E44">
        <v>1200</v>
      </c>
      <c r="F44" t="s">
        <v>11</v>
      </c>
      <c r="G44" t="s">
        <v>118</v>
      </c>
      <c r="H44" t="s">
        <v>119</v>
      </c>
      <c r="I44" t="s">
        <v>15</v>
      </c>
      <c r="J44" s="5">
        <f>WEEKDAY(Table1_2[[#This Row],[Transaction date]])</f>
        <v>3</v>
      </c>
      <c r="K44"/>
    </row>
    <row r="45" spans="1:11" x14ac:dyDescent="0.45">
      <c r="A45" s="3">
        <v>39827</v>
      </c>
      <c r="B45" s="2">
        <v>0.20416666666666666</v>
      </c>
      <c r="C45" t="s">
        <v>1737</v>
      </c>
      <c r="D45" t="s">
        <v>10</v>
      </c>
      <c r="E45">
        <v>1200</v>
      </c>
      <c r="F45" t="s">
        <v>16</v>
      </c>
      <c r="G45" t="s">
        <v>120</v>
      </c>
      <c r="H45" t="s">
        <v>121</v>
      </c>
      <c r="I45" t="s">
        <v>15</v>
      </c>
      <c r="J45" s="5">
        <f>WEEKDAY(Table1_2[[#This Row],[Transaction date]])</f>
        <v>4</v>
      </c>
      <c r="K45"/>
    </row>
    <row r="46" spans="1:11" x14ac:dyDescent="0.45">
      <c r="A46" s="3">
        <v>39816</v>
      </c>
      <c r="B46" s="2">
        <v>8.0555555555555561E-2</v>
      </c>
      <c r="C46" t="s">
        <v>1737</v>
      </c>
      <c r="D46" t="s">
        <v>10</v>
      </c>
      <c r="E46">
        <v>1200</v>
      </c>
      <c r="F46" t="s">
        <v>11</v>
      </c>
      <c r="G46" t="s">
        <v>123</v>
      </c>
      <c r="H46" t="s">
        <v>124</v>
      </c>
      <c r="I46" t="s">
        <v>15</v>
      </c>
      <c r="J46" s="5">
        <f>WEEKDAY(Table1_2[[#This Row],[Transaction date]])</f>
        <v>7</v>
      </c>
      <c r="K46"/>
    </row>
    <row r="47" spans="1:11" x14ac:dyDescent="0.45">
      <c r="A47" s="3">
        <v>39826</v>
      </c>
      <c r="B47" s="2">
        <v>0.49722222222222223</v>
      </c>
      <c r="C47" t="s">
        <v>1737</v>
      </c>
      <c r="D47" t="s">
        <v>10</v>
      </c>
      <c r="E47">
        <v>1200</v>
      </c>
      <c r="F47" t="s">
        <v>16</v>
      </c>
      <c r="G47" t="s">
        <v>125</v>
      </c>
      <c r="H47" t="s">
        <v>126</v>
      </c>
      <c r="I47" t="s">
        <v>15</v>
      </c>
      <c r="J47" s="5">
        <f>WEEKDAY(Table1_2[[#This Row],[Transaction date]])</f>
        <v>3</v>
      </c>
      <c r="K47"/>
    </row>
    <row r="48" spans="1:11" x14ac:dyDescent="0.45">
      <c r="A48" s="3">
        <v>39827</v>
      </c>
      <c r="B48" s="2">
        <v>0.31388888888888888</v>
      </c>
      <c r="C48" t="s">
        <v>1737</v>
      </c>
      <c r="D48" t="s">
        <v>10</v>
      </c>
      <c r="E48">
        <v>1200</v>
      </c>
      <c r="F48" t="s">
        <v>11</v>
      </c>
      <c r="G48" t="s">
        <v>127</v>
      </c>
      <c r="H48" t="s">
        <v>59</v>
      </c>
      <c r="I48" t="s">
        <v>15</v>
      </c>
      <c r="J48" s="5">
        <f>WEEKDAY(Table1_2[[#This Row],[Transaction date]])</f>
        <v>4</v>
      </c>
      <c r="K48"/>
    </row>
    <row r="49" spans="1:11" x14ac:dyDescent="0.45">
      <c r="A49" s="3">
        <v>39826</v>
      </c>
      <c r="B49" s="2">
        <v>0.31874999999999998</v>
      </c>
      <c r="C49" t="s">
        <v>1737</v>
      </c>
      <c r="D49" t="s">
        <v>10</v>
      </c>
      <c r="E49">
        <v>1200</v>
      </c>
      <c r="F49" t="s">
        <v>11</v>
      </c>
      <c r="G49" t="s">
        <v>128</v>
      </c>
      <c r="H49" t="s">
        <v>129</v>
      </c>
      <c r="I49" t="s">
        <v>15</v>
      </c>
      <c r="J49" s="5">
        <f>WEEKDAY(Table1_2[[#This Row],[Transaction date]])</f>
        <v>3</v>
      </c>
      <c r="K49"/>
    </row>
    <row r="50" spans="1:11" x14ac:dyDescent="0.45">
      <c r="A50" s="3">
        <v>39828</v>
      </c>
      <c r="B50" s="2">
        <v>0.1111111111111111</v>
      </c>
      <c r="C50" t="s">
        <v>1737</v>
      </c>
      <c r="D50" t="s">
        <v>10</v>
      </c>
      <c r="E50">
        <v>1200</v>
      </c>
      <c r="F50" t="s">
        <v>16</v>
      </c>
      <c r="G50" t="s">
        <v>131</v>
      </c>
      <c r="H50" t="s">
        <v>132</v>
      </c>
      <c r="I50" t="s">
        <v>15</v>
      </c>
      <c r="J50" s="5">
        <f>WEEKDAY(Table1_2[[#This Row],[Transaction date]])</f>
        <v>5</v>
      </c>
      <c r="K50"/>
    </row>
    <row r="51" spans="1:11" x14ac:dyDescent="0.45">
      <c r="A51" s="3">
        <v>39818</v>
      </c>
      <c r="B51" s="2">
        <v>0.15208333333333332</v>
      </c>
      <c r="C51" t="s">
        <v>1737</v>
      </c>
      <c r="D51" t="s">
        <v>10</v>
      </c>
      <c r="E51">
        <v>1200</v>
      </c>
      <c r="F51" t="s">
        <v>11</v>
      </c>
      <c r="G51" t="s">
        <v>133</v>
      </c>
      <c r="H51" t="s">
        <v>134</v>
      </c>
      <c r="I51" t="s">
        <v>15</v>
      </c>
      <c r="J51" s="5">
        <f>WEEKDAY(Table1_2[[#This Row],[Transaction date]])</f>
        <v>2</v>
      </c>
      <c r="K51"/>
    </row>
    <row r="52" spans="1:11" x14ac:dyDescent="0.45">
      <c r="A52" s="3">
        <v>39823</v>
      </c>
      <c r="B52" s="2">
        <v>0.22291666666666668</v>
      </c>
      <c r="C52" t="s">
        <v>1737</v>
      </c>
      <c r="D52" t="s">
        <v>10</v>
      </c>
      <c r="E52">
        <v>1200</v>
      </c>
      <c r="F52" t="s">
        <v>63</v>
      </c>
      <c r="G52" t="s">
        <v>135</v>
      </c>
      <c r="H52" t="s">
        <v>136</v>
      </c>
      <c r="I52" t="s">
        <v>15</v>
      </c>
      <c r="J52" s="5">
        <f>WEEKDAY(Table1_2[[#This Row],[Transaction date]])</f>
        <v>7</v>
      </c>
      <c r="K52"/>
    </row>
    <row r="53" spans="1:11" x14ac:dyDescent="0.45">
      <c r="A53" s="3">
        <v>39828</v>
      </c>
      <c r="B53" s="2">
        <v>0.17499999999999999</v>
      </c>
      <c r="C53" t="s">
        <v>1737</v>
      </c>
      <c r="D53" t="s">
        <v>10</v>
      </c>
      <c r="E53">
        <v>1200</v>
      </c>
      <c r="F53" t="s">
        <v>16</v>
      </c>
      <c r="G53" t="s">
        <v>137</v>
      </c>
      <c r="H53" t="s">
        <v>119</v>
      </c>
      <c r="I53" t="s">
        <v>15</v>
      </c>
      <c r="J53" s="5">
        <f>WEEKDAY(Table1_2[[#This Row],[Transaction date]])</f>
        <v>5</v>
      </c>
      <c r="K53"/>
    </row>
    <row r="54" spans="1:11" x14ac:dyDescent="0.45">
      <c r="A54" s="3">
        <v>39819</v>
      </c>
      <c r="B54" s="2">
        <v>0.45</v>
      </c>
      <c r="C54" t="s">
        <v>1737</v>
      </c>
      <c r="D54" t="s">
        <v>10</v>
      </c>
      <c r="E54">
        <v>1200</v>
      </c>
      <c r="F54" t="s">
        <v>16</v>
      </c>
      <c r="G54" t="s">
        <v>138</v>
      </c>
      <c r="H54" t="s">
        <v>139</v>
      </c>
      <c r="I54" t="s">
        <v>15</v>
      </c>
      <c r="J54" s="5">
        <f>WEEKDAY(Table1_2[[#This Row],[Transaction date]])</f>
        <v>3</v>
      </c>
      <c r="K54"/>
    </row>
    <row r="55" spans="1:11" x14ac:dyDescent="0.45">
      <c r="A55" s="3">
        <v>39827</v>
      </c>
      <c r="B55" s="2">
        <v>0.38194444444444442</v>
      </c>
      <c r="C55" t="s">
        <v>1737</v>
      </c>
      <c r="D55" t="s">
        <v>10</v>
      </c>
      <c r="E55">
        <v>1200</v>
      </c>
      <c r="F55" t="s">
        <v>16</v>
      </c>
      <c r="G55" t="s">
        <v>140</v>
      </c>
      <c r="H55" t="s">
        <v>141</v>
      </c>
      <c r="I55" t="s">
        <v>15</v>
      </c>
      <c r="J55" s="5">
        <f>WEEKDAY(Table1_2[[#This Row],[Transaction date]])</f>
        <v>4</v>
      </c>
      <c r="K55"/>
    </row>
    <row r="56" spans="1:11" x14ac:dyDescent="0.45">
      <c r="A56" s="3">
        <v>39827</v>
      </c>
      <c r="B56" s="2">
        <v>0.44722222222222224</v>
      </c>
      <c r="C56" t="s">
        <v>1737</v>
      </c>
      <c r="D56" t="s">
        <v>10</v>
      </c>
      <c r="E56">
        <v>1200</v>
      </c>
      <c r="F56" t="s">
        <v>11</v>
      </c>
      <c r="G56" t="s">
        <v>143</v>
      </c>
      <c r="H56" t="s">
        <v>144</v>
      </c>
      <c r="I56" t="s">
        <v>15</v>
      </c>
      <c r="J56" s="5">
        <f>WEEKDAY(Table1_2[[#This Row],[Transaction date]])</f>
        <v>4</v>
      </c>
      <c r="K56"/>
    </row>
    <row r="57" spans="1:11" x14ac:dyDescent="0.45">
      <c r="A57" s="3">
        <v>39828</v>
      </c>
      <c r="B57" s="2">
        <v>0.5229166666666667</v>
      </c>
      <c r="C57" t="s">
        <v>1738</v>
      </c>
      <c r="D57" t="s">
        <v>10</v>
      </c>
      <c r="E57">
        <v>1200</v>
      </c>
      <c r="F57" t="s">
        <v>11</v>
      </c>
      <c r="G57" t="s">
        <v>145</v>
      </c>
      <c r="H57" t="s">
        <v>146</v>
      </c>
      <c r="I57" t="s">
        <v>15</v>
      </c>
      <c r="J57" s="5">
        <f>WEEKDAY(Table1_2[[#This Row],[Transaction date]])</f>
        <v>5</v>
      </c>
      <c r="K57"/>
    </row>
    <row r="58" spans="1:11" x14ac:dyDescent="0.45">
      <c r="A58" s="3">
        <v>39827</v>
      </c>
      <c r="B58" s="2">
        <v>0.4826388888888889</v>
      </c>
      <c r="C58" t="s">
        <v>1737</v>
      </c>
      <c r="D58" t="s">
        <v>10</v>
      </c>
      <c r="E58">
        <v>1200</v>
      </c>
      <c r="F58" t="s">
        <v>11</v>
      </c>
      <c r="G58" t="s">
        <v>147</v>
      </c>
      <c r="H58" t="s">
        <v>148</v>
      </c>
      <c r="I58" t="s">
        <v>15</v>
      </c>
      <c r="J58" s="5">
        <f>WEEKDAY(Table1_2[[#This Row],[Transaction date]])</f>
        <v>4</v>
      </c>
      <c r="K58"/>
    </row>
    <row r="59" spans="1:11" x14ac:dyDescent="0.45">
      <c r="A59" s="3">
        <v>39827</v>
      </c>
      <c r="B59" s="2">
        <v>0.15277777777777779</v>
      </c>
      <c r="C59" t="s">
        <v>1737</v>
      </c>
      <c r="D59" t="s">
        <v>10</v>
      </c>
      <c r="E59">
        <v>1200</v>
      </c>
      <c r="F59" t="s">
        <v>63</v>
      </c>
      <c r="G59" t="s">
        <v>149</v>
      </c>
      <c r="H59" t="s">
        <v>150</v>
      </c>
      <c r="I59" t="s">
        <v>15</v>
      </c>
      <c r="J59" s="5">
        <f>WEEKDAY(Table1_2[[#This Row],[Transaction date]])</f>
        <v>4</v>
      </c>
      <c r="K59"/>
    </row>
    <row r="60" spans="1:11" x14ac:dyDescent="0.45">
      <c r="A60" s="3">
        <v>39816</v>
      </c>
      <c r="B60" s="2">
        <v>0.46388888888888891</v>
      </c>
      <c r="C60" t="s">
        <v>1737</v>
      </c>
      <c r="D60" t="s">
        <v>10</v>
      </c>
      <c r="E60">
        <v>1200</v>
      </c>
      <c r="F60" t="s">
        <v>63</v>
      </c>
      <c r="G60" t="s">
        <v>151</v>
      </c>
      <c r="H60" t="s">
        <v>152</v>
      </c>
      <c r="I60" t="s">
        <v>15</v>
      </c>
      <c r="J60" s="5">
        <f>WEEKDAY(Table1_2[[#This Row],[Transaction date]])</f>
        <v>7</v>
      </c>
      <c r="K60"/>
    </row>
    <row r="61" spans="1:11" x14ac:dyDescent="0.45">
      <c r="A61" s="3">
        <v>39829</v>
      </c>
      <c r="B61" s="2">
        <v>0.30625000000000002</v>
      </c>
      <c r="C61" t="s">
        <v>1737</v>
      </c>
      <c r="D61" t="s">
        <v>10</v>
      </c>
      <c r="E61">
        <v>2100</v>
      </c>
      <c r="F61" t="s">
        <v>16</v>
      </c>
      <c r="G61" t="s">
        <v>153</v>
      </c>
      <c r="H61" t="s">
        <v>154</v>
      </c>
      <c r="I61" t="s">
        <v>15</v>
      </c>
      <c r="J61" s="5">
        <f>WEEKDAY(Table1_2[[#This Row],[Transaction date]])</f>
        <v>6</v>
      </c>
      <c r="K61"/>
    </row>
    <row r="62" spans="1:11" x14ac:dyDescent="0.45">
      <c r="A62" s="3">
        <v>39816</v>
      </c>
      <c r="B62" s="2">
        <v>0.41388888888888886</v>
      </c>
      <c r="C62" t="s">
        <v>1737</v>
      </c>
      <c r="D62" t="s">
        <v>10</v>
      </c>
      <c r="E62">
        <v>1200</v>
      </c>
      <c r="F62" t="s">
        <v>11</v>
      </c>
      <c r="G62" t="s">
        <v>155</v>
      </c>
      <c r="H62" t="s">
        <v>156</v>
      </c>
      <c r="I62" t="s">
        <v>15</v>
      </c>
      <c r="J62" s="5">
        <f>WEEKDAY(Table1_2[[#This Row],[Transaction date]])</f>
        <v>7</v>
      </c>
      <c r="K62"/>
    </row>
    <row r="63" spans="1:11" x14ac:dyDescent="0.45">
      <c r="A63" s="3">
        <v>39829</v>
      </c>
      <c r="B63" s="2">
        <v>0.23680555555555555</v>
      </c>
      <c r="C63" t="s">
        <v>1737</v>
      </c>
      <c r="D63" t="s">
        <v>10</v>
      </c>
      <c r="E63">
        <v>1200</v>
      </c>
      <c r="F63" t="s">
        <v>11</v>
      </c>
      <c r="G63" t="s">
        <v>157</v>
      </c>
      <c r="H63" t="s">
        <v>158</v>
      </c>
      <c r="I63" t="s">
        <v>15</v>
      </c>
      <c r="J63" s="5">
        <f>WEEKDAY(Table1_2[[#This Row],[Transaction date]])</f>
        <v>6</v>
      </c>
      <c r="K63"/>
    </row>
    <row r="64" spans="1:11" x14ac:dyDescent="0.45">
      <c r="A64" s="3">
        <v>39818</v>
      </c>
      <c r="B64" s="2">
        <v>0.23125000000000001</v>
      </c>
      <c r="C64" t="s">
        <v>1737</v>
      </c>
      <c r="D64" t="s">
        <v>10</v>
      </c>
      <c r="E64">
        <v>1200</v>
      </c>
      <c r="F64" t="s">
        <v>11</v>
      </c>
      <c r="G64" t="s">
        <v>159</v>
      </c>
      <c r="H64" t="s">
        <v>160</v>
      </c>
      <c r="I64" t="s">
        <v>15</v>
      </c>
      <c r="J64" s="5">
        <f>WEEKDAY(Table1_2[[#This Row],[Transaction date]])</f>
        <v>2</v>
      </c>
      <c r="K64"/>
    </row>
    <row r="65" spans="1:11" x14ac:dyDescent="0.45">
      <c r="A65" s="3">
        <v>39824</v>
      </c>
      <c r="B65" s="2">
        <v>0.37430555555555556</v>
      </c>
      <c r="C65" t="s">
        <v>1737</v>
      </c>
      <c r="D65" t="s">
        <v>10</v>
      </c>
      <c r="E65">
        <v>1200</v>
      </c>
      <c r="F65" t="s">
        <v>11</v>
      </c>
      <c r="G65" t="s">
        <v>161</v>
      </c>
      <c r="H65" t="s">
        <v>162</v>
      </c>
      <c r="I65" t="s">
        <v>15</v>
      </c>
      <c r="J65" s="5">
        <f>WEEKDAY(Table1_2[[#This Row],[Transaction date]])</f>
        <v>1</v>
      </c>
      <c r="K65"/>
    </row>
    <row r="66" spans="1:11" x14ac:dyDescent="0.45">
      <c r="A66" s="3">
        <v>39828</v>
      </c>
      <c r="B66" s="2">
        <v>0.16388888888888889</v>
      </c>
      <c r="C66" t="s">
        <v>1737</v>
      </c>
      <c r="D66" t="s">
        <v>10</v>
      </c>
      <c r="E66">
        <v>1200</v>
      </c>
      <c r="F66" t="s">
        <v>63</v>
      </c>
      <c r="G66" t="s">
        <v>163</v>
      </c>
      <c r="H66" t="s">
        <v>164</v>
      </c>
      <c r="I66" t="s">
        <v>15</v>
      </c>
      <c r="J66" s="5">
        <f>WEEKDAY(Table1_2[[#This Row],[Transaction date]])</f>
        <v>5</v>
      </c>
      <c r="K66"/>
    </row>
    <row r="67" spans="1:11" x14ac:dyDescent="0.45">
      <c r="A67" s="3">
        <v>39814</v>
      </c>
      <c r="B67" s="2">
        <v>0.5131944444444444</v>
      </c>
      <c r="C67" t="s">
        <v>1738</v>
      </c>
      <c r="D67" t="s">
        <v>10</v>
      </c>
      <c r="E67">
        <v>1200</v>
      </c>
      <c r="F67" t="s">
        <v>11</v>
      </c>
      <c r="G67" t="s">
        <v>165</v>
      </c>
      <c r="H67" t="s">
        <v>166</v>
      </c>
      <c r="I67" t="s">
        <v>15</v>
      </c>
      <c r="J67" s="5">
        <f>WEEKDAY(Table1_2[[#This Row],[Transaction date]])</f>
        <v>5</v>
      </c>
      <c r="K67"/>
    </row>
    <row r="68" spans="1:11" x14ac:dyDescent="0.45">
      <c r="A68" s="3">
        <v>39819</v>
      </c>
      <c r="B68" s="2">
        <v>8.5416666666666669E-2</v>
      </c>
      <c r="C68" t="s">
        <v>1737</v>
      </c>
      <c r="D68" t="s">
        <v>10</v>
      </c>
      <c r="E68">
        <v>1200</v>
      </c>
      <c r="F68" t="s">
        <v>11</v>
      </c>
      <c r="G68" t="s">
        <v>168</v>
      </c>
      <c r="H68" t="s">
        <v>34</v>
      </c>
      <c r="I68" t="s">
        <v>15</v>
      </c>
      <c r="J68" s="5">
        <f>WEEKDAY(Table1_2[[#This Row],[Transaction date]])</f>
        <v>3</v>
      </c>
      <c r="K68"/>
    </row>
    <row r="69" spans="1:11" x14ac:dyDescent="0.45">
      <c r="A69" s="3">
        <v>39825</v>
      </c>
      <c r="B69" s="2">
        <v>0.52569444444444446</v>
      </c>
      <c r="C69" t="s">
        <v>1738</v>
      </c>
      <c r="D69" t="s">
        <v>10</v>
      </c>
      <c r="E69">
        <v>1200</v>
      </c>
      <c r="F69" t="s">
        <v>11</v>
      </c>
      <c r="G69" t="s">
        <v>169</v>
      </c>
      <c r="H69" t="s">
        <v>170</v>
      </c>
      <c r="I69" t="s">
        <v>15</v>
      </c>
      <c r="J69" s="5">
        <f>WEEKDAY(Table1_2[[#This Row],[Transaction date]])</f>
        <v>2</v>
      </c>
      <c r="K69"/>
    </row>
    <row r="70" spans="1:11" x14ac:dyDescent="0.45">
      <c r="A70" s="3">
        <v>39817</v>
      </c>
      <c r="B70" s="2">
        <v>0.3215277777777778</v>
      </c>
      <c r="C70" t="s">
        <v>1737</v>
      </c>
      <c r="D70" t="s">
        <v>10</v>
      </c>
      <c r="E70">
        <v>1200</v>
      </c>
      <c r="F70" t="s">
        <v>16</v>
      </c>
      <c r="G70" t="s">
        <v>171</v>
      </c>
      <c r="H70" t="s">
        <v>71</v>
      </c>
      <c r="I70" t="s">
        <v>15</v>
      </c>
      <c r="J70" s="5">
        <f>WEEKDAY(Table1_2[[#This Row],[Transaction date]])</f>
        <v>1</v>
      </c>
      <c r="K70"/>
    </row>
    <row r="71" spans="1:11" x14ac:dyDescent="0.45">
      <c r="A71" s="3">
        <v>39830</v>
      </c>
      <c r="B71" s="2">
        <v>0.18194444444444444</v>
      </c>
      <c r="C71" t="s">
        <v>1737</v>
      </c>
      <c r="D71" t="s">
        <v>10</v>
      </c>
      <c r="E71">
        <v>1200</v>
      </c>
      <c r="F71" t="s">
        <v>11</v>
      </c>
      <c r="G71" t="s">
        <v>172</v>
      </c>
      <c r="H71" t="s">
        <v>173</v>
      </c>
      <c r="I71" t="s">
        <v>15</v>
      </c>
      <c r="J71" s="5">
        <f>WEEKDAY(Table1_2[[#This Row],[Transaction date]])</f>
        <v>7</v>
      </c>
      <c r="K71"/>
    </row>
    <row r="72" spans="1:11" x14ac:dyDescent="0.45">
      <c r="A72" s="3">
        <v>39831</v>
      </c>
      <c r="B72" s="2">
        <v>0.22708333333333333</v>
      </c>
      <c r="C72" t="s">
        <v>1737</v>
      </c>
      <c r="D72" t="s">
        <v>10</v>
      </c>
      <c r="E72">
        <v>1200</v>
      </c>
      <c r="F72" t="s">
        <v>11</v>
      </c>
      <c r="G72" t="s">
        <v>174</v>
      </c>
      <c r="H72" t="s">
        <v>175</v>
      </c>
      <c r="I72" t="s">
        <v>15</v>
      </c>
      <c r="J72" s="5">
        <f>WEEKDAY(Table1_2[[#This Row],[Transaction date]])</f>
        <v>1</v>
      </c>
      <c r="K72"/>
    </row>
    <row r="73" spans="1:11" x14ac:dyDescent="0.45">
      <c r="A73" s="3">
        <v>39817</v>
      </c>
      <c r="B73" s="2">
        <v>0.20972222222222223</v>
      </c>
      <c r="C73" t="s">
        <v>1737</v>
      </c>
      <c r="D73" t="s">
        <v>10</v>
      </c>
      <c r="E73">
        <v>1200</v>
      </c>
      <c r="F73" t="s">
        <v>16</v>
      </c>
      <c r="G73" t="s">
        <v>118</v>
      </c>
      <c r="H73" t="s">
        <v>176</v>
      </c>
      <c r="I73" t="s">
        <v>15</v>
      </c>
      <c r="J73" s="5">
        <f>WEEKDAY(Table1_2[[#This Row],[Transaction date]])</f>
        <v>1</v>
      </c>
      <c r="K73"/>
    </row>
    <row r="74" spans="1:11" x14ac:dyDescent="0.45">
      <c r="A74" s="3">
        <v>39831</v>
      </c>
      <c r="B74" s="2">
        <v>9.4444444444444442E-2</v>
      </c>
      <c r="C74" t="s">
        <v>1737</v>
      </c>
      <c r="D74" t="s">
        <v>10</v>
      </c>
      <c r="E74">
        <v>1200</v>
      </c>
      <c r="F74" t="s">
        <v>11</v>
      </c>
      <c r="G74" t="s">
        <v>177</v>
      </c>
      <c r="H74" t="s">
        <v>178</v>
      </c>
      <c r="I74" t="s">
        <v>15</v>
      </c>
      <c r="J74" s="5">
        <f>WEEKDAY(Table1_2[[#This Row],[Transaction date]])</f>
        <v>1</v>
      </c>
      <c r="K74"/>
    </row>
    <row r="75" spans="1:11" x14ac:dyDescent="0.45">
      <c r="A75" s="3">
        <v>39831</v>
      </c>
      <c r="B75" s="2">
        <v>0.49513888888888891</v>
      </c>
      <c r="C75" t="s">
        <v>1737</v>
      </c>
      <c r="D75" t="s">
        <v>10</v>
      </c>
      <c r="E75">
        <v>1200</v>
      </c>
      <c r="F75" t="s">
        <v>11</v>
      </c>
      <c r="G75" t="s">
        <v>180</v>
      </c>
      <c r="H75" t="s">
        <v>181</v>
      </c>
      <c r="I75" t="s">
        <v>15</v>
      </c>
      <c r="J75" s="5">
        <f>WEEKDAY(Table1_2[[#This Row],[Transaction date]])</f>
        <v>1</v>
      </c>
      <c r="K75"/>
    </row>
    <row r="76" spans="1:11" x14ac:dyDescent="0.45">
      <c r="A76" s="3">
        <v>39831</v>
      </c>
      <c r="B76" s="2">
        <v>0.50277777777777777</v>
      </c>
      <c r="C76" t="s">
        <v>1738</v>
      </c>
      <c r="D76" t="s">
        <v>10</v>
      </c>
      <c r="E76">
        <v>1200</v>
      </c>
      <c r="F76" t="s">
        <v>11</v>
      </c>
      <c r="G76" t="s">
        <v>182</v>
      </c>
      <c r="H76" t="s">
        <v>181</v>
      </c>
      <c r="I76" t="s">
        <v>15</v>
      </c>
      <c r="J76" s="5">
        <f>WEEKDAY(Table1_2[[#This Row],[Transaction date]])</f>
        <v>1</v>
      </c>
      <c r="K76"/>
    </row>
    <row r="77" spans="1:11" x14ac:dyDescent="0.45">
      <c r="A77" s="3">
        <v>39826</v>
      </c>
      <c r="B77" s="2">
        <v>0.32916666666666666</v>
      </c>
      <c r="C77" t="s">
        <v>1737</v>
      </c>
      <c r="D77" t="s">
        <v>10</v>
      </c>
      <c r="E77">
        <v>1200</v>
      </c>
      <c r="F77" t="s">
        <v>11</v>
      </c>
      <c r="G77" t="s">
        <v>183</v>
      </c>
      <c r="H77" t="s">
        <v>184</v>
      </c>
      <c r="I77" t="s">
        <v>15</v>
      </c>
      <c r="J77" s="5">
        <f>WEEKDAY(Table1_2[[#This Row],[Transaction date]])</f>
        <v>3</v>
      </c>
      <c r="K77"/>
    </row>
    <row r="78" spans="1:11" x14ac:dyDescent="0.45">
      <c r="A78" s="3">
        <v>39818</v>
      </c>
      <c r="B78" s="2">
        <v>0.37916666666666665</v>
      </c>
      <c r="C78" t="s">
        <v>1737</v>
      </c>
      <c r="D78" t="s">
        <v>10</v>
      </c>
      <c r="E78">
        <v>1200</v>
      </c>
      <c r="F78" t="s">
        <v>16</v>
      </c>
      <c r="G78" t="s">
        <v>185</v>
      </c>
      <c r="H78" t="s">
        <v>186</v>
      </c>
      <c r="I78" t="s">
        <v>15</v>
      </c>
      <c r="J78" s="5">
        <f>WEEKDAY(Table1_2[[#This Row],[Transaction date]])</f>
        <v>2</v>
      </c>
      <c r="K78"/>
    </row>
    <row r="79" spans="1:11" x14ac:dyDescent="0.45">
      <c r="A79" s="3">
        <v>39827</v>
      </c>
      <c r="B79" s="2">
        <v>0.2722222222222222</v>
      </c>
      <c r="C79" t="s">
        <v>1737</v>
      </c>
      <c r="D79" t="s">
        <v>10</v>
      </c>
      <c r="E79">
        <v>1200</v>
      </c>
      <c r="F79" t="s">
        <v>11</v>
      </c>
      <c r="G79" t="s">
        <v>187</v>
      </c>
      <c r="H79" t="s">
        <v>188</v>
      </c>
      <c r="I79" t="s">
        <v>15</v>
      </c>
      <c r="J79" s="5">
        <f>WEEKDAY(Table1_2[[#This Row],[Transaction date]])</f>
        <v>4</v>
      </c>
      <c r="K79"/>
    </row>
    <row r="80" spans="1:11" x14ac:dyDescent="0.45">
      <c r="A80" s="3">
        <v>39831</v>
      </c>
      <c r="B80" s="2">
        <v>0.18888888888888888</v>
      </c>
      <c r="C80" t="s">
        <v>1737</v>
      </c>
      <c r="D80" t="s">
        <v>20</v>
      </c>
      <c r="E80">
        <v>3600</v>
      </c>
      <c r="F80" t="s">
        <v>11</v>
      </c>
      <c r="G80" t="s">
        <v>189</v>
      </c>
      <c r="H80" t="s">
        <v>164</v>
      </c>
      <c r="I80" t="s">
        <v>15</v>
      </c>
      <c r="J80" s="5">
        <f>WEEKDAY(Table1_2[[#This Row],[Transaction date]])</f>
        <v>1</v>
      </c>
      <c r="K80"/>
    </row>
    <row r="81" spans="1:11" x14ac:dyDescent="0.45">
      <c r="A81" s="3">
        <v>39831</v>
      </c>
      <c r="B81" s="2">
        <v>0.21111111111111111</v>
      </c>
      <c r="C81" t="s">
        <v>1737</v>
      </c>
      <c r="D81" t="s">
        <v>20</v>
      </c>
      <c r="E81">
        <v>3600</v>
      </c>
      <c r="F81" t="s">
        <v>11</v>
      </c>
      <c r="G81" t="s">
        <v>190</v>
      </c>
      <c r="H81" t="s">
        <v>34</v>
      </c>
      <c r="I81" t="s">
        <v>15</v>
      </c>
      <c r="J81" s="5">
        <f>WEEKDAY(Table1_2[[#This Row],[Transaction date]])</f>
        <v>1</v>
      </c>
      <c r="K81"/>
    </row>
    <row r="82" spans="1:11" x14ac:dyDescent="0.45">
      <c r="A82" s="3">
        <v>39831</v>
      </c>
      <c r="B82" s="2">
        <v>0.22222222222222221</v>
      </c>
      <c r="C82" t="s">
        <v>1737</v>
      </c>
      <c r="D82" t="s">
        <v>20</v>
      </c>
      <c r="E82">
        <v>3600</v>
      </c>
      <c r="F82" t="s">
        <v>11</v>
      </c>
      <c r="G82" t="s">
        <v>191</v>
      </c>
      <c r="H82" t="s">
        <v>192</v>
      </c>
      <c r="I82" t="s">
        <v>15</v>
      </c>
      <c r="J82" s="5">
        <f>WEEKDAY(Table1_2[[#This Row],[Transaction date]])</f>
        <v>1</v>
      </c>
      <c r="K82"/>
    </row>
    <row r="83" spans="1:11" x14ac:dyDescent="0.45">
      <c r="A83" s="3">
        <v>39831</v>
      </c>
      <c r="B83" s="2">
        <v>0.23541666666666666</v>
      </c>
      <c r="C83" t="s">
        <v>1737</v>
      </c>
      <c r="D83" t="s">
        <v>20</v>
      </c>
      <c r="E83">
        <v>3600</v>
      </c>
      <c r="F83" t="s">
        <v>11</v>
      </c>
      <c r="G83" t="s">
        <v>194</v>
      </c>
      <c r="H83" t="s">
        <v>34</v>
      </c>
      <c r="I83" t="s">
        <v>15</v>
      </c>
      <c r="J83" s="5">
        <f>WEEKDAY(Table1_2[[#This Row],[Transaction date]])</f>
        <v>1</v>
      </c>
      <c r="K83"/>
    </row>
    <row r="84" spans="1:11" x14ac:dyDescent="0.45">
      <c r="A84" s="3">
        <v>39824</v>
      </c>
      <c r="B84" s="2">
        <v>0.47222222222222221</v>
      </c>
      <c r="C84" t="s">
        <v>1737</v>
      </c>
      <c r="D84" t="s">
        <v>10</v>
      </c>
      <c r="E84">
        <v>1200</v>
      </c>
      <c r="F84" t="s">
        <v>11</v>
      </c>
      <c r="G84" t="s">
        <v>195</v>
      </c>
      <c r="H84" t="s">
        <v>196</v>
      </c>
      <c r="I84" t="s">
        <v>15</v>
      </c>
      <c r="J84" s="5">
        <f>WEEKDAY(Table1_2[[#This Row],[Transaction date]])</f>
        <v>1</v>
      </c>
      <c r="K84"/>
    </row>
    <row r="85" spans="1:11" x14ac:dyDescent="0.45">
      <c r="A85" s="3">
        <v>39825</v>
      </c>
      <c r="B85" s="2">
        <v>0.2013888888888889</v>
      </c>
      <c r="C85" t="s">
        <v>1737</v>
      </c>
      <c r="D85" t="s">
        <v>10</v>
      </c>
      <c r="E85">
        <v>1200</v>
      </c>
      <c r="F85" t="s">
        <v>11</v>
      </c>
      <c r="G85" t="s">
        <v>197</v>
      </c>
      <c r="H85" t="s">
        <v>198</v>
      </c>
      <c r="I85" t="s">
        <v>15</v>
      </c>
      <c r="J85" s="5">
        <f>WEEKDAY(Table1_2[[#This Row],[Transaction date]])</f>
        <v>2</v>
      </c>
      <c r="K85"/>
    </row>
    <row r="86" spans="1:11" x14ac:dyDescent="0.45">
      <c r="A86" s="3">
        <v>39825</v>
      </c>
      <c r="B86" s="2">
        <v>0.13333333333333333</v>
      </c>
      <c r="C86" t="s">
        <v>1737</v>
      </c>
      <c r="D86" t="s">
        <v>10</v>
      </c>
      <c r="E86">
        <v>1200</v>
      </c>
      <c r="F86" t="s">
        <v>16</v>
      </c>
      <c r="G86" t="s">
        <v>199</v>
      </c>
      <c r="H86" t="s">
        <v>200</v>
      </c>
      <c r="I86" t="s">
        <v>15</v>
      </c>
      <c r="J86" s="5">
        <f>WEEKDAY(Table1_2[[#This Row],[Transaction date]])</f>
        <v>2</v>
      </c>
      <c r="K86"/>
    </row>
    <row r="87" spans="1:11" x14ac:dyDescent="0.45">
      <c r="A87" s="3">
        <v>39822</v>
      </c>
      <c r="B87" s="2">
        <v>0.28611111111111109</v>
      </c>
      <c r="C87" t="s">
        <v>1737</v>
      </c>
      <c r="D87" t="s">
        <v>10</v>
      </c>
      <c r="E87">
        <v>1200</v>
      </c>
      <c r="F87" t="s">
        <v>11</v>
      </c>
      <c r="G87" t="s">
        <v>199</v>
      </c>
      <c r="H87" t="s">
        <v>201</v>
      </c>
      <c r="I87" t="s">
        <v>15</v>
      </c>
      <c r="J87" s="5">
        <f>WEEKDAY(Table1_2[[#This Row],[Transaction date]])</f>
        <v>6</v>
      </c>
      <c r="K87"/>
    </row>
    <row r="88" spans="1:11" x14ac:dyDescent="0.45">
      <c r="A88" s="3">
        <v>39831</v>
      </c>
      <c r="B88" s="2">
        <v>0.47013888888888888</v>
      </c>
      <c r="C88" t="s">
        <v>1737</v>
      </c>
      <c r="D88" t="s">
        <v>10</v>
      </c>
      <c r="E88">
        <v>1200</v>
      </c>
      <c r="F88" t="s">
        <v>11</v>
      </c>
      <c r="G88" t="s">
        <v>202</v>
      </c>
      <c r="H88" t="s">
        <v>203</v>
      </c>
      <c r="I88" t="s">
        <v>15</v>
      </c>
      <c r="J88" s="5">
        <f>WEEKDAY(Table1_2[[#This Row],[Transaction date]])</f>
        <v>1</v>
      </c>
      <c r="K88"/>
    </row>
    <row r="89" spans="1:11" x14ac:dyDescent="0.45">
      <c r="A89" s="3">
        <v>39818</v>
      </c>
      <c r="B89" s="2">
        <v>0.31736111111111109</v>
      </c>
      <c r="C89" t="s">
        <v>1737</v>
      </c>
      <c r="D89" t="s">
        <v>10</v>
      </c>
      <c r="E89">
        <v>1200</v>
      </c>
      <c r="F89" t="s">
        <v>63</v>
      </c>
      <c r="G89" t="s">
        <v>205</v>
      </c>
      <c r="H89" t="s">
        <v>203</v>
      </c>
      <c r="I89" t="s">
        <v>15</v>
      </c>
      <c r="J89" s="5">
        <f>WEEKDAY(Table1_2[[#This Row],[Transaction date]])</f>
        <v>2</v>
      </c>
      <c r="K89"/>
    </row>
    <row r="90" spans="1:11" x14ac:dyDescent="0.45">
      <c r="A90" s="3">
        <v>39827</v>
      </c>
      <c r="B90" s="2">
        <v>0.26458333333333334</v>
      </c>
      <c r="C90" t="s">
        <v>1737</v>
      </c>
      <c r="D90" t="s">
        <v>10</v>
      </c>
      <c r="E90">
        <v>1200</v>
      </c>
      <c r="F90" t="s">
        <v>11</v>
      </c>
      <c r="G90" t="s">
        <v>206</v>
      </c>
      <c r="H90" t="s">
        <v>207</v>
      </c>
      <c r="I90" t="s">
        <v>15</v>
      </c>
      <c r="J90" s="5">
        <f>WEEKDAY(Table1_2[[#This Row],[Transaction date]])</f>
        <v>4</v>
      </c>
      <c r="K90"/>
    </row>
    <row r="91" spans="1:11" x14ac:dyDescent="0.45">
      <c r="A91" s="3">
        <v>39824</v>
      </c>
      <c r="B91" s="2">
        <v>0.29236111111111113</v>
      </c>
      <c r="C91" t="s">
        <v>1737</v>
      </c>
      <c r="D91" t="s">
        <v>10</v>
      </c>
      <c r="E91">
        <v>1200</v>
      </c>
      <c r="F91" t="s">
        <v>11</v>
      </c>
      <c r="G91" t="s">
        <v>208</v>
      </c>
      <c r="H91" t="s">
        <v>209</v>
      </c>
      <c r="I91" t="s">
        <v>15</v>
      </c>
      <c r="J91" s="5">
        <f>WEEKDAY(Table1_2[[#This Row],[Transaction date]])</f>
        <v>1</v>
      </c>
      <c r="K91"/>
    </row>
    <row r="92" spans="1:11" x14ac:dyDescent="0.45">
      <c r="A92" s="3">
        <v>39828</v>
      </c>
      <c r="B92" s="2">
        <v>0.33819444444444446</v>
      </c>
      <c r="C92" t="s">
        <v>1737</v>
      </c>
      <c r="D92" t="s">
        <v>10</v>
      </c>
      <c r="E92">
        <v>1200</v>
      </c>
      <c r="F92" t="s">
        <v>11</v>
      </c>
      <c r="G92" t="s">
        <v>210</v>
      </c>
      <c r="H92" t="s">
        <v>211</v>
      </c>
      <c r="I92" t="s">
        <v>15</v>
      </c>
      <c r="J92" s="5">
        <f>WEEKDAY(Table1_2[[#This Row],[Transaction date]])</f>
        <v>5</v>
      </c>
      <c r="K92"/>
    </row>
    <row r="93" spans="1:11" x14ac:dyDescent="0.45">
      <c r="A93" s="3">
        <v>39828</v>
      </c>
      <c r="B93" s="2">
        <v>0.34027777777777779</v>
      </c>
      <c r="C93" t="s">
        <v>1737</v>
      </c>
      <c r="D93" t="s">
        <v>10</v>
      </c>
      <c r="E93">
        <v>1200</v>
      </c>
      <c r="F93" t="s">
        <v>11</v>
      </c>
      <c r="G93" t="s">
        <v>212</v>
      </c>
      <c r="H93" t="s">
        <v>211</v>
      </c>
      <c r="I93" t="s">
        <v>15</v>
      </c>
      <c r="J93" s="5">
        <f>WEEKDAY(Table1_2[[#This Row],[Transaction date]])</f>
        <v>5</v>
      </c>
      <c r="K93"/>
    </row>
    <row r="94" spans="1:11" x14ac:dyDescent="0.45">
      <c r="A94" s="3">
        <v>39815</v>
      </c>
      <c r="B94" s="2">
        <v>0.23958333333333334</v>
      </c>
      <c r="C94" t="s">
        <v>1737</v>
      </c>
      <c r="D94" t="s">
        <v>10</v>
      </c>
      <c r="E94">
        <v>1200</v>
      </c>
      <c r="F94" t="s">
        <v>16</v>
      </c>
      <c r="G94" t="s">
        <v>213</v>
      </c>
      <c r="H94" t="s">
        <v>214</v>
      </c>
      <c r="I94" t="s">
        <v>15</v>
      </c>
      <c r="J94" s="5">
        <f>WEEKDAY(Table1_2[[#This Row],[Transaction date]])</f>
        <v>6</v>
      </c>
      <c r="K94"/>
    </row>
    <row r="95" spans="1:11" x14ac:dyDescent="0.45">
      <c r="A95" s="3">
        <v>39832</v>
      </c>
      <c r="B95" s="2">
        <v>0.1736111111111111</v>
      </c>
      <c r="C95" t="s">
        <v>1737</v>
      </c>
      <c r="D95" t="s">
        <v>10</v>
      </c>
      <c r="E95">
        <v>1200</v>
      </c>
      <c r="F95" t="s">
        <v>16</v>
      </c>
      <c r="G95" t="s">
        <v>216</v>
      </c>
      <c r="H95" t="s">
        <v>217</v>
      </c>
      <c r="I95" t="s">
        <v>15</v>
      </c>
      <c r="J95" s="5">
        <f>WEEKDAY(Table1_2[[#This Row],[Transaction date]])</f>
        <v>2</v>
      </c>
      <c r="K95"/>
    </row>
    <row r="96" spans="1:11" x14ac:dyDescent="0.45">
      <c r="A96" s="3">
        <v>39832</v>
      </c>
      <c r="B96" s="2">
        <v>0.2048611111111111</v>
      </c>
      <c r="C96" t="s">
        <v>1737</v>
      </c>
      <c r="D96" t="s">
        <v>10</v>
      </c>
      <c r="E96">
        <v>1200</v>
      </c>
      <c r="F96" t="s">
        <v>16</v>
      </c>
      <c r="G96" t="s">
        <v>219</v>
      </c>
      <c r="H96" t="s">
        <v>220</v>
      </c>
      <c r="I96" t="s">
        <v>15</v>
      </c>
      <c r="J96" s="5">
        <f>WEEKDAY(Table1_2[[#This Row],[Transaction date]])</f>
        <v>2</v>
      </c>
      <c r="K96"/>
    </row>
    <row r="97" spans="1:11" x14ac:dyDescent="0.45">
      <c r="A97" s="3">
        <v>39823</v>
      </c>
      <c r="B97" s="2">
        <v>0.23680555555555555</v>
      </c>
      <c r="C97" t="s">
        <v>1737</v>
      </c>
      <c r="D97" t="s">
        <v>10</v>
      </c>
      <c r="E97">
        <v>1200</v>
      </c>
      <c r="F97" t="s">
        <v>11</v>
      </c>
      <c r="G97" t="s">
        <v>221</v>
      </c>
      <c r="H97" t="s">
        <v>222</v>
      </c>
      <c r="I97" t="s">
        <v>15</v>
      </c>
      <c r="J97" s="5">
        <f>WEEKDAY(Table1_2[[#This Row],[Transaction date]])</f>
        <v>7</v>
      </c>
      <c r="K97"/>
    </row>
    <row r="98" spans="1:11" x14ac:dyDescent="0.45">
      <c r="A98" s="3">
        <v>39831</v>
      </c>
      <c r="B98" s="2">
        <v>7.5694444444444439E-2</v>
      </c>
      <c r="C98" t="s">
        <v>1737</v>
      </c>
      <c r="D98" t="s">
        <v>20</v>
      </c>
      <c r="E98">
        <v>3600</v>
      </c>
      <c r="F98" t="s">
        <v>11</v>
      </c>
      <c r="G98" t="s">
        <v>223</v>
      </c>
      <c r="H98" t="s">
        <v>224</v>
      </c>
      <c r="I98" t="s">
        <v>15</v>
      </c>
      <c r="J98" s="5">
        <f>WEEKDAY(Table1_2[[#This Row],[Transaction date]])</f>
        <v>1</v>
      </c>
      <c r="K98"/>
    </row>
    <row r="99" spans="1:11" x14ac:dyDescent="0.45">
      <c r="A99" s="3">
        <v>39828</v>
      </c>
      <c r="B99" s="2">
        <v>0.24097222222222223</v>
      </c>
      <c r="C99" t="s">
        <v>1737</v>
      </c>
      <c r="D99" t="s">
        <v>10</v>
      </c>
      <c r="E99">
        <v>1200</v>
      </c>
      <c r="F99" t="s">
        <v>11</v>
      </c>
      <c r="G99" t="s">
        <v>225</v>
      </c>
      <c r="H99" t="s">
        <v>226</v>
      </c>
      <c r="I99" t="s">
        <v>15</v>
      </c>
      <c r="J99" s="5">
        <f>WEEKDAY(Table1_2[[#This Row],[Transaction date]])</f>
        <v>5</v>
      </c>
      <c r="K99"/>
    </row>
    <row r="100" spans="1:11" x14ac:dyDescent="0.45">
      <c r="A100" s="3">
        <v>39832</v>
      </c>
      <c r="B100" s="2">
        <v>0.46250000000000002</v>
      </c>
      <c r="C100" t="s">
        <v>1737</v>
      </c>
      <c r="D100" t="s">
        <v>10</v>
      </c>
      <c r="E100">
        <v>1200</v>
      </c>
      <c r="F100" t="s">
        <v>16</v>
      </c>
      <c r="G100" t="s">
        <v>227</v>
      </c>
      <c r="H100" t="s">
        <v>226</v>
      </c>
      <c r="I100" t="s">
        <v>15</v>
      </c>
      <c r="J100" s="5">
        <f>WEEKDAY(Table1_2[[#This Row],[Transaction date]])</f>
        <v>2</v>
      </c>
      <c r="K100"/>
    </row>
    <row r="101" spans="1:11" x14ac:dyDescent="0.45">
      <c r="A101" s="3">
        <v>39816</v>
      </c>
      <c r="B101" s="2">
        <v>0.45277777777777778</v>
      </c>
      <c r="C101" t="s">
        <v>1737</v>
      </c>
      <c r="D101" t="s">
        <v>10</v>
      </c>
      <c r="E101">
        <v>1200</v>
      </c>
      <c r="F101" t="s">
        <v>11</v>
      </c>
      <c r="G101" t="s">
        <v>228</v>
      </c>
      <c r="H101" t="s">
        <v>229</v>
      </c>
      <c r="I101" t="s">
        <v>15</v>
      </c>
      <c r="J101" s="5">
        <f>WEEKDAY(Table1_2[[#This Row],[Transaction date]])</f>
        <v>7</v>
      </c>
      <c r="K101"/>
    </row>
    <row r="102" spans="1:11" x14ac:dyDescent="0.45">
      <c r="A102" s="3">
        <v>39833</v>
      </c>
      <c r="B102" s="2">
        <v>0.22500000000000001</v>
      </c>
      <c r="C102" t="s">
        <v>1737</v>
      </c>
      <c r="D102" t="s">
        <v>230</v>
      </c>
      <c r="E102">
        <v>7500</v>
      </c>
      <c r="F102" t="s">
        <v>16</v>
      </c>
      <c r="G102" t="s">
        <v>231</v>
      </c>
      <c r="H102" t="s">
        <v>232</v>
      </c>
      <c r="I102" t="s">
        <v>15</v>
      </c>
      <c r="J102" s="5">
        <f>WEEKDAY(Table1_2[[#This Row],[Transaction date]])</f>
        <v>3</v>
      </c>
      <c r="K102"/>
    </row>
    <row r="103" spans="1:11" x14ac:dyDescent="0.45">
      <c r="A103" s="3">
        <v>39833</v>
      </c>
      <c r="B103" s="2">
        <v>0.25208333333333333</v>
      </c>
      <c r="C103" t="s">
        <v>1737</v>
      </c>
      <c r="D103" t="s">
        <v>10</v>
      </c>
      <c r="E103">
        <v>1200</v>
      </c>
      <c r="F103" t="s">
        <v>16</v>
      </c>
      <c r="G103" t="s">
        <v>234</v>
      </c>
      <c r="H103" t="s">
        <v>232</v>
      </c>
      <c r="I103" t="s">
        <v>15</v>
      </c>
      <c r="J103" s="5">
        <f>WEEKDAY(Table1_2[[#This Row],[Transaction date]])</f>
        <v>3</v>
      </c>
      <c r="K103"/>
    </row>
    <row r="104" spans="1:11" x14ac:dyDescent="0.45">
      <c r="A104" s="3">
        <v>39823</v>
      </c>
      <c r="B104" s="2">
        <v>0.48402777777777778</v>
      </c>
      <c r="C104" t="s">
        <v>1737</v>
      </c>
      <c r="D104" t="s">
        <v>10</v>
      </c>
      <c r="E104">
        <v>1200</v>
      </c>
      <c r="F104" t="s">
        <v>63</v>
      </c>
      <c r="G104" t="s">
        <v>235</v>
      </c>
      <c r="H104" t="s">
        <v>236</v>
      </c>
      <c r="I104" t="s">
        <v>15</v>
      </c>
      <c r="J104" s="5">
        <f>WEEKDAY(Table1_2[[#This Row],[Transaction date]])</f>
        <v>7</v>
      </c>
      <c r="K104"/>
    </row>
    <row r="105" spans="1:11" x14ac:dyDescent="0.45">
      <c r="A105" s="3">
        <v>39832</v>
      </c>
      <c r="B105" s="2">
        <v>0.18888888888888888</v>
      </c>
      <c r="C105" t="s">
        <v>1737</v>
      </c>
      <c r="D105" t="s">
        <v>10</v>
      </c>
      <c r="E105">
        <v>1200</v>
      </c>
      <c r="F105" t="s">
        <v>63</v>
      </c>
      <c r="G105" t="s">
        <v>237</v>
      </c>
      <c r="H105" t="s">
        <v>238</v>
      </c>
      <c r="I105" t="s">
        <v>15</v>
      </c>
      <c r="J105" s="5">
        <f>WEEKDAY(Table1_2[[#This Row],[Transaction date]])</f>
        <v>2</v>
      </c>
      <c r="K105"/>
    </row>
    <row r="106" spans="1:11" x14ac:dyDescent="0.45">
      <c r="A106" s="3">
        <v>39831</v>
      </c>
      <c r="B106" s="2">
        <v>0.44583333333333336</v>
      </c>
      <c r="C106" t="s">
        <v>1737</v>
      </c>
      <c r="D106" t="s">
        <v>10</v>
      </c>
      <c r="E106">
        <v>1200</v>
      </c>
      <c r="F106" t="s">
        <v>11</v>
      </c>
      <c r="G106" t="s">
        <v>240</v>
      </c>
      <c r="H106" t="s">
        <v>241</v>
      </c>
      <c r="I106" t="s">
        <v>15</v>
      </c>
      <c r="J106" s="5">
        <f>WEEKDAY(Table1_2[[#This Row],[Transaction date]])</f>
        <v>1</v>
      </c>
      <c r="K106"/>
    </row>
    <row r="107" spans="1:11" x14ac:dyDescent="0.45">
      <c r="A107" s="3">
        <v>39833</v>
      </c>
      <c r="B107" s="2">
        <v>0.52361111111111114</v>
      </c>
      <c r="C107" t="s">
        <v>1738</v>
      </c>
      <c r="D107" t="s">
        <v>10</v>
      </c>
      <c r="E107">
        <v>1200</v>
      </c>
      <c r="F107" t="s">
        <v>16</v>
      </c>
      <c r="G107" t="s">
        <v>242</v>
      </c>
      <c r="H107" t="s">
        <v>243</v>
      </c>
      <c r="I107" t="s">
        <v>15</v>
      </c>
      <c r="J107" s="5">
        <f>WEEKDAY(Table1_2[[#This Row],[Transaction date]])</f>
        <v>3</v>
      </c>
      <c r="K107"/>
    </row>
    <row r="108" spans="1:11" x14ac:dyDescent="0.45">
      <c r="A108" s="3">
        <v>39828</v>
      </c>
      <c r="B108" s="2">
        <v>0.47638888888888886</v>
      </c>
      <c r="C108" t="s">
        <v>1737</v>
      </c>
      <c r="D108" t="s">
        <v>10</v>
      </c>
      <c r="E108">
        <v>1200</v>
      </c>
      <c r="F108" t="s">
        <v>11</v>
      </c>
      <c r="G108" t="s">
        <v>81</v>
      </c>
      <c r="H108" t="s">
        <v>244</v>
      </c>
      <c r="I108" t="s">
        <v>15</v>
      </c>
      <c r="J108" s="5">
        <f>WEEKDAY(Table1_2[[#This Row],[Transaction date]])</f>
        <v>5</v>
      </c>
      <c r="K108"/>
    </row>
    <row r="109" spans="1:11" x14ac:dyDescent="0.45">
      <c r="A109" s="3">
        <v>39825</v>
      </c>
      <c r="B109" s="2">
        <v>0.32430555555555557</v>
      </c>
      <c r="C109" t="s">
        <v>1737</v>
      </c>
      <c r="D109" t="s">
        <v>10</v>
      </c>
      <c r="E109">
        <v>1200</v>
      </c>
      <c r="F109" t="s">
        <v>16</v>
      </c>
      <c r="G109" t="s">
        <v>245</v>
      </c>
      <c r="H109" t="s">
        <v>246</v>
      </c>
      <c r="I109" t="s">
        <v>15</v>
      </c>
      <c r="J109" s="5">
        <f>WEEKDAY(Table1_2[[#This Row],[Transaction date]])</f>
        <v>2</v>
      </c>
      <c r="K109"/>
    </row>
    <row r="110" spans="1:11" x14ac:dyDescent="0.45">
      <c r="A110" s="3">
        <v>39817</v>
      </c>
      <c r="B110" s="2">
        <v>0.30555555555555558</v>
      </c>
      <c r="C110" t="s">
        <v>1737</v>
      </c>
      <c r="D110" t="s">
        <v>10</v>
      </c>
      <c r="E110">
        <v>1200</v>
      </c>
      <c r="F110" t="s">
        <v>63</v>
      </c>
      <c r="G110" t="s">
        <v>247</v>
      </c>
      <c r="H110" t="s">
        <v>248</v>
      </c>
      <c r="I110" t="s">
        <v>15</v>
      </c>
      <c r="J110" s="5">
        <f>WEEKDAY(Table1_2[[#This Row],[Transaction date]])</f>
        <v>1</v>
      </c>
      <c r="K110"/>
    </row>
    <row r="111" spans="1:11" x14ac:dyDescent="0.45">
      <c r="A111" s="3">
        <v>39823</v>
      </c>
      <c r="B111" s="2">
        <v>0.35625000000000001</v>
      </c>
      <c r="C111" t="s">
        <v>1737</v>
      </c>
      <c r="D111" t="s">
        <v>20</v>
      </c>
      <c r="E111">
        <v>3600</v>
      </c>
      <c r="F111" t="s">
        <v>16</v>
      </c>
      <c r="G111" t="s">
        <v>249</v>
      </c>
      <c r="H111" t="s">
        <v>250</v>
      </c>
      <c r="I111" t="s">
        <v>15</v>
      </c>
      <c r="J111" s="5">
        <f>WEEKDAY(Table1_2[[#This Row],[Transaction date]])</f>
        <v>7</v>
      </c>
      <c r="K111"/>
    </row>
    <row r="112" spans="1:11" x14ac:dyDescent="0.45">
      <c r="A112" s="3">
        <v>39829</v>
      </c>
      <c r="B112" s="2">
        <v>0.11180555555555556</v>
      </c>
      <c r="C112" t="s">
        <v>1737</v>
      </c>
      <c r="D112" t="s">
        <v>230</v>
      </c>
      <c r="E112">
        <v>7500</v>
      </c>
      <c r="F112" t="s">
        <v>11</v>
      </c>
      <c r="G112" t="s">
        <v>251</v>
      </c>
      <c r="H112" t="s">
        <v>252</v>
      </c>
      <c r="I112" t="s">
        <v>15</v>
      </c>
      <c r="J112" s="5">
        <f>WEEKDAY(Table1_2[[#This Row],[Transaction date]])</f>
        <v>6</v>
      </c>
      <c r="K112"/>
    </row>
    <row r="113" spans="1:11" x14ac:dyDescent="0.45">
      <c r="A113" s="3">
        <v>39833</v>
      </c>
      <c r="B113" s="2">
        <v>0.34027777777777779</v>
      </c>
      <c r="C113" t="s">
        <v>1737</v>
      </c>
      <c r="D113" t="s">
        <v>10</v>
      </c>
      <c r="E113">
        <v>1200</v>
      </c>
      <c r="F113" t="s">
        <v>63</v>
      </c>
      <c r="G113" t="s">
        <v>253</v>
      </c>
      <c r="H113" t="s">
        <v>62</v>
      </c>
      <c r="I113" t="s">
        <v>15</v>
      </c>
      <c r="J113" s="5">
        <f>WEEKDAY(Table1_2[[#This Row],[Transaction date]])</f>
        <v>3</v>
      </c>
      <c r="K113"/>
    </row>
    <row r="114" spans="1:11" x14ac:dyDescent="0.45">
      <c r="A114" s="3">
        <v>39819</v>
      </c>
      <c r="B114" s="2">
        <v>0.53125</v>
      </c>
      <c r="C114" t="s">
        <v>1738</v>
      </c>
      <c r="D114" t="s">
        <v>230</v>
      </c>
      <c r="E114">
        <v>3600</v>
      </c>
      <c r="F114" t="s">
        <v>63</v>
      </c>
      <c r="G114" t="s">
        <v>254</v>
      </c>
      <c r="H114" t="s">
        <v>255</v>
      </c>
      <c r="I114" t="s">
        <v>15</v>
      </c>
      <c r="J114" s="5">
        <f>WEEKDAY(Table1_2[[#This Row],[Transaction date]])</f>
        <v>3</v>
      </c>
      <c r="K114"/>
    </row>
    <row r="115" spans="1:11" x14ac:dyDescent="0.45">
      <c r="A115" s="3">
        <v>39823</v>
      </c>
      <c r="B115" s="2">
        <v>0.34236111111111112</v>
      </c>
      <c r="C115" t="s">
        <v>1737</v>
      </c>
      <c r="D115" t="s">
        <v>10</v>
      </c>
      <c r="E115">
        <v>1200</v>
      </c>
      <c r="F115" t="s">
        <v>11</v>
      </c>
      <c r="G115" t="s">
        <v>256</v>
      </c>
      <c r="H115" t="s">
        <v>257</v>
      </c>
      <c r="I115" t="s">
        <v>15</v>
      </c>
      <c r="J115" s="5">
        <f>WEEKDAY(Table1_2[[#This Row],[Transaction date]])</f>
        <v>7</v>
      </c>
      <c r="K115"/>
    </row>
    <row r="116" spans="1:11" x14ac:dyDescent="0.45">
      <c r="A116" s="3">
        <v>39820</v>
      </c>
      <c r="B116" s="2">
        <v>9.375E-2</v>
      </c>
      <c r="C116" t="s">
        <v>1737</v>
      </c>
      <c r="D116" t="s">
        <v>10</v>
      </c>
      <c r="E116">
        <v>1200</v>
      </c>
      <c r="F116" t="s">
        <v>16</v>
      </c>
      <c r="G116" t="s">
        <v>258</v>
      </c>
      <c r="H116" t="s">
        <v>259</v>
      </c>
      <c r="I116" t="s">
        <v>15</v>
      </c>
      <c r="J116" s="5">
        <f>WEEKDAY(Table1_2[[#This Row],[Transaction date]])</f>
        <v>4</v>
      </c>
      <c r="K116"/>
    </row>
    <row r="117" spans="1:11" x14ac:dyDescent="0.45">
      <c r="A117" s="3">
        <v>39821</v>
      </c>
      <c r="B117" s="2">
        <v>0.14374999999999999</v>
      </c>
      <c r="C117" t="s">
        <v>1737</v>
      </c>
      <c r="D117" t="s">
        <v>10</v>
      </c>
      <c r="E117">
        <v>1200</v>
      </c>
      <c r="F117" t="s">
        <v>16</v>
      </c>
      <c r="G117" t="s">
        <v>260</v>
      </c>
      <c r="H117" t="s">
        <v>156</v>
      </c>
      <c r="I117" t="s">
        <v>15</v>
      </c>
      <c r="J117" s="5">
        <f>WEEKDAY(Table1_2[[#This Row],[Transaction date]])</f>
        <v>5</v>
      </c>
      <c r="K117"/>
    </row>
    <row r="118" spans="1:11" x14ac:dyDescent="0.45">
      <c r="A118" s="3">
        <v>39834</v>
      </c>
      <c r="B118" s="2">
        <v>8.7499999999999994E-2</v>
      </c>
      <c r="C118" t="s">
        <v>1737</v>
      </c>
      <c r="D118" t="s">
        <v>10</v>
      </c>
      <c r="E118">
        <v>1200</v>
      </c>
      <c r="F118" t="s">
        <v>11</v>
      </c>
      <c r="G118" t="s">
        <v>36</v>
      </c>
      <c r="H118" t="s">
        <v>261</v>
      </c>
      <c r="I118" t="s">
        <v>15</v>
      </c>
      <c r="J118" s="5">
        <f>WEEKDAY(Table1_2[[#This Row],[Transaction date]])</f>
        <v>4</v>
      </c>
      <c r="K118"/>
    </row>
    <row r="119" spans="1:11" x14ac:dyDescent="0.45">
      <c r="A119" s="3">
        <v>39832</v>
      </c>
      <c r="B119" s="2">
        <v>0.29652777777777778</v>
      </c>
      <c r="C119" t="s">
        <v>1737</v>
      </c>
      <c r="D119" t="s">
        <v>10</v>
      </c>
      <c r="E119">
        <v>1200</v>
      </c>
      <c r="F119" t="s">
        <v>11</v>
      </c>
      <c r="G119" t="s">
        <v>262</v>
      </c>
      <c r="H119" t="s">
        <v>263</v>
      </c>
      <c r="I119" t="s">
        <v>15</v>
      </c>
      <c r="J119" s="5">
        <f>WEEKDAY(Table1_2[[#This Row],[Transaction date]])</f>
        <v>2</v>
      </c>
      <c r="K119"/>
    </row>
    <row r="120" spans="1:11" x14ac:dyDescent="0.45">
      <c r="A120" s="3">
        <v>39831</v>
      </c>
      <c r="B120" s="2">
        <v>0.26874999999999999</v>
      </c>
      <c r="C120" t="s">
        <v>1737</v>
      </c>
      <c r="D120" t="s">
        <v>10</v>
      </c>
      <c r="E120">
        <v>1200</v>
      </c>
      <c r="F120" t="s">
        <v>16</v>
      </c>
      <c r="G120" t="s">
        <v>264</v>
      </c>
      <c r="H120" t="s">
        <v>265</v>
      </c>
      <c r="I120" t="s">
        <v>15</v>
      </c>
      <c r="J120" s="5">
        <f>WEEKDAY(Table1_2[[#This Row],[Transaction date]])</f>
        <v>1</v>
      </c>
      <c r="K120"/>
    </row>
    <row r="121" spans="1:11" x14ac:dyDescent="0.45">
      <c r="A121" s="3">
        <v>39833</v>
      </c>
      <c r="B121" s="2">
        <v>0.49861111111111112</v>
      </c>
      <c r="C121" t="s">
        <v>1737</v>
      </c>
      <c r="D121" t="s">
        <v>10</v>
      </c>
      <c r="E121">
        <v>1200</v>
      </c>
      <c r="F121" t="s">
        <v>16</v>
      </c>
      <c r="G121" t="s">
        <v>266</v>
      </c>
      <c r="H121" t="s">
        <v>267</v>
      </c>
      <c r="I121" t="s">
        <v>15</v>
      </c>
      <c r="J121" s="5">
        <f>WEEKDAY(Table1_2[[#This Row],[Transaction date]])</f>
        <v>3</v>
      </c>
      <c r="K121"/>
    </row>
    <row r="122" spans="1:11" x14ac:dyDescent="0.45">
      <c r="A122" s="3">
        <v>39833</v>
      </c>
      <c r="B122" s="2">
        <v>0.18888888888888888</v>
      </c>
      <c r="C122" t="s">
        <v>1737</v>
      </c>
      <c r="D122" t="s">
        <v>10</v>
      </c>
      <c r="E122">
        <v>1200</v>
      </c>
      <c r="F122" t="s">
        <v>11</v>
      </c>
      <c r="G122" t="s">
        <v>268</v>
      </c>
      <c r="H122" t="s">
        <v>269</v>
      </c>
      <c r="I122" t="s">
        <v>15</v>
      </c>
      <c r="J122" s="5">
        <f>WEEKDAY(Table1_2[[#This Row],[Transaction date]])</f>
        <v>3</v>
      </c>
      <c r="K122"/>
    </row>
    <row r="123" spans="1:11" x14ac:dyDescent="0.45">
      <c r="A123" s="3">
        <v>39814</v>
      </c>
      <c r="B123" s="2">
        <v>0.29791666666666666</v>
      </c>
      <c r="C123" t="s">
        <v>1737</v>
      </c>
      <c r="D123" t="s">
        <v>10</v>
      </c>
      <c r="E123">
        <v>1200</v>
      </c>
      <c r="F123" t="s">
        <v>63</v>
      </c>
      <c r="G123" t="s">
        <v>270</v>
      </c>
      <c r="H123" t="s">
        <v>271</v>
      </c>
      <c r="I123" t="s">
        <v>15</v>
      </c>
      <c r="J123" s="5">
        <f>WEEKDAY(Table1_2[[#This Row],[Transaction date]])</f>
        <v>5</v>
      </c>
      <c r="K123"/>
    </row>
    <row r="124" spans="1:11" x14ac:dyDescent="0.45">
      <c r="A124" s="3">
        <v>39834</v>
      </c>
      <c r="B124" s="2">
        <v>0.12152777777777778</v>
      </c>
      <c r="C124" t="s">
        <v>1737</v>
      </c>
      <c r="D124" t="s">
        <v>10</v>
      </c>
      <c r="E124">
        <v>1200</v>
      </c>
      <c r="F124" t="s">
        <v>11</v>
      </c>
      <c r="G124" t="s">
        <v>272</v>
      </c>
      <c r="H124" t="s">
        <v>34</v>
      </c>
      <c r="I124" t="s">
        <v>15</v>
      </c>
      <c r="J124" s="5">
        <f>WEEKDAY(Table1_2[[#This Row],[Transaction date]])</f>
        <v>4</v>
      </c>
      <c r="K124"/>
    </row>
    <row r="125" spans="1:11" x14ac:dyDescent="0.45">
      <c r="A125" s="3">
        <v>39820</v>
      </c>
      <c r="B125" s="2">
        <v>0.43680555555555556</v>
      </c>
      <c r="C125" t="s">
        <v>1737</v>
      </c>
      <c r="D125" t="s">
        <v>10</v>
      </c>
      <c r="E125">
        <v>1200</v>
      </c>
      <c r="F125" t="s">
        <v>16</v>
      </c>
      <c r="G125" t="s">
        <v>273</v>
      </c>
      <c r="H125" t="s">
        <v>274</v>
      </c>
      <c r="I125" t="s">
        <v>15</v>
      </c>
      <c r="J125" s="5">
        <f>WEEKDAY(Table1_2[[#This Row],[Transaction date]])</f>
        <v>4</v>
      </c>
      <c r="K125"/>
    </row>
    <row r="126" spans="1:11" x14ac:dyDescent="0.45">
      <c r="A126" s="3">
        <v>39831</v>
      </c>
      <c r="B126" s="2">
        <v>0.2013888888888889</v>
      </c>
      <c r="C126" t="s">
        <v>1737</v>
      </c>
      <c r="D126" t="s">
        <v>10</v>
      </c>
      <c r="E126">
        <v>1200</v>
      </c>
      <c r="F126" t="s">
        <v>11</v>
      </c>
      <c r="G126" t="s">
        <v>276</v>
      </c>
      <c r="H126" t="s">
        <v>277</v>
      </c>
      <c r="I126" t="s">
        <v>15</v>
      </c>
      <c r="J126" s="5">
        <f>WEEKDAY(Table1_2[[#This Row],[Transaction date]])</f>
        <v>1</v>
      </c>
      <c r="K126"/>
    </row>
    <row r="127" spans="1:11" x14ac:dyDescent="0.45">
      <c r="A127" s="3">
        <v>39834</v>
      </c>
      <c r="B127" s="2">
        <v>0.50555555555555554</v>
      </c>
      <c r="C127" t="s">
        <v>1738</v>
      </c>
      <c r="D127" t="s">
        <v>20</v>
      </c>
      <c r="E127">
        <v>3600</v>
      </c>
      <c r="F127" t="s">
        <v>11</v>
      </c>
      <c r="G127" t="s">
        <v>278</v>
      </c>
      <c r="H127" t="s">
        <v>279</v>
      </c>
      <c r="I127" t="s">
        <v>15</v>
      </c>
      <c r="J127" s="5">
        <f>WEEKDAY(Table1_2[[#This Row],[Transaction date]])</f>
        <v>4</v>
      </c>
      <c r="K127"/>
    </row>
    <row r="128" spans="1:11" x14ac:dyDescent="0.45">
      <c r="A128" s="3">
        <v>39835</v>
      </c>
      <c r="B128" s="2">
        <v>0.27847222222222223</v>
      </c>
      <c r="C128" t="s">
        <v>1737</v>
      </c>
      <c r="D128" t="s">
        <v>10</v>
      </c>
      <c r="E128">
        <v>1200</v>
      </c>
      <c r="F128" t="s">
        <v>11</v>
      </c>
      <c r="G128" t="s">
        <v>280</v>
      </c>
      <c r="H128" t="s">
        <v>281</v>
      </c>
      <c r="I128" t="s">
        <v>15</v>
      </c>
      <c r="J128" s="5">
        <f>WEEKDAY(Table1_2[[#This Row],[Transaction date]])</f>
        <v>5</v>
      </c>
      <c r="K128"/>
    </row>
    <row r="129" spans="1:11" x14ac:dyDescent="0.45">
      <c r="A129" s="3">
        <v>39825</v>
      </c>
      <c r="B129" s="2">
        <v>0.39097222222222222</v>
      </c>
      <c r="C129" t="s">
        <v>1737</v>
      </c>
      <c r="D129" t="s">
        <v>10</v>
      </c>
      <c r="E129">
        <v>1200</v>
      </c>
      <c r="F129" t="s">
        <v>16</v>
      </c>
      <c r="G129" t="s">
        <v>282</v>
      </c>
      <c r="H129" t="s">
        <v>283</v>
      </c>
      <c r="I129" t="s">
        <v>15</v>
      </c>
      <c r="J129" s="5">
        <f>WEEKDAY(Table1_2[[#This Row],[Transaction date]])</f>
        <v>2</v>
      </c>
      <c r="K129"/>
    </row>
    <row r="130" spans="1:11" x14ac:dyDescent="0.45">
      <c r="A130" s="3">
        <v>39835</v>
      </c>
      <c r="B130" s="2">
        <v>0.34930555555555554</v>
      </c>
      <c r="C130" t="s">
        <v>1737</v>
      </c>
      <c r="D130" t="s">
        <v>10</v>
      </c>
      <c r="E130">
        <v>1200</v>
      </c>
      <c r="F130" t="s">
        <v>11</v>
      </c>
      <c r="G130" t="s">
        <v>284</v>
      </c>
      <c r="H130" t="s">
        <v>285</v>
      </c>
      <c r="I130" t="s">
        <v>15</v>
      </c>
      <c r="J130" s="5">
        <f>WEEKDAY(Table1_2[[#This Row],[Transaction date]])</f>
        <v>5</v>
      </c>
      <c r="K130"/>
    </row>
    <row r="131" spans="1:11" x14ac:dyDescent="0.45">
      <c r="A131" s="3">
        <v>39833</v>
      </c>
      <c r="B131" s="2">
        <v>0.36875000000000002</v>
      </c>
      <c r="C131" t="s">
        <v>1737</v>
      </c>
      <c r="D131" t="s">
        <v>10</v>
      </c>
      <c r="E131">
        <v>1200</v>
      </c>
      <c r="F131" t="s">
        <v>11</v>
      </c>
      <c r="G131" t="s">
        <v>76</v>
      </c>
      <c r="H131" t="s">
        <v>286</v>
      </c>
      <c r="I131" t="s">
        <v>15</v>
      </c>
      <c r="J131" s="5">
        <f>WEEKDAY(Table1_2[[#This Row],[Transaction date]])</f>
        <v>3</v>
      </c>
      <c r="K131"/>
    </row>
    <row r="132" spans="1:11" x14ac:dyDescent="0.45">
      <c r="A132" s="3">
        <v>39819</v>
      </c>
      <c r="B132" s="2">
        <v>0.35694444444444445</v>
      </c>
      <c r="C132" t="s">
        <v>1737</v>
      </c>
      <c r="D132" t="s">
        <v>10</v>
      </c>
      <c r="E132">
        <v>1200</v>
      </c>
      <c r="F132" t="s">
        <v>11</v>
      </c>
      <c r="G132" t="s">
        <v>287</v>
      </c>
      <c r="H132" t="s">
        <v>288</v>
      </c>
      <c r="I132" t="s">
        <v>15</v>
      </c>
      <c r="J132" s="5">
        <f>WEEKDAY(Table1_2[[#This Row],[Transaction date]])</f>
        <v>3</v>
      </c>
      <c r="K132"/>
    </row>
    <row r="133" spans="1:11" x14ac:dyDescent="0.45">
      <c r="A133" s="3">
        <v>39836</v>
      </c>
      <c r="B133" s="2">
        <v>0.14791666666666667</v>
      </c>
      <c r="C133" t="s">
        <v>1737</v>
      </c>
      <c r="D133" t="s">
        <v>20</v>
      </c>
      <c r="E133">
        <v>3600</v>
      </c>
      <c r="F133" t="s">
        <v>16</v>
      </c>
      <c r="G133" t="s">
        <v>289</v>
      </c>
      <c r="H133" t="s">
        <v>192</v>
      </c>
      <c r="I133" t="s">
        <v>15</v>
      </c>
      <c r="J133" s="5">
        <f>WEEKDAY(Table1_2[[#This Row],[Transaction date]])</f>
        <v>6</v>
      </c>
      <c r="K133"/>
    </row>
    <row r="134" spans="1:11" x14ac:dyDescent="0.45">
      <c r="A134" s="3">
        <v>39834</v>
      </c>
      <c r="B134" s="2">
        <v>9.375E-2</v>
      </c>
      <c r="C134" t="s">
        <v>1737</v>
      </c>
      <c r="D134" t="s">
        <v>10</v>
      </c>
      <c r="E134">
        <v>1200</v>
      </c>
      <c r="F134" t="s">
        <v>63</v>
      </c>
      <c r="G134" t="s">
        <v>290</v>
      </c>
      <c r="H134" t="s">
        <v>291</v>
      </c>
      <c r="I134" t="s">
        <v>15</v>
      </c>
      <c r="J134" s="5">
        <f>WEEKDAY(Table1_2[[#This Row],[Transaction date]])</f>
        <v>4</v>
      </c>
      <c r="K134"/>
    </row>
    <row r="135" spans="1:11" x14ac:dyDescent="0.45">
      <c r="A135" s="3">
        <v>39834</v>
      </c>
      <c r="B135" s="2">
        <v>0.27708333333333335</v>
      </c>
      <c r="C135" t="s">
        <v>1737</v>
      </c>
      <c r="D135" t="s">
        <v>10</v>
      </c>
      <c r="E135">
        <v>1200</v>
      </c>
      <c r="F135" t="s">
        <v>63</v>
      </c>
      <c r="G135" t="s">
        <v>293</v>
      </c>
      <c r="H135" t="s">
        <v>226</v>
      </c>
      <c r="I135" t="s">
        <v>15</v>
      </c>
      <c r="J135" s="5">
        <f>WEEKDAY(Table1_2[[#This Row],[Transaction date]])</f>
        <v>4</v>
      </c>
      <c r="K135"/>
    </row>
    <row r="136" spans="1:11" x14ac:dyDescent="0.45">
      <c r="A136" s="3">
        <v>39832</v>
      </c>
      <c r="B136" s="2">
        <v>0.34305555555555556</v>
      </c>
      <c r="C136" t="s">
        <v>1737</v>
      </c>
      <c r="D136" t="s">
        <v>10</v>
      </c>
      <c r="E136">
        <v>1200</v>
      </c>
      <c r="F136" t="s">
        <v>11</v>
      </c>
      <c r="G136" t="s">
        <v>294</v>
      </c>
      <c r="H136" t="s">
        <v>71</v>
      </c>
      <c r="I136" t="s">
        <v>15</v>
      </c>
      <c r="J136" s="5">
        <f>WEEKDAY(Table1_2[[#This Row],[Transaction date]])</f>
        <v>2</v>
      </c>
      <c r="K136"/>
    </row>
    <row r="137" spans="1:11" x14ac:dyDescent="0.45">
      <c r="A137" s="3">
        <v>39835</v>
      </c>
      <c r="B137" s="2">
        <v>0.4826388888888889</v>
      </c>
      <c r="C137" t="s">
        <v>1737</v>
      </c>
      <c r="D137" t="s">
        <v>10</v>
      </c>
      <c r="E137">
        <v>1200</v>
      </c>
      <c r="F137" t="s">
        <v>16</v>
      </c>
      <c r="G137" t="s">
        <v>295</v>
      </c>
      <c r="H137" t="s">
        <v>296</v>
      </c>
      <c r="I137" t="s">
        <v>15</v>
      </c>
      <c r="J137" s="5">
        <f>WEEKDAY(Table1_2[[#This Row],[Transaction date]])</f>
        <v>5</v>
      </c>
      <c r="K137"/>
    </row>
    <row r="138" spans="1:11" x14ac:dyDescent="0.45">
      <c r="A138" s="3">
        <v>39834</v>
      </c>
      <c r="B138" s="2">
        <v>0.33263888888888887</v>
      </c>
      <c r="C138" t="s">
        <v>1737</v>
      </c>
      <c r="D138" t="s">
        <v>10</v>
      </c>
      <c r="E138">
        <v>1200</v>
      </c>
      <c r="F138" t="s">
        <v>11</v>
      </c>
      <c r="G138" t="s">
        <v>297</v>
      </c>
      <c r="H138" t="s">
        <v>298</v>
      </c>
      <c r="I138" t="s">
        <v>15</v>
      </c>
      <c r="J138" s="5">
        <f>WEEKDAY(Table1_2[[#This Row],[Transaction date]])</f>
        <v>4</v>
      </c>
      <c r="K138"/>
    </row>
    <row r="139" spans="1:11" x14ac:dyDescent="0.45">
      <c r="A139" s="3">
        <v>39836</v>
      </c>
      <c r="B139" s="2">
        <v>0.31736111111111109</v>
      </c>
      <c r="C139" t="s">
        <v>1737</v>
      </c>
      <c r="D139" t="s">
        <v>230</v>
      </c>
      <c r="E139">
        <v>3600</v>
      </c>
      <c r="F139" t="s">
        <v>63</v>
      </c>
      <c r="G139" t="s">
        <v>299</v>
      </c>
      <c r="H139" t="s">
        <v>59</v>
      </c>
      <c r="I139" t="s">
        <v>15</v>
      </c>
      <c r="J139" s="5">
        <f>WEEKDAY(Table1_2[[#This Row],[Transaction date]])</f>
        <v>6</v>
      </c>
      <c r="K139"/>
    </row>
    <row r="140" spans="1:11" x14ac:dyDescent="0.45">
      <c r="A140" s="3">
        <v>39831</v>
      </c>
      <c r="B140" s="2">
        <v>0.11041666666666666</v>
      </c>
      <c r="C140" t="s">
        <v>1737</v>
      </c>
      <c r="D140" t="s">
        <v>10</v>
      </c>
      <c r="E140">
        <v>1200</v>
      </c>
      <c r="F140" t="s">
        <v>11</v>
      </c>
      <c r="G140" t="s">
        <v>300</v>
      </c>
      <c r="H140" t="s">
        <v>301</v>
      </c>
      <c r="I140" t="s">
        <v>15</v>
      </c>
      <c r="J140" s="5">
        <f>WEEKDAY(Table1_2[[#This Row],[Transaction date]])</f>
        <v>1</v>
      </c>
      <c r="K140"/>
    </row>
    <row r="141" spans="1:11" x14ac:dyDescent="0.45">
      <c r="A141" s="3">
        <v>39830</v>
      </c>
      <c r="B141" s="2">
        <v>0.30763888888888891</v>
      </c>
      <c r="C141" t="s">
        <v>1737</v>
      </c>
      <c r="D141" t="s">
        <v>10</v>
      </c>
      <c r="E141">
        <v>1200</v>
      </c>
      <c r="F141" t="s">
        <v>11</v>
      </c>
      <c r="G141" t="s">
        <v>302</v>
      </c>
      <c r="H141" t="s">
        <v>303</v>
      </c>
      <c r="I141" t="s">
        <v>15</v>
      </c>
      <c r="J141" s="5">
        <f>WEEKDAY(Table1_2[[#This Row],[Transaction date]])</f>
        <v>7</v>
      </c>
      <c r="K141"/>
    </row>
    <row r="142" spans="1:11" x14ac:dyDescent="0.45">
      <c r="A142" s="3">
        <v>39836</v>
      </c>
      <c r="B142" s="2">
        <v>0.48402777777777778</v>
      </c>
      <c r="C142" t="s">
        <v>1737</v>
      </c>
      <c r="D142" t="s">
        <v>10</v>
      </c>
      <c r="E142">
        <v>1200</v>
      </c>
      <c r="F142" t="s">
        <v>11</v>
      </c>
      <c r="G142" t="s">
        <v>304</v>
      </c>
      <c r="H142" t="s">
        <v>110</v>
      </c>
      <c r="I142" t="s">
        <v>15</v>
      </c>
      <c r="J142" s="5">
        <f>WEEKDAY(Table1_2[[#This Row],[Transaction date]])</f>
        <v>6</v>
      </c>
      <c r="K142"/>
    </row>
    <row r="143" spans="1:11" x14ac:dyDescent="0.45">
      <c r="A143" s="3">
        <v>39832</v>
      </c>
      <c r="B143" s="2">
        <v>0.12638888888888888</v>
      </c>
      <c r="C143" t="s">
        <v>1737</v>
      </c>
      <c r="D143" t="s">
        <v>10</v>
      </c>
      <c r="E143">
        <v>1200</v>
      </c>
      <c r="F143" t="s">
        <v>16</v>
      </c>
      <c r="G143" t="s">
        <v>305</v>
      </c>
      <c r="H143" t="s">
        <v>306</v>
      </c>
      <c r="I143" t="s">
        <v>15</v>
      </c>
      <c r="J143" s="5">
        <f>WEEKDAY(Table1_2[[#This Row],[Transaction date]])</f>
        <v>2</v>
      </c>
      <c r="K143"/>
    </row>
    <row r="144" spans="1:11" x14ac:dyDescent="0.45">
      <c r="A144" s="3">
        <v>39820</v>
      </c>
      <c r="B144" s="2">
        <v>0.29375000000000001</v>
      </c>
      <c r="C144" t="s">
        <v>1737</v>
      </c>
      <c r="D144" t="s">
        <v>20</v>
      </c>
      <c r="E144">
        <v>3600</v>
      </c>
      <c r="F144" t="s">
        <v>16</v>
      </c>
      <c r="G144" t="s">
        <v>307</v>
      </c>
      <c r="H144" t="s">
        <v>129</v>
      </c>
      <c r="I144" t="s">
        <v>15</v>
      </c>
      <c r="J144" s="5">
        <f>WEEKDAY(Table1_2[[#This Row],[Transaction date]])</f>
        <v>4</v>
      </c>
      <c r="K144"/>
    </row>
    <row r="145" spans="1:11" x14ac:dyDescent="0.45">
      <c r="A145" s="3">
        <v>39830</v>
      </c>
      <c r="B145" s="2">
        <v>8.4722222222222227E-2</v>
      </c>
      <c r="C145" t="s">
        <v>1737</v>
      </c>
      <c r="D145" t="s">
        <v>10</v>
      </c>
      <c r="E145">
        <v>1200</v>
      </c>
      <c r="F145" t="s">
        <v>11</v>
      </c>
      <c r="G145" t="s">
        <v>308</v>
      </c>
      <c r="H145" t="s">
        <v>306</v>
      </c>
      <c r="I145" t="s">
        <v>15</v>
      </c>
      <c r="J145" s="5">
        <f>WEEKDAY(Table1_2[[#This Row],[Transaction date]])</f>
        <v>7</v>
      </c>
      <c r="K145"/>
    </row>
    <row r="146" spans="1:11" x14ac:dyDescent="0.45">
      <c r="A146" s="3">
        <v>39838</v>
      </c>
      <c r="B146" s="2">
        <v>0.50624999999999998</v>
      </c>
      <c r="C146" t="s">
        <v>1738</v>
      </c>
      <c r="D146" t="s">
        <v>10</v>
      </c>
      <c r="E146">
        <v>1200</v>
      </c>
      <c r="F146" t="s">
        <v>11</v>
      </c>
      <c r="G146" t="s">
        <v>309</v>
      </c>
      <c r="H146" t="s">
        <v>310</v>
      </c>
      <c r="I146" t="s">
        <v>15</v>
      </c>
      <c r="J146" s="5">
        <f>WEEKDAY(Table1_2[[#This Row],[Transaction date]])</f>
        <v>1</v>
      </c>
      <c r="K146"/>
    </row>
    <row r="147" spans="1:11" x14ac:dyDescent="0.45">
      <c r="A147" s="3">
        <v>39819</v>
      </c>
      <c r="B147" s="2">
        <v>0.41111111111111109</v>
      </c>
      <c r="C147" t="s">
        <v>1737</v>
      </c>
      <c r="D147" t="s">
        <v>10</v>
      </c>
      <c r="E147">
        <v>1200</v>
      </c>
      <c r="F147" t="s">
        <v>16</v>
      </c>
      <c r="G147" t="s">
        <v>174</v>
      </c>
      <c r="H147" t="s">
        <v>176</v>
      </c>
      <c r="I147" t="s">
        <v>15</v>
      </c>
      <c r="J147" s="5">
        <f>WEEKDAY(Table1_2[[#This Row],[Transaction date]])</f>
        <v>3</v>
      </c>
      <c r="K147"/>
    </row>
    <row r="148" spans="1:11" x14ac:dyDescent="0.45">
      <c r="A148" s="3">
        <v>39826</v>
      </c>
      <c r="B148" s="2">
        <v>0.12013888888888889</v>
      </c>
      <c r="C148" t="s">
        <v>1737</v>
      </c>
      <c r="D148" t="s">
        <v>10</v>
      </c>
      <c r="E148">
        <v>1200</v>
      </c>
      <c r="F148" t="s">
        <v>11</v>
      </c>
      <c r="G148" t="s">
        <v>311</v>
      </c>
      <c r="H148" t="s">
        <v>312</v>
      </c>
      <c r="I148" t="s">
        <v>15</v>
      </c>
      <c r="J148" s="5">
        <f>WEEKDAY(Table1_2[[#This Row],[Transaction date]])</f>
        <v>3</v>
      </c>
      <c r="K148"/>
    </row>
    <row r="149" spans="1:11" x14ac:dyDescent="0.45">
      <c r="A149" s="3">
        <v>39819</v>
      </c>
      <c r="B149" s="2">
        <v>0.19236111111111112</v>
      </c>
      <c r="C149" t="s">
        <v>1737</v>
      </c>
      <c r="D149" t="s">
        <v>10</v>
      </c>
      <c r="E149">
        <v>1200</v>
      </c>
      <c r="F149" t="s">
        <v>11</v>
      </c>
      <c r="G149" t="s">
        <v>313</v>
      </c>
      <c r="H149" t="s">
        <v>314</v>
      </c>
      <c r="I149" t="s">
        <v>15</v>
      </c>
      <c r="J149" s="5">
        <f>WEEKDAY(Table1_2[[#This Row],[Transaction date]])</f>
        <v>3</v>
      </c>
      <c r="K149"/>
    </row>
    <row r="150" spans="1:11" x14ac:dyDescent="0.45">
      <c r="A150" s="3">
        <v>39831</v>
      </c>
      <c r="B150" s="2">
        <v>0.22291666666666668</v>
      </c>
      <c r="C150" t="s">
        <v>1737</v>
      </c>
      <c r="D150" t="s">
        <v>10</v>
      </c>
      <c r="E150">
        <v>1200</v>
      </c>
      <c r="F150" t="s">
        <v>16</v>
      </c>
      <c r="G150" t="s">
        <v>315</v>
      </c>
      <c r="H150" t="s">
        <v>316</v>
      </c>
      <c r="I150" t="s">
        <v>15</v>
      </c>
      <c r="J150" s="5">
        <f>WEEKDAY(Table1_2[[#This Row],[Transaction date]])</f>
        <v>1</v>
      </c>
      <c r="K150"/>
    </row>
    <row r="151" spans="1:11" x14ac:dyDescent="0.45">
      <c r="A151" s="3">
        <v>39826</v>
      </c>
      <c r="B151" s="2">
        <v>0.13750000000000001</v>
      </c>
      <c r="C151" t="s">
        <v>1737</v>
      </c>
      <c r="D151" t="s">
        <v>10</v>
      </c>
      <c r="E151">
        <v>1200</v>
      </c>
      <c r="F151" t="s">
        <v>63</v>
      </c>
      <c r="G151" t="s">
        <v>317</v>
      </c>
      <c r="H151" t="s">
        <v>318</v>
      </c>
      <c r="I151" t="s">
        <v>15</v>
      </c>
      <c r="J151" s="5">
        <f>WEEKDAY(Table1_2[[#This Row],[Transaction date]])</f>
        <v>3</v>
      </c>
      <c r="K151"/>
    </row>
    <row r="152" spans="1:11" x14ac:dyDescent="0.45">
      <c r="A152" s="3">
        <v>39831</v>
      </c>
      <c r="B152" s="2">
        <v>4.583333333333333E-2</v>
      </c>
      <c r="C152" t="s">
        <v>1737</v>
      </c>
      <c r="D152" t="s">
        <v>10</v>
      </c>
      <c r="E152">
        <v>1200</v>
      </c>
      <c r="F152" t="s">
        <v>11</v>
      </c>
      <c r="G152" t="s">
        <v>319</v>
      </c>
      <c r="H152" t="s">
        <v>320</v>
      </c>
      <c r="I152" t="s">
        <v>15</v>
      </c>
      <c r="J152" s="5">
        <f>WEEKDAY(Table1_2[[#This Row],[Transaction date]])</f>
        <v>1</v>
      </c>
      <c r="K152"/>
    </row>
    <row r="153" spans="1:11" x14ac:dyDescent="0.45">
      <c r="A153" s="3">
        <v>39835</v>
      </c>
      <c r="B153" s="2">
        <v>0.28055555555555556</v>
      </c>
      <c r="C153" t="s">
        <v>1737</v>
      </c>
      <c r="D153" t="s">
        <v>10</v>
      </c>
      <c r="E153">
        <v>1200</v>
      </c>
      <c r="F153" t="s">
        <v>11</v>
      </c>
      <c r="G153" t="s">
        <v>105</v>
      </c>
      <c r="H153" t="s">
        <v>321</v>
      </c>
      <c r="I153" t="s">
        <v>15</v>
      </c>
      <c r="J153" s="5">
        <f>WEEKDAY(Table1_2[[#This Row],[Transaction date]])</f>
        <v>5</v>
      </c>
      <c r="K153"/>
    </row>
    <row r="154" spans="1:11" x14ac:dyDescent="0.45">
      <c r="A154" s="3">
        <v>39821</v>
      </c>
      <c r="B154" s="2">
        <v>0.37361111111111112</v>
      </c>
      <c r="C154" t="s">
        <v>1737</v>
      </c>
      <c r="D154" t="s">
        <v>10</v>
      </c>
      <c r="E154">
        <v>1200</v>
      </c>
      <c r="F154" t="s">
        <v>16</v>
      </c>
      <c r="G154" t="s">
        <v>322</v>
      </c>
      <c r="H154" t="s">
        <v>323</v>
      </c>
      <c r="I154" t="s">
        <v>15</v>
      </c>
      <c r="J154" s="5">
        <f>WEEKDAY(Table1_2[[#This Row],[Transaction date]])</f>
        <v>5</v>
      </c>
      <c r="K154"/>
    </row>
    <row r="155" spans="1:11" x14ac:dyDescent="0.45">
      <c r="A155" s="3">
        <v>39817</v>
      </c>
      <c r="B155" s="2">
        <v>0.41249999999999998</v>
      </c>
      <c r="C155" t="s">
        <v>1737</v>
      </c>
      <c r="D155" t="s">
        <v>10</v>
      </c>
      <c r="E155">
        <v>1200</v>
      </c>
      <c r="F155" t="s">
        <v>16</v>
      </c>
      <c r="G155" t="s">
        <v>324</v>
      </c>
      <c r="H155" t="s">
        <v>325</v>
      </c>
      <c r="I155" t="s">
        <v>15</v>
      </c>
      <c r="J155" s="5">
        <f>WEEKDAY(Table1_2[[#This Row],[Transaction date]])</f>
        <v>1</v>
      </c>
      <c r="K155"/>
    </row>
    <row r="156" spans="1:11" x14ac:dyDescent="0.45">
      <c r="A156" s="3">
        <v>39822</v>
      </c>
      <c r="B156" s="2">
        <v>0.43194444444444446</v>
      </c>
      <c r="C156" t="s">
        <v>1737</v>
      </c>
      <c r="D156" t="s">
        <v>10</v>
      </c>
      <c r="E156">
        <v>1200</v>
      </c>
      <c r="F156" t="s">
        <v>16</v>
      </c>
      <c r="G156" t="s">
        <v>326</v>
      </c>
      <c r="H156" t="s">
        <v>327</v>
      </c>
      <c r="I156" t="s">
        <v>15</v>
      </c>
      <c r="J156" s="5">
        <f>WEEKDAY(Table1_2[[#This Row],[Transaction date]])</f>
        <v>6</v>
      </c>
      <c r="K156"/>
    </row>
    <row r="157" spans="1:11" x14ac:dyDescent="0.45">
      <c r="A157" s="3">
        <v>39839</v>
      </c>
      <c r="B157" s="2">
        <v>0.15486111111111112</v>
      </c>
      <c r="C157" t="s">
        <v>1737</v>
      </c>
      <c r="D157" t="s">
        <v>10</v>
      </c>
      <c r="E157">
        <v>1200</v>
      </c>
      <c r="F157" t="s">
        <v>16</v>
      </c>
      <c r="G157" t="s">
        <v>328</v>
      </c>
      <c r="H157" t="s">
        <v>329</v>
      </c>
      <c r="I157" t="s">
        <v>15</v>
      </c>
      <c r="J157" s="5">
        <f>WEEKDAY(Table1_2[[#This Row],[Transaction date]])</f>
        <v>2</v>
      </c>
      <c r="K157"/>
    </row>
    <row r="158" spans="1:11" x14ac:dyDescent="0.45">
      <c r="A158" s="3">
        <v>39824</v>
      </c>
      <c r="B158" s="2">
        <v>5.2777777777777778E-2</v>
      </c>
      <c r="C158" t="s">
        <v>1737</v>
      </c>
      <c r="D158" t="s">
        <v>20</v>
      </c>
      <c r="E158">
        <v>3600</v>
      </c>
      <c r="F158" t="s">
        <v>11</v>
      </c>
      <c r="G158" t="s">
        <v>330</v>
      </c>
      <c r="H158" t="s">
        <v>331</v>
      </c>
      <c r="I158" t="s">
        <v>15</v>
      </c>
      <c r="J158" s="5">
        <f>WEEKDAY(Table1_2[[#This Row],[Transaction date]])</f>
        <v>1</v>
      </c>
      <c r="K158"/>
    </row>
    <row r="159" spans="1:11" x14ac:dyDescent="0.45">
      <c r="A159" s="3">
        <v>39834</v>
      </c>
      <c r="B159" s="2">
        <v>0.4777777777777778</v>
      </c>
      <c r="C159" t="s">
        <v>1737</v>
      </c>
      <c r="D159" t="s">
        <v>230</v>
      </c>
      <c r="E159">
        <v>800</v>
      </c>
      <c r="F159" t="s">
        <v>63</v>
      </c>
      <c r="G159" t="s">
        <v>332</v>
      </c>
      <c r="H159" t="s">
        <v>333</v>
      </c>
      <c r="I159" t="s">
        <v>15</v>
      </c>
      <c r="J159" s="5">
        <f>WEEKDAY(Table1_2[[#This Row],[Transaction date]])</f>
        <v>4</v>
      </c>
      <c r="K159"/>
    </row>
    <row r="160" spans="1:11" x14ac:dyDescent="0.45">
      <c r="A160" s="3">
        <v>39839</v>
      </c>
      <c r="B160" s="2">
        <v>0.1875</v>
      </c>
      <c r="C160" t="s">
        <v>1737</v>
      </c>
      <c r="D160" t="s">
        <v>10</v>
      </c>
      <c r="E160">
        <v>1200</v>
      </c>
      <c r="F160" t="s">
        <v>11</v>
      </c>
      <c r="G160" t="s">
        <v>334</v>
      </c>
      <c r="H160" t="s">
        <v>335</v>
      </c>
      <c r="I160" t="s">
        <v>15</v>
      </c>
      <c r="J160" s="5">
        <f>WEEKDAY(Table1_2[[#This Row],[Transaction date]])</f>
        <v>2</v>
      </c>
      <c r="K160"/>
    </row>
    <row r="161" spans="1:11" x14ac:dyDescent="0.45">
      <c r="A161" s="3">
        <v>39820</v>
      </c>
      <c r="B161" s="2">
        <v>0.24374999999999999</v>
      </c>
      <c r="C161" t="s">
        <v>1737</v>
      </c>
      <c r="D161" t="s">
        <v>10</v>
      </c>
      <c r="E161">
        <v>1200</v>
      </c>
      <c r="F161" t="s">
        <v>11</v>
      </c>
      <c r="G161" t="s">
        <v>76</v>
      </c>
      <c r="H161" t="s">
        <v>337</v>
      </c>
      <c r="I161" t="s">
        <v>15</v>
      </c>
      <c r="J161" s="5">
        <f>WEEKDAY(Table1_2[[#This Row],[Transaction date]])</f>
        <v>4</v>
      </c>
      <c r="K161"/>
    </row>
    <row r="162" spans="1:11" x14ac:dyDescent="0.45">
      <c r="A162" s="3">
        <v>39831</v>
      </c>
      <c r="B162" s="2">
        <v>0.34444444444444444</v>
      </c>
      <c r="C162" t="s">
        <v>1737</v>
      </c>
      <c r="D162" t="s">
        <v>10</v>
      </c>
      <c r="E162">
        <v>1200</v>
      </c>
      <c r="F162" t="s">
        <v>16</v>
      </c>
      <c r="G162" t="s">
        <v>50</v>
      </c>
      <c r="H162" t="s">
        <v>338</v>
      </c>
      <c r="I162" t="s">
        <v>15</v>
      </c>
      <c r="J162" s="5">
        <f>WEEKDAY(Table1_2[[#This Row],[Transaction date]])</f>
        <v>1</v>
      </c>
      <c r="K162"/>
    </row>
    <row r="163" spans="1:11" x14ac:dyDescent="0.45">
      <c r="A163" s="3">
        <v>39837</v>
      </c>
      <c r="B163" s="2">
        <v>0.27986111111111112</v>
      </c>
      <c r="C163" t="s">
        <v>1737</v>
      </c>
      <c r="D163" t="s">
        <v>10</v>
      </c>
      <c r="E163">
        <v>1200</v>
      </c>
      <c r="F163" t="s">
        <v>11</v>
      </c>
      <c r="G163" t="s">
        <v>339</v>
      </c>
      <c r="H163" t="s">
        <v>340</v>
      </c>
      <c r="I163" t="s">
        <v>15</v>
      </c>
      <c r="J163" s="5">
        <f>WEEKDAY(Table1_2[[#This Row],[Transaction date]])</f>
        <v>7</v>
      </c>
      <c r="K163"/>
    </row>
    <row r="164" spans="1:11" x14ac:dyDescent="0.45">
      <c r="A164" s="3">
        <v>39839</v>
      </c>
      <c r="B164" s="2">
        <v>0.2673611111111111</v>
      </c>
      <c r="C164" t="s">
        <v>1737</v>
      </c>
      <c r="D164" t="s">
        <v>10</v>
      </c>
      <c r="E164">
        <v>1200</v>
      </c>
      <c r="F164" t="s">
        <v>11</v>
      </c>
      <c r="G164" t="s">
        <v>341</v>
      </c>
      <c r="H164" t="s">
        <v>342</v>
      </c>
      <c r="I164" t="s">
        <v>15</v>
      </c>
      <c r="J164" s="5">
        <f>WEEKDAY(Table1_2[[#This Row],[Transaction date]])</f>
        <v>2</v>
      </c>
      <c r="K164"/>
    </row>
    <row r="165" spans="1:11" x14ac:dyDescent="0.45">
      <c r="A165" s="3">
        <v>39834</v>
      </c>
      <c r="B165" s="2">
        <v>0.20624999999999999</v>
      </c>
      <c r="C165" t="s">
        <v>1737</v>
      </c>
      <c r="D165" t="s">
        <v>10</v>
      </c>
      <c r="E165">
        <v>1200</v>
      </c>
      <c r="F165" t="s">
        <v>16</v>
      </c>
      <c r="G165" t="s">
        <v>343</v>
      </c>
      <c r="H165" t="s">
        <v>71</v>
      </c>
      <c r="I165" t="s">
        <v>15</v>
      </c>
      <c r="J165" s="5">
        <f>WEEKDAY(Table1_2[[#This Row],[Transaction date]])</f>
        <v>4</v>
      </c>
      <c r="K165"/>
    </row>
    <row r="166" spans="1:11" x14ac:dyDescent="0.45">
      <c r="A166" s="3">
        <v>39833</v>
      </c>
      <c r="B166" s="2">
        <v>0.29722222222222222</v>
      </c>
      <c r="C166" t="s">
        <v>1737</v>
      </c>
      <c r="D166" t="s">
        <v>20</v>
      </c>
      <c r="E166">
        <v>3600</v>
      </c>
      <c r="F166" t="s">
        <v>11</v>
      </c>
      <c r="G166" t="s">
        <v>344</v>
      </c>
      <c r="H166" t="s">
        <v>345</v>
      </c>
      <c r="I166" t="s">
        <v>15</v>
      </c>
      <c r="J166" s="5">
        <f>WEEKDAY(Table1_2[[#This Row],[Transaction date]])</f>
        <v>3</v>
      </c>
      <c r="K166"/>
    </row>
    <row r="167" spans="1:11" x14ac:dyDescent="0.45">
      <c r="A167" s="3">
        <v>39840</v>
      </c>
      <c r="B167" s="2">
        <v>0.10138888888888889</v>
      </c>
      <c r="C167" t="s">
        <v>1737</v>
      </c>
      <c r="D167" t="s">
        <v>10</v>
      </c>
      <c r="E167">
        <v>1200</v>
      </c>
      <c r="F167" t="s">
        <v>11</v>
      </c>
      <c r="G167" t="s">
        <v>346</v>
      </c>
      <c r="H167" t="s">
        <v>347</v>
      </c>
      <c r="I167" t="s">
        <v>15</v>
      </c>
      <c r="J167" s="5">
        <f>WEEKDAY(Table1_2[[#This Row],[Transaction date]])</f>
        <v>3</v>
      </c>
      <c r="K167"/>
    </row>
    <row r="168" spans="1:11" x14ac:dyDescent="0.45">
      <c r="A168" s="3">
        <v>39826</v>
      </c>
      <c r="B168" s="2">
        <v>0.34097222222222223</v>
      </c>
      <c r="C168" t="s">
        <v>1737</v>
      </c>
      <c r="D168" t="s">
        <v>20</v>
      </c>
      <c r="E168">
        <v>3600</v>
      </c>
      <c r="F168" t="s">
        <v>11</v>
      </c>
      <c r="G168" t="s">
        <v>348</v>
      </c>
      <c r="H168" t="s">
        <v>349</v>
      </c>
      <c r="I168" t="s">
        <v>15</v>
      </c>
      <c r="J168" s="5">
        <f>WEEKDAY(Table1_2[[#This Row],[Transaction date]])</f>
        <v>3</v>
      </c>
      <c r="K168"/>
    </row>
    <row r="169" spans="1:11" x14ac:dyDescent="0.45">
      <c r="A169" s="3">
        <v>39821</v>
      </c>
      <c r="B169" s="2">
        <v>0.28611111111111109</v>
      </c>
      <c r="C169" t="s">
        <v>1737</v>
      </c>
      <c r="D169" t="s">
        <v>10</v>
      </c>
      <c r="E169">
        <v>1200</v>
      </c>
      <c r="F169" t="s">
        <v>11</v>
      </c>
      <c r="G169" t="s">
        <v>350</v>
      </c>
      <c r="H169" t="s">
        <v>351</v>
      </c>
      <c r="I169" t="s">
        <v>15</v>
      </c>
      <c r="J169" s="5">
        <f>WEEKDAY(Table1_2[[#This Row],[Transaction date]])</f>
        <v>5</v>
      </c>
      <c r="K169"/>
    </row>
    <row r="170" spans="1:11" x14ac:dyDescent="0.45">
      <c r="A170" s="3">
        <v>39840</v>
      </c>
      <c r="B170" s="2">
        <v>0.14444444444444443</v>
      </c>
      <c r="C170" t="s">
        <v>1737</v>
      </c>
      <c r="D170" t="s">
        <v>10</v>
      </c>
      <c r="E170">
        <v>1200</v>
      </c>
      <c r="F170" t="s">
        <v>11</v>
      </c>
      <c r="G170" t="s">
        <v>57</v>
      </c>
      <c r="H170" t="s">
        <v>353</v>
      </c>
      <c r="I170" t="s">
        <v>15</v>
      </c>
      <c r="J170" s="5">
        <f>WEEKDAY(Table1_2[[#This Row],[Transaction date]])</f>
        <v>3</v>
      </c>
      <c r="K170"/>
    </row>
    <row r="171" spans="1:11" x14ac:dyDescent="0.45">
      <c r="A171" s="3">
        <v>39821</v>
      </c>
      <c r="B171" s="2">
        <v>0.27847222222222223</v>
      </c>
      <c r="C171" t="s">
        <v>1737</v>
      </c>
      <c r="D171" t="s">
        <v>10</v>
      </c>
      <c r="E171">
        <v>1200</v>
      </c>
      <c r="F171" t="s">
        <v>11</v>
      </c>
      <c r="G171" t="s">
        <v>355</v>
      </c>
      <c r="H171" t="s">
        <v>356</v>
      </c>
      <c r="I171" t="s">
        <v>15</v>
      </c>
      <c r="J171" s="5">
        <f>WEEKDAY(Table1_2[[#This Row],[Transaction date]])</f>
        <v>5</v>
      </c>
      <c r="K171"/>
    </row>
    <row r="172" spans="1:11" x14ac:dyDescent="0.45">
      <c r="A172" s="3">
        <v>39817</v>
      </c>
      <c r="B172" s="2">
        <v>0.27361111111111114</v>
      </c>
      <c r="C172" t="s">
        <v>1737</v>
      </c>
      <c r="D172" t="s">
        <v>10</v>
      </c>
      <c r="E172">
        <v>1200</v>
      </c>
      <c r="F172" t="s">
        <v>11</v>
      </c>
      <c r="G172" t="s">
        <v>357</v>
      </c>
      <c r="H172" t="s">
        <v>358</v>
      </c>
      <c r="I172" t="s">
        <v>15</v>
      </c>
      <c r="J172" s="5">
        <f>WEEKDAY(Table1_2[[#This Row],[Transaction date]])</f>
        <v>1</v>
      </c>
      <c r="K172"/>
    </row>
    <row r="173" spans="1:11" x14ac:dyDescent="0.45">
      <c r="A173" s="3">
        <v>39841</v>
      </c>
      <c r="B173" s="2">
        <v>0.52777777777777779</v>
      </c>
      <c r="C173" t="s">
        <v>1738</v>
      </c>
      <c r="D173" t="s">
        <v>10</v>
      </c>
      <c r="E173">
        <v>1200</v>
      </c>
      <c r="F173" t="s">
        <v>16</v>
      </c>
      <c r="G173" t="s">
        <v>359</v>
      </c>
      <c r="H173" t="s">
        <v>360</v>
      </c>
      <c r="I173" t="s">
        <v>15</v>
      </c>
      <c r="J173" s="5">
        <f>WEEKDAY(Table1_2[[#This Row],[Transaction date]])</f>
        <v>4</v>
      </c>
      <c r="K173"/>
    </row>
    <row r="174" spans="1:11" x14ac:dyDescent="0.45">
      <c r="A174" s="3">
        <v>39841</v>
      </c>
      <c r="B174" s="2">
        <v>0.31319444444444444</v>
      </c>
      <c r="C174" t="s">
        <v>1737</v>
      </c>
      <c r="D174" t="s">
        <v>10</v>
      </c>
      <c r="E174">
        <v>1200</v>
      </c>
      <c r="F174" t="s">
        <v>11</v>
      </c>
      <c r="G174" t="s">
        <v>361</v>
      </c>
      <c r="H174" t="s">
        <v>362</v>
      </c>
      <c r="I174" t="s">
        <v>15</v>
      </c>
      <c r="J174" s="5">
        <f>WEEKDAY(Table1_2[[#This Row],[Transaction date]])</f>
        <v>4</v>
      </c>
      <c r="K174"/>
    </row>
    <row r="175" spans="1:11" x14ac:dyDescent="0.45">
      <c r="A175" s="3">
        <v>39841</v>
      </c>
      <c r="B175" s="2">
        <v>0.32569444444444445</v>
      </c>
      <c r="C175" t="s">
        <v>1737</v>
      </c>
      <c r="D175" t="s">
        <v>10</v>
      </c>
      <c r="E175">
        <v>1200</v>
      </c>
      <c r="F175" t="s">
        <v>11</v>
      </c>
      <c r="G175" t="s">
        <v>363</v>
      </c>
      <c r="H175" t="s">
        <v>364</v>
      </c>
      <c r="I175" t="s">
        <v>15</v>
      </c>
      <c r="J175" s="5">
        <f>WEEKDAY(Table1_2[[#This Row],[Transaction date]])</f>
        <v>4</v>
      </c>
      <c r="K175"/>
    </row>
    <row r="176" spans="1:11" x14ac:dyDescent="0.45">
      <c r="A176" s="3">
        <v>39819</v>
      </c>
      <c r="B176" s="2">
        <v>0.47013888888888888</v>
      </c>
      <c r="C176" t="s">
        <v>1737</v>
      </c>
      <c r="D176" t="s">
        <v>20</v>
      </c>
      <c r="E176">
        <v>3600</v>
      </c>
      <c r="F176" t="s">
        <v>11</v>
      </c>
      <c r="G176" t="s">
        <v>365</v>
      </c>
      <c r="H176" t="s">
        <v>366</v>
      </c>
      <c r="I176" t="s">
        <v>15</v>
      </c>
      <c r="J176" s="5">
        <f>WEEKDAY(Table1_2[[#This Row],[Transaction date]])</f>
        <v>3</v>
      </c>
      <c r="K176"/>
    </row>
    <row r="177" spans="1:11" x14ac:dyDescent="0.45">
      <c r="A177" s="3">
        <v>39822</v>
      </c>
      <c r="B177" s="2">
        <v>0.44097222222222221</v>
      </c>
      <c r="C177" t="s">
        <v>1737</v>
      </c>
      <c r="D177" t="s">
        <v>20</v>
      </c>
      <c r="E177">
        <v>3600</v>
      </c>
      <c r="F177" t="s">
        <v>11</v>
      </c>
      <c r="G177" t="s">
        <v>368</v>
      </c>
      <c r="H177" t="s">
        <v>369</v>
      </c>
      <c r="I177" t="s">
        <v>15</v>
      </c>
      <c r="J177" s="5">
        <f>WEEKDAY(Table1_2[[#This Row],[Transaction date]])</f>
        <v>6</v>
      </c>
      <c r="K177"/>
    </row>
    <row r="178" spans="1:11" x14ac:dyDescent="0.45">
      <c r="A178" s="3">
        <v>39815</v>
      </c>
      <c r="B178" s="2">
        <v>0.51111111111111107</v>
      </c>
      <c r="C178" t="s">
        <v>1738</v>
      </c>
      <c r="D178" t="s">
        <v>10</v>
      </c>
      <c r="E178">
        <v>1200</v>
      </c>
      <c r="F178" t="s">
        <v>16</v>
      </c>
      <c r="G178" t="s">
        <v>371</v>
      </c>
      <c r="H178" t="s">
        <v>372</v>
      </c>
      <c r="I178" t="s">
        <v>15</v>
      </c>
      <c r="J178" s="5">
        <f>WEEKDAY(Table1_2[[#This Row],[Transaction date]])</f>
        <v>6</v>
      </c>
      <c r="K178"/>
    </row>
    <row r="179" spans="1:11" x14ac:dyDescent="0.45">
      <c r="A179" s="3">
        <v>39841</v>
      </c>
      <c r="B179" s="2">
        <v>0.52152777777777781</v>
      </c>
      <c r="C179" t="s">
        <v>1738</v>
      </c>
      <c r="D179" t="s">
        <v>10</v>
      </c>
      <c r="E179">
        <v>1200</v>
      </c>
      <c r="F179" t="s">
        <v>11</v>
      </c>
      <c r="G179" t="s">
        <v>373</v>
      </c>
      <c r="H179" t="s">
        <v>62</v>
      </c>
      <c r="I179" t="s">
        <v>15</v>
      </c>
      <c r="J179" s="5">
        <f>WEEKDAY(Table1_2[[#This Row],[Transaction date]])</f>
        <v>4</v>
      </c>
      <c r="K179"/>
    </row>
    <row r="180" spans="1:11" x14ac:dyDescent="0.45">
      <c r="A180" s="3">
        <v>39827</v>
      </c>
      <c r="B180" s="2">
        <v>0.50486111111111109</v>
      </c>
      <c r="C180" t="s">
        <v>1738</v>
      </c>
      <c r="D180" t="s">
        <v>10</v>
      </c>
      <c r="E180">
        <v>1200</v>
      </c>
      <c r="F180" t="s">
        <v>16</v>
      </c>
      <c r="G180" t="s">
        <v>374</v>
      </c>
      <c r="H180" t="s">
        <v>375</v>
      </c>
      <c r="I180" t="s">
        <v>15</v>
      </c>
      <c r="J180" s="5">
        <f>WEEKDAY(Table1_2[[#This Row],[Transaction date]])</f>
        <v>4</v>
      </c>
      <c r="K180"/>
    </row>
    <row r="181" spans="1:11" x14ac:dyDescent="0.45">
      <c r="A181" s="3">
        <v>39820</v>
      </c>
      <c r="B181" s="2">
        <v>0.53819444444444442</v>
      </c>
      <c r="C181" t="s">
        <v>1738</v>
      </c>
      <c r="D181" t="s">
        <v>10</v>
      </c>
      <c r="E181">
        <v>1200</v>
      </c>
      <c r="F181" t="s">
        <v>63</v>
      </c>
      <c r="G181" t="s">
        <v>376</v>
      </c>
      <c r="H181" t="s">
        <v>377</v>
      </c>
      <c r="I181" t="s">
        <v>15</v>
      </c>
      <c r="J181" s="5">
        <f>WEEKDAY(Table1_2[[#This Row],[Transaction date]])</f>
        <v>4</v>
      </c>
      <c r="K181"/>
    </row>
    <row r="182" spans="1:11" x14ac:dyDescent="0.45">
      <c r="A182" s="3">
        <v>39831</v>
      </c>
      <c r="B182" s="2">
        <v>0.37222222222222223</v>
      </c>
      <c r="C182" t="s">
        <v>1737</v>
      </c>
      <c r="D182" t="s">
        <v>10</v>
      </c>
      <c r="E182">
        <v>1200</v>
      </c>
      <c r="F182" t="s">
        <v>16</v>
      </c>
      <c r="G182" t="s">
        <v>378</v>
      </c>
      <c r="H182" t="s">
        <v>379</v>
      </c>
      <c r="I182" t="s">
        <v>15</v>
      </c>
      <c r="J182" s="5">
        <f>WEEKDAY(Table1_2[[#This Row],[Transaction date]])</f>
        <v>1</v>
      </c>
      <c r="K182"/>
    </row>
    <row r="183" spans="1:11" x14ac:dyDescent="0.45">
      <c r="A183" s="3">
        <v>39817</v>
      </c>
      <c r="B183" s="2">
        <v>0.24583333333333332</v>
      </c>
      <c r="C183" t="s">
        <v>1737</v>
      </c>
      <c r="D183" t="s">
        <v>10</v>
      </c>
      <c r="E183">
        <v>1200</v>
      </c>
      <c r="F183" t="s">
        <v>63</v>
      </c>
      <c r="G183" t="s">
        <v>380</v>
      </c>
      <c r="H183" t="s">
        <v>381</v>
      </c>
      <c r="I183" t="s">
        <v>15</v>
      </c>
      <c r="J183" s="5">
        <f>WEEKDAY(Table1_2[[#This Row],[Transaction date]])</f>
        <v>1</v>
      </c>
      <c r="K183"/>
    </row>
    <row r="184" spans="1:11" x14ac:dyDescent="0.45">
      <c r="A184" s="3">
        <v>39818</v>
      </c>
      <c r="B184" s="2">
        <v>7.3611111111111113E-2</v>
      </c>
      <c r="C184" t="s">
        <v>1737</v>
      </c>
      <c r="D184" t="s">
        <v>10</v>
      </c>
      <c r="E184">
        <v>1200</v>
      </c>
      <c r="F184" t="s">
        <v>11</v>
      </c>
      <c r="G184" t="s">
        <v>382</v>
      </c>
      <c r="H184" t="s">
        <v>383</v>
      </c>
      <c r="I184" t="s">
        <v>15</v>
      </c>
      <c r="J184" s="5">
        <f>WEEKDAY(Table1_2[[#This Row],[Transaction date]])</f>
        <v>2</v>
      </c>
      <c r="K184"/>
    </row>
    <row r="185" spans="1:11" x14ac:dyDescent="0.45">
      <c r="A185" s="3">
        <v>39818</v>
      </c>
      <c r="B185" s="2">
        <v>0.45069444444444445</v>
      </c>
      <c r="C185" t="s">
        <v>1737</v>
      </c>
      <c r="D185" t="s">
        <v>230</v>
      </c>
      <c r="E185">
        <v>3600</v>
      </c>
      <c r="F185" t="s">
        <v>63</v>
      </c>
      <c r="G185" t="s">
        <v>382</v>
      </c>
      <c r="H185" t="s">
        <v>384</v>
      </c>
      <c r="I185" t="s">
        <v>15</v>
      </c>
      <c r="J185" s="5">
        <f>WEEKDAY(Table1_2[[#This Row],[Transaction date]])</f>
        <v>2</v>
      </c>
      <c r="K185"/>
    </row>
    <row r="186" spans="1:11" x14ac:dyDescent="0.45">
      <c r="A186" s="3">
        <v>39825</v>
      </c>
      <c r="B186" s="2">
        <v>0.26666666666666666</v>
      </c>
      <c r="C186" t="s">
        <v>1737</v>
      </c>
      <c r="D186" t="s">
        <v>10</v>
      </c>
      <c r="E186">
        <v>1200</v>
      </c>
      <c r="F186" t="s">
        <v>11</v>
      </c>
      <c r="G186" t="s">
        <v>385</v>
      </c>
      <c r="H186" t="s">
        <v>386</v>
      </c>
      <c r="I186" t="s">
        <v>15</v>
      </c>
      <c r="J186" s="5">
        <f>WEEKDAY(Table1_2[[#This Row],[Transaction date]])</f>
        <v>2</v>
      </c>
      <c r="K186"/>
    </row>
    <row r="187" spans="1:11" x14ac:dyDescent="0.45">
      <c r="A187" s="3">
        <v>39831</v>
      </c>
      <c r="B187" s="2">
        <v>0.1673611111111111</v>
      </c>
      <c r="C187" t="s">
        <v>1737</v>
      </c>
      <c r="D187" t="s">
        <v>10</v>
      </c>
      <c r="E187">
        <v>1200</v>
      </c>
      <c r="F187" t="s">
        <v>11</v>
      </c>
      <c r="G187" t="s">
        <v>387</v>
      </c>
      <c r="H187" t="s">
        <v>388</v>
      </c>
      <c r="I187" t="s">
        <v>15</v>
      </c>
      <c r="J187" s="5">
        <f>WEEKDAY(Table1_2[[#This Row],[Transaction date]])</f>
        <v>1</v>
      </c>
      <c r="K187"/>
    </row>
    <row r="188" spans="1:11" x14ac:dyDescent="0.45">
      <c r="A188" s="3">
        <v>39841</v>
      </c>
      <c r="B188" s="2">
        <v>4.6527777777777779E-2</v>
      </c>
      <c r="C188" t="s">
        <v>1737</v>
      </c>
      <c r="D188" t="s">
        <v>10</v>
      </c>
      <c r="E188">
        <v>1200</v>
      </c>
      <c r="F188" t="s">
        <v>63</v>
      </c>
      <c r="G188" t="s">
        <v>389</v>
      </c>
      <c r="H188" t="s">
        <v>390</v>
      </c>
      <c r="I188" t="s">
        <v>15</v>
      </c>
      <c r="J188" s="5">
        <f>WEEKDAY(Table1_2[[#This Row],[Transaction date]])</f>
        <v>4</v>
      </c>
      <c r="K188"/>
    </row>
    <row r="189" spans="1:11" x14ac:dyDescent="0.45">
      <c r="A189" s="3">
        <v>39842</v>
      </c>
      <c r="B189" s="2">
        <v>0.23819444444444443</v>
      </c>
      <c r="C189" t="s">
        <v>1737</v>
      </c>
      <c r="D189" t="s">
        <v>10</v>
      </c>
      <c r="E189">
        <v>1200</v>
      </c>
      <c r="F189" t="s">
        <v>11</v>
      </c>
      <c r="G189" t="s">
        <v>391</v>
      </c>
      <c r="H189" t="s">
        <v>392</v>
      </c>
      <c r="I189" t="s">
        <v>15</v>
      </c>
      <c r="J189" s="5">
        <f>WEEKDAY(Table1_2[[#This Row],[Transaction date]])</f>
        <v>5</v>
      </c>
      <c r="K189"/>
    </row>
    <row r="190" spans="1:11" x14ac:dyDescent="0.45">
      <c r="A190" s="3">
        <v>39842</v>
      </c>
      <c r="B190" s="2">
        <v>0.22916666666666666</v>
      </c>
      <c r="C190" t="s">
        <v>1737</v>
      </c>
      <c r="D190" t="s">
        <v>10</v>
      </c>
      <c r="E190">
        <v>1200</v>
      </c>
      <c r="F190" t="s">
        <v>11</v>
      </c>
      <c r="G190" t="s">
        <v>84</v>
      </c>
      <c r="H190" t="s">
        <v>393</v>
      </c>
      <c r="I190" t="s">
        <v>15</v>
      </c>
      <c r="J190" s="5">
        <f>WEEKDAY(Table1_2[[#This Row],[Transaction date]])</f>
        <v>5</v>
      </c>
      <c r="K190"/>
    </row>
    <row r="191" spans="1:11" x14ac:dyDescent="0.45">
      <c r="A191" s="3">
        <v>39826</v>
      </c>
      <c r="B191" s="2">
        <v>0.25555555555555554</v>
      </c>
      <c r="C191" t="s">
        <v>1737</v>
      </c>
      <c r="D191" t="s">
        <v>10</v>
      </c>
      <c r="E191">
        <v>1200</v>
      </c>
      <c r="F191" t="s">
        <v>63</v>
      </c>
      <c r="G191" t="s">
        <v>231</v>
      </c>
      <c r="H191" t="s">
        <v>71</v>
      </c>
      <c r="I191" t="s">
        <v>15</v>
      </c>
      <c r="J191" s="5">
        <f>WEEKDAY(Table1_2[[#This Row],[Transaction date]])</f>
        <v>3</v>
      </c>
      <c r="K191"/>
    </row>
    <row r="192" spans="1:11" x14ac:dyDescent="0.45">
      <c r="A192" s="3">
        <v>39822</v>
      </c>
      <c r="B192" s="2">
        <v>0.14166666666666666</v>
      </c>
      <c r="C192" t="s">
        <v>1737</v>
      </c>
      <c r="D192" t="s">
        <v>10</v>
      </c>
      <c r="E192">
        <v>1200</v>
      </c>
      <c r="F192" t="s">
        <v>16</v>
      </c>
      <c r="G192" t="s">
        <v>394</v>
      </c>
      <c r="H192" t="s">
        <v>395</v>
      </c>
      <c r="I192" t="s">
        <v>15</v>
      </c>
      <c r="J192" s="5">
        <f>WEEKDAY(Table1_2[[#This Row],[Transaction date]])</f>
        <v>6</v>
      </c>
      <c r="K192"/>
    </row>
    <row r="193" spans="1:11" x14ac:dyDescent="0.45">
      <c r="A193" s="3">
        <v>39836</v>
      </c>
      <c r="B193" s="2">
        <v>0.14791666666666667</v>
      </c>
      <c r="C193" t="s">
        <v>1737</v>
      </c>
      <c r="D193" t="s">
        <v>10</v>
      </c>
      <c r="E193">
        <v>1200</v>
      </c>
      <c r="F193" t="s">
        <v>16</v>
      </c>
      <c r="G193" t="s">
        <v>396</v>
      </c>
      <c r="H193" t="s">
        <v>62</v>
      </c>
      <c r="I193" t="s">
        <v>15</v>
      </c>
      <c r="J193" s="5">
        <f>WEEKDAY(Table1_2[[#This Row],[Transaction date]])</f>
        <v>6</v>
      </c>
      <c r="K193"/>
    </row>
    <row r="194" spans="1:11" x14ac:dyDescent="0.45">
      <c r="A194" s="3">
        <v>39842</v>
      </c>
      <c r="B194" s="2">
        <v>0.51944444444444449</v>
      </c>
      <c r="C194" t="s">
        <v>1738</v>
      </c>
      <c r="D194" t="s">
        <v>10</v>
      </c>
      <c r="E194">
        <v>1200</v>
      </c>
      <c r="F194" t="s">
        <v>16</v>
      </c>
      <c r="G194" t="s">
        <v>397</v>
      </c>
      <c r="H194" t="s">
        <v>335</v>
      </c>
      <c r="I194" t="s">
        <v>15</v>
      </c>
      <c r="J194" s="5">
        <f>WEEKDAY(Table1_2[[#This Row],[Transaction date]])</f>
        <v>5</v>
      </c>
      <c r="K194"/>
    </row>
    <row r="195" spans="1:11" x14ac:dyDescent="0.45">
      <c r="A195" s="3">
        <v>39842</v>
      </c>
      <c r="B195" s="2">
        <v>0.42291666666666666</v>
      </c>
      <c r="C195" t="s">
        <v>1737</v>
      </c>
      <c r="D195" t="s">
        <v>20</v>
      </c>
      <c r="E195">
        <v>300000</v>
      </c>
      <c r="F195" t="s">
        <v>16</v>
      </c>
      <c r="G195" t="s">
        <v>398</v>
      </c>
      <c r="H195" t="s">
        <v>399</v>
      </c>
      <c r="I195" t="s">
        <v>15</v>
      </c>
      <c r="J195" s="5">
        <f>WEEKDAY(Table1_2[[#This Row],[Transaction date]])</f>
        <v>5</v>
      </c>
      <c r="K195"/>
    </row>
    <row r="196" spans="1:11" x14ac:dyDescent="0.45">
      <c r="A196" s="3">
        <v>39842</v>
      </c>
      <c r="B196" s="2">
        <v>0.13055555555555556</v>
      </c>
      <c r="C196" t="s">
        <v>1737</v>
      </c>
      <c r="D196" t="s">
        <v>10</v>
      </c>
      <c r="E196">
        <v>1200</v>
      </c>
      <c r="F196" t="s">
        <v>11</v>
      </c>
      <c r="G196" t="s">
        <v>400</v>
      </c>
      <c r="H196" t="s">
        <v>392</v>
      </c>
      <c r="I196" t="s">
        <v>15</v>
      </c>
      <c r="J196" s="5">
        <f>WEEKDAY(Table1_2[[#This Row],[Transaction date]])</f>
        <v>5</v>
      </c>
      <c r="K196"/>
    </row>
    <row r="197" spans="1:11" x14ac:dyDescent="0.45">
      <c r="A197" s="3">
        <v>39835</v>
      </c>
      <c r="B197" s="2">
        <v>0.42777777777777776</v>
      </c>
      <c r="C197" t="s">
        <v>1737</v>
      </c>
      <c r="D197" t="s">
        <v>20</v>
      </c>
      <c r="E197">
        <v>300000</v>
      </c>
      <c r="F197" t="s">
        <v>16</v>
      </c>
      <c r="G197" t="s">
        <v>401</v>
      </c>
      <c r="H197" t="s">
        <v>402</v>
      </c>
      <c r="I197" t="s">
        <v>15</v>
      </c>
      <c r="J197" s="5">
        <f>WEEKDAY(Table1_2[[#This Row],[Transaction date]])</f>
        <v>5</v>
      </c>
      <c r="K197"/>
    </row>
    <row r="198" spans="1:11" x14ac:dyDescent="0.45">
      <c r="A198" s="3">
        <v>39824</v>
      </c>
      <c r="B198" s="2">
        <v>0.51527777777777772</v>
      </c>
      <c r="C198" t="s">
        <v>1738</v>
      </c>
      <c r="D198" t="s">
        <v>10</v>
      </c>
      <c r="E198">
        <v>1200</v>
      </c>
      <c r="F198" t="s">
        <v>11</v>
      </c>
      <c r="G198" t="s">
        <v>403</v>
      </c>
      <c r="H198" t="s">
        <v>404</v>
      </c>
      <c r="I198" t="s">
        <v>15</v>
      </c>
      <c r="J198" s="5">
        <f>WEEKDAY(Table1_2[[#This Row],[Transaction date]])</f>
        <v>1</v>
      </c>
      <c r="K198"/>
    </row>
    <row r="199" spans="1:11" x14ac:dyDescent="0.45">
      <c r="A199" s="3">
        <v>39815</v>
      </c>
      <c r="B199" s="2">
        <v>0.39652777777777776</v>
      </c>
      <c r="C199" t="s">
        <v>1737</v>
      </c>
      <c r="D199" t="s">
        <v>10</v>
      </c>
      <c r="E199">
        <v>1200</v>
      </c>
      <c r="F199" t="s">
        <v>11</v>
      </c>
      <c r="G199" t="s">
        <v>405</v>
      </c>
      <c r="H199" t="s">
        <v>156</v>
      </c>
      <c r="I199" t="s">
        <v>15</v>
      </c>
      <c r="J199" s="5">
        <f>WEEKDAY(Table1_2[[#This Row],[Transaction date]])</f>
        <v>6</v>
      </c>
      <c r="K199"/>
    </row>
    <row r="200" spans="1:11" x14ac:dyDescent="0.45">
      <c r="A200" s="3">
        <v>39832</v>
      </c>
      <c r="B200" s="2">
        <v>0.43888888888888888</v>
      </c>
      <c r="C200" t="s">
        <v>1737</v>
      </c>
      <c r="D200" t="s">
        <v>10</v>
      </c>
      <c r="E200">
        <v>1200</v>
      </c>
      <c r="F200" t="s">
        <v>16</v>
      </c>
      <c r="G200" t="s">
        <v>406</v>
      </c>
      <c r="H200" t="s">
        <v>407</v>
      </c>
      <c r="I200" t="s">
        <v>15</v>
      </c>
      <c r="J200" s="5">
        <f>WEEKDAY(Table1_2[[#This Row],[Transaction date]])</f>
        <v>2</v>
      </c>
      <c r="K200"/>
    </row>
    <row r="201" spans="1:11" x14ac:dyDescent="0.45">
      <c r="A201" s="3">
        <v>39839</v>
      </c>
      <c r="B201" s="2">
        <v>0.50347222222222221</v>
      </c>
      <c r="C201" t="s">
        <v>1738</v>
      </c>
      <c r="D201" t="s">
        <v>10</v>
      </c>
      <c r="E201">
        <v>1250</v>
      </c>
      <c r="F201" t="s">
        <v>16</v>
      </c>
      <c r="G201" t="s">
        <v>408</v>
      </c>
      <c r="H201" t="s">
        <v>407</v>
      </c>
      <c r="I201" t="s">
        <v>15</v>
      </c>
      <c r="J201" s="5">
        <f>WEEKDAY(Table1_2[[#This Row],[Transaction date]])</f>
        <v>2</v>
      </c>
      <c r="K201"/>
    </row>
    <row r="202" spans="1:11" x14ac:dyDescent="0.45">
      <c r="A202" s="3">
        <v>39820</v>
      </c>
      <c r="B202" s="2">
        <v>0.28680555555555554</v>
      </c>
      <c r="C202" t="s">
        <v>1737</v>
      </c>
      <c r="D202" t="s">
        <v>10</v>
      </c>
      <c r="E202">
        <v>1200</v>
      </c>
      <c r="F202" t="s">
        <v>11</v>
      </c>
      <c r="G202" t="s">
        <v>409</v>
      </c>
      <c r="H202" t="s">
        <v>410</v>
      </c>
      <c r="I202" t="s">
        <v>15</v>
      </c>
      <c r="J202" s="5">
        <f>WEEKDAY(Table1_2[[#This Row],[Transaction date]])</f>
        <v>4</v>
      </c>
      <c r="K202"/>
    </row>
    <row r="203" spans="1:11" x14ac:dyDescent="0.45">
      <c r="A203" s="3">
        <v>39839</v>
      </c>
      <c r="B203" s="2">
        <v>0.48472222222222222</v>
      </c>
      <c r="C203" t="s">
        <v>1737</v>
      </c>
      <c r="D203" t="s">
        <v>10</v>
      </c>
      <c r="E203">
        <v>1200</v>
      </c>
      <c r="F203" t="s">
        <v>16</v>
      </c>
      <c r="G203" t="s">
        <v>411</v>
      </c>
      <c r="H203" t="s">
        <v>314</v>
      </c>
      <c r="I203" t="s">
        <v>15</v>
      </c>
      <c r="J203" s="5">
        <f>WEEKDAY(Table1_2[[#This Row],[Transaction date]])</f>
        <v>2</v>
      </c>
      <c r="K203"/>
    </row>
    <row r="204" spans="1:11" x14ac:dyDescent="0.45">
      <c r="A204" s="3">
        <v>39821</v>
      </c>
      <c r="B204" s="2">
        <v>5.486111111111111E-2</v>
      </c>
      <c r="C204" t="s">
        <v>1737</v>
      </c>
      <c r="D204" t="s">
        <v>10</v>
      </c>
      <c r="E204">
        <v>1200</v>
      </c>
      <c r="F204" t="s">
        <v>16</v>
      </c>
      <c r="G204" t="s">
        <v>412</v>
      </c>
      <c r="H204" t="s">
        <v>413</v>
      </c>
      <c r="I204" t="s">
        <v>15</v>
      </c>
      <c r="J204" s="5">
        <f>WEEKDAY(Table1_2[[#This Row],[Transaction date]])</f>
        <v>5</v>
      </c>
      <c r="K204"/>
    </row>
    <row r="205" spans="1:11" x14ac:dyDescent="0.45">
      <c r="A205" s="3">
        <v>39843</v>
      </c>
      <c r="B205" s="2">
        <v>0.35833333333333334</v>
      </c>
      <c r="C205" t="s">
        <v>1737</v>
      </c>
      <c r="D205" t="s">
        <v>10</v>
      </c>
      <c r="E205">
        <v>1200</v>
      </c>
      <c r="F205" t="s">
        <v>11</v>
      </c>
      <c r="G205" t="s">
        <v>414</v>
      </c>
      <c r="H205" t="s">
        <v>415</v>
      </c>
      <c r="I205" t="s">
        <v>15</v>
      </c>
      <c r="J205" s="5">
        <f>WEEKDAY(Table1_2[[#This Row],[Transaction date]])</f>
        <v>6</v>
      </c>
      <c r="K205"/>
    </row>
    <row r="206" spans="1:11" x14ac:dyDescent="0.45">
      <c r="A206" s="3">
        <v>39844</v>
      </c>
      <c r="B206" s="2">
        <v>0.30694444444444446</v>
      </c>
      <c r="C206" t="s">
        <v>1737</v>
      </c>
      <c r="D206" t="s">
        <v>10</v>
      </c>
      <c r="E206">
        <v>1200</v>
      </c>
      <c r="F206" t="s">
        <v>11</v>
      </c>
      <c r="G206" t="s">
        <v>416</v>
      </c>
      <c r="H206" t="s">
        <v>417</v>
      </c>
      <c r="I206" t="s">
        <v>15</v>
      </c>
      <c r="J206" s="5">
        <f>WEEKDAY(Table1_2[[#This Row],[Transaction date]])</f>
        <v>7</v>
      </c>
      <c r="K206"/>
    </row>
    <row r="207" spans="1:11" x14ac:dyDescent="0.45">
      <c r="A207" s="3">
        <v>39844</v>
      </c>
      <c r="B207" s="2">
        <v>0.37222222222222223</v>
      </c>
      <c r="C207" t="s">
        <v>1737</v>
      </c>
      <c r="D207" t="s">
        <v>10</v>
      </c>
      <c r="E207">
        <v>1200</v>
      </c>
      <c r="F207" t="s">
        <v>16</v>
      </c>
      <c r="G207" t="s">
        <v>418</v>
      </c>
      <c r="H207" t="s">
        <v>220</v>
      </c>
      <c r="I207" t="s">
        <v>15</v>
      </c>
      <c r="J207" s="5">
        <f>WEEKDAY(Table1_2[[#This Row],[Transaction date]])</f>
        <v>7</v>
      </c>
      <c r="K207"/>
    </row>
    <row r="208" spans="1:11" x14ac:dyDescent="0.45">
      <c r="A208" s="3">
        <v>39824</v>
      </c>
      <c r="B208" s="2">
        <v>8.819444444444445E-2</v>
      </c>
      <c r="C208" t="s">
        <v>1737</v>
      </c>
      <c r="D208" t="s">
        <v>10</v>
      </c>
      <c r="E208">
        <v>1200</v>
      </c>
      <c r="F208" t="s">
        <v>11</v>
      </c>
      <c r="G208" t="s">
        <v>419</v>
      </c>
      <c r="H208" t="s">
        <v>136</v>
      </c>
      <c r="I208" t="s">
        <v>15</v>
      </c>
      <c r="J208" s="5">
        <f>WEEKDAY(Table1_2[[#This Row],[Transaction date]])</f>
        <v>1</v>
      </c>
      <c r="K208"/>
    </row>
    <row r="209" spans="1:11" x14ac:dyDescent="0.45">
      <c r="A209" s="3">
        <v>39844</v>
      </c>
      <c r="B209" s="2">
        <v>0.46805555555555556</v>
      </c>
      <c r="C209" t="s">
        <v>1737</v>
      </c>
      <c r="D209" t="s">
        <v>20</v>
      </c>
      <c r="E209">
        <v>300000</v>
      </c>
      <c r="F209" t="s">
        <v>16</v>
      </c>
      <c r="G209" t="s">
        <v>420</v>
      </c>
      <c r="H209" t="s">
        <v>399</v>
      </c>
      <c r="I209" t="s">
        <v>15</v>
      </c>
      <c r="J209" s="5">
        <f>WEEKDAY(Table1_2[[#This Row],[Transaction date]])</f>
        <v>7</v>
      </c>
      <c r="K209"/>
    </row>
    <row r="210" spans="1:11" x14ac:dyDescent="0.45">
      <c r="A210" s="3">
        <v>39815</v>
      </c>
      <c r="B210" s="2">
        <v>0.41458333333333336</v>
      </c>
      <c r="C210" t="s">
        <v>1737</v>
      </c>
      <c r="D210" t="s">
        <v>10</v>
      </c>
      <c r="E210">
        <v>1200</v>
      </c>
      <c r="F210" t="s">
        <v>63</v>
      </c>
      <c r="G210" t="s">
        <v>421</v>
      </c>
      <c r="H210" t="s">
        <v>422</v>
      </c>
      <c r="I210" t="s">
        <v>15</v>
      </c>
      <c r="J210" s="5">
        <f>WEEKDAY(Table1_2[[#This Row],[Transaction date]])</f>
        <v>6</v>
      </c>
      <c r="K210"/>
    </row>
    <row r="211" spans="1:11" x14ac:dyDescent="0.45">
      <c r="A211" s="3">
        <v>39817</v>
      </c>
      <c r="B211" s="2">
        <v>5.5555555555555552E-2</v>
      </c>
      <c r="C211" t="s">
        <v>1737</v>
      </c>
      <c r="D211" t="s">
        <v>10</v>
      </c>
      <c r="E211">
        <v>1200</v>
      </c>
      <c r="F211" t="s">
        <v>16</v>
      </c>
      <c r="G211" t="s">
        <v>423</v>
      </c>
      <c r="H211" t="s">
        <v>424</v>
      </c>
      <c r="I211" t="s">
        <v>15</v>
      </c>
      <c r="J211" s="5">
        <f>WEEKDAY(Table1_2[[#This Row],[Transaction date]])</f>
        <v>1</v>
      </c>
      <c r="K211"/>
    </row>
    <row r="212" spans="1:11" x14ac:dyDescent="0.45">
      <c r="A212" s="3">
        <v>39831</v>
      </c>
      <c r="B212" s="2">
        <v>0.25624999999999998</v>
      </c>
      <c r="C212" t="s">
        <v>1737</v>
      </c>
      <c r="D212" t="s">
        <v>10</v>
      </c>
      <c r="E212">
        <v>1200</v>
      </c>
      <c r="F212" t="s">
        <v>16</v>
      </c>
      <c r="G212" t="s">
        <v>425</v>
      </c>
      <c r="H212" t="s">
        <v>426</v>
      </c>
      <c r="I212" t="s">
        <v>15</v>
      </c>
      <c r="J212" s="5">
        <f>WEEKDAY(Table1_2[[#This Row],[Transaction date]])</f>
        <v>1</v>
      </c>
      <c r="K212"/>
    </row>
    <row r="213" spans="1:11" x14ac:dyDescent="0.45">
      <c r="A213" s="3">
        <v>39837</v>
      </c>
      <c r="B213" s="2">
        <v>0.30138888888888887</v>
      </c>
      <c r="C213" t="s">
        <v>1737</v>
      </c>
      <c r="D213" t="s">
        <v>10</v>
      </c>
      <c r="E213">
        <v>1200</v>
      </c>
      <c r="F213" t="s">
        <v>16</v>
      </c>
      <c r="G213" t="s">
        <v>427</v>
      </c>
      <c r="H213" t="s">
        <v>428</v>
      </c>
      <c r="I213" t="s">
        <v>15</v>
      </c>
      <c r="J213" s="5">
        <f>WEEKDAY(Table1_2[[#This Row],[Transaction date]])</f>
        <v>7</v>
      </c>
      <c r="K213"/>
    </row>
    <row r="214" spans="1:11" x14ac:dyDescent="0.45">
      <c r="A214" s="3">
        <v>39837</v>
      </c>
      <c r="B214" s="2">
        <v>0.46180555555555558</v>
      </c>
      <c r="C214" t="s">
        <v>1737</v>
      </c>
      <c r="D214" t="s">
        <v>10</v>
      </c>
      <c r="E214">
        <v>1200</v>
      </c>
      <c r="F214" t="s">
        <v>11</v>
      </c>
      <c r="G214" t="s">
        <v>429</v>
      </c>
      <c r="H214" t="s">
        <v>430</v>
      </c>
      <c r="I214" t="s">
        <v>15</v>
      </c>
      <c r="J214" s="5">
        <f>WEEKDAY(Table1_2[[#This Row],[Transaction date]])</f>
        <v>7</v>
      </c>
      <c r="K214"/>
    </row>
    <row r="215" spans="1:11" x14ac:dyDescent="0.45">
      <c r="A215" s="3">
        <v>39819</v>
      </c>
      <c r="B215" s="2">
        <v>0.13333333333333333</v>
      </c>
      <c r="C215" t="s">
        <v>1737</v>
      </c>
      <c r="D215" t="s">
        <v>10</v>
      </c>
      <c r="E215">
        <v>1200</v>
      </c>
      <c r="F215" t="s">
        <v>63</v>
      </c>
      <c r="G215" t="s">
        <v>431</v>
      </c>
      <c r="H215" t="s">
        <v>432</v>
      </c>
      <c r="I215" t="s">
        <v>15</v>
      </c>
      <c r="J215" s="5">
        <f>WEEKDAY(Table1_2[[#This Row],[Transaction date]])</f>
        <v>3</v>
      </c>
      <c r="K215"/>
    </row>
    <row r="216" spans="1:11" x14ac:dyDescent="0.45">
      <c r="A216" s="3">
        <v>39816</v>
      </c>
      <c r="B216" s="2">
        <v>0.4152777777777778</v>
      </c>
      <c r="C216" t="s">
        <v>1737</v>
      </c>
      <c r="D216" t="s">
        <v>10</v>
      </c>
      <c r="E216">
        <v>1200</v>
      </c>
      <c r="F216" t="s">
        <v>11</v>
      </c>
      <c r="G216" t="s">
        <v>433</v>
      </c>
      <c r="H216" t="s">
        <v>434</v>
      </c>
      <c r="I216" t="s">
        <v>15</v>
      </c>
      <c r="J216" s="5">
        <f>WEEKDAY(Table1_2[[#This Row],[Transaction date]])</f>
        <v>7</v>
      </c>
      <c r="K216"/>
    </row>
    <row r="217" spans="1:11" x14ac:dyDescent="0.45">
      <c r="A217" s="3">
        <v>39825</v>
      </c>
      <c r="B217" s="2">
        <v>0.11805555555555555</v>
      </c>
      <c r="C217" t="s">
        <v>1737</v>
      </c>
      <c r="D217" t="s">
        <v>10</v>
      </c>
      <c r="E217">
        <v>1200</v>
      </c>
      <c r="F217" t="s">
        <v>11</v>
      </c>
      <c r="G217" t="s">
        <v>435</v>
      </c>
      <c r="H217" t="s">
        <v>333</v>
      </c>
      <c r="I217" t="s">
        <v>15</v>
      </c>
      <c r="J217" s="5">
        <f>WEEKDAY(Table1_2[[#This Row],[Transaction date]])</f>
        <v>2</v>
      </c>
      <c r="K217"/>
    </row>
    <row r="218" spans="1:11" x14ac:dyDescent="0.45">
      <c r="A218" s="3">
        <v>39820</v>
      </c>
      <c r="B218" s="2">
        <v>7.5694444444444439E-2</v>
      </c>
      <c r="C218" t="s">
        <v>1737</v>
      </c>
      <c r="D218" t="s">
        <v>10</v>
      </c>
      <c r="E218">
        <v>1200</v>
      </c>
      <c r="F218" t="s">
        <v>11</v>
      </c>
      <c r="G218" t="s">
        <v>436</v>
      </c>
      <c r="H218" t="s">
        <v>437</v>
      </c>
      <c r="I218" t="s">
        <v>15</v>
      </c>
      <c r="J218" s="5">
        <f>WEEKDAY(Table1_2[[#This Row],[Transaction date]])</f>
        <v>4</v>
      </c>
      <c r="K218"/>
    </row>
    <row r="219" spans="1:11" x14ac:dyDescent="0.45">
      <c r="A219" s="3">
        <v>39822</v>
      </c>
      <c r="B219" s="2">
        <v>0.32013888888888886</v>
      </c>
      <c r="C219" t="s">
        <v>1737</v>
      </c>
      <c r="D219" t="s">
        <v>10</v>
      </c>
      <c r="E219">
        <v>1200</v>
      </c>
      <c r="F219" t="s">
        <v>16</v>
      </c>
      <c r="G219" t="s">
        <v>438</v>
      </c>
      <c r="H219" t="s">
        <v>439</v>
      </c>
      <c r="I219" t="s">
        <v>15</v>
      </c>
      <c r="J219" s="5">
        <f>WEEKDAY(Table1_2[[#This Row],[Transaction date]])</f>
        <v>6</v>
      </c>
      <c r="K219"/>
    </row>
    <row r="220" spans="1:11" x14ac:dyDescent="0.45">
      <c r="A220" s="3">
        <v>39836</v>
      </c>
      <c r="B220" s="2">
        <v>0.40347222222222223</v>
      </c>
      <c r="C220" t="s">
        <v>1737</v>
      </c>
      <c r="D220" t="s">
        <v>10</v>
      </c>
      <c r="E220">
        <v>1200</v>
      </c>
      <c r="F220" t="s">
        <v>11</v>
      </c>
      <c r="G220" t="s">
        <v>440</v>
      </c>
      <c r="H220" t="s">
        <v>441</v>
      </c>
      <c r="I220" t="s">
        <v>15</v>
      </c>
      <c r="J220" s="5">
        <f>WEEKDAY(Table1_2[[#This Row],[Transaction date]])</f>
        <v>6</v>
      </c>
      <c r="K220"/>
    </row>
    <row r="221" spans="1:11" x14ac:dyDescent="0.45">
      <c r="A221" s="3">
        <v>39819</v>
      </c>
      <c r="B221" s="2">
        <v>0.17152777777777778</v>
      </c>
      <c r="C221" t="s">
        <v>1737</v>
      </c>
      <c r="D221" t="s">
        <v>10</v>
      </c>
      <c r="E221">
        <v>1200</v>
      </c>
      <c r="F221" t="s">
        <v>11</v>
      </c>
      <c r="G221" t="s">
        <v>442</v>
      </c>
      <c r="H221" t="s">
        <v>443</v>
      </c>
      <c r="I221" t="s">
        <v>15</v>
      </c>
      <c r="J221" s="5">
        <f>WEEKDAY(Table1_2[[#This Row],[Transaction date]])</f>
        <v>3</v>
      </c>
      <c r="K221"/>
    </row>
    <row r="222" spans="1:11" x14ac:dyDescent="0.45">
      <c r="A222" s="3">
        <v>39841</v>
      </c>
      <c r="B222" s="2">
        <v>0.36388888888888887</v>
      </c>
      <c r="C222" t="s">
        <v>1737</v>
      </c>
      <c r="D222" t="s">
        <v>10</v>
      </c>
      <c r="E222">
        <v>1200</v>
      </c>
      <c r="F222" t="s">
        <v>11</v>
      </c>
      <c r="G222" t="s">
        <v>444</v>
      </c>
      <c r="H222" t="s">
        <v>445</v>
      </c>
      <c r="I222" t="s">
        <v>15</v>
      </c>
      <c r="J222" s="5">
        <f>WEEKDAY(Table1_2[[#This Row],[Transaction date]])</f>
        <v>4</v>
      </c>
      <c r="K222"/>
    </row>
    <row r="223" spans="1:11" x14ac:dyDescent="0.45">
      <c r="A223" s="3">
        <v>39832</v>
      </c>
      <c r="B223" s="2">
        <v>0.36944444444444446</v>
      </c>
      <c r="C223" t="s">
        <v>1737</v>
      </c>
      <c r="D223" t="s">
        <v>10</v>
      </c>
      <c r="E223">
        <v>1200</v>
      </c>
      <c r="F223" t="s">
        <v>11</v>
      </c>
      <c r="G223" t="s">
        <v>446</v>
      </c>
      <c r="H223" t="s">
        <v>447</v>
      </c>
      <c r="I223" t="s">
        <v>15</v>
      </c>
      <c r="J223" s="5">
        <f>WEEKDAY(Table1_2[[#This Row],[Transaction date]])</f>
        <v>2</v>
      </c>
      <c r="K223"/>
    </row>
    <row r="224" spans="1:11" x14ac:dyDescent="0.45">
      <c r="A224" s="3">
        <v>39843</v>
      </c>
      <c r="B224" s="2">
        <v>0.3</v>
      </c>
      <c r="C224" t="s">
        <v>1737</v>
      </c>
      <c r="D224" t="s">
        <v>10</v>
      </c>
      <c r="E224">
        <v>1200</v>
      </c>
      <c r="F224" t="s">
        <v>11</v>
      </c>
      <c r="G224" t="s">
        <v>448</v>
      </c>
      <c r="H224" t="s">
        <v>449</v>
      </c>
      <c r="I224" t="s">
        <v>15</v>
      </c>
      <c r="J224" s="5">
        <f>WEEKDAY(Table1_2[[#This Row],[Transaction date]])</f>
        <v>6</v>
      </c>
      <c r="K224"/>
    </row>
    <row r="225" spans="1:11" x14ac:dyDescent="0.45">
      <c r="A225" s="3">
        <v>39818</v>
      </c>
      <c r="B225" s="2">
        <v>0.52847222222222223</v>
      </c>
      <c r="C225" t="s">
        <v>1738</v>
      </c>
      <c r="D225" t="s">
        <v>10</v>
      </c>
      <c r="E225">
        <v>1200</v>
      </c>
      <c r="F225" t="s">
        <v>16</v>
      </c>
      <c r="G225" t="s">
        <v>450</v>
      </c>
      <c r="H225" t="s">
        <v>451</v>
      </c>
      <c r="I225" t="s">
        <v>15</v>
      </c>
      <c r="J225" s="5">
        <f>WEEKDAY(Table1_2[[#This Row],[Transaction date]])</f>
        <v>2</v>
      </c>
      <c r="K225"/>
    </row>
    <row r="226" spans="1:11" x14ac:dyDescent="0.45">
      <c r="A226" s="3">
        <v>39841</v>
      </c>
      <c r="B226" s="2">
        <v>0.37430555555555556</v>
      </c>
      <c r="C226" t="s">
        <v>1737</v>
      </c>
      <c r="D226" t="s">
        <v>10</v>
      </c>
      <c r="E226">
        <v>1200</v>
      </c>
      <c r="F226" t="s">
        <v>11</v>
      </c>
      <c r="G226" t="s">
        <v>452</v>
      </c>
      <c r="H226" t="s">
        <v>314</v>
      </c>
      <c r="I226" t="s">
        <v>15</v>
      </c>
      <c r="J226" s="5">
        <f>WEEKDAY(Table1_2[[#This Row],[Transaction date]])</f>
        <v>4</v>
      </c>
      <c r="K226"/>
    </row>
    <row r="227" spans="1:11" x14ac:dyDescent="0.45">
      <c r="A227" s="3">
        <v>39823</v>
      </c>
      <c r="B227" s="2">
        <v>0.4</v>
      </c>
      <c r="C227" t="s">
        <v>1737</v>
      </c>
      <c r="D227" t="s">
        <v>10</v>
      </c>
      <c r="E227">
        <v>1200</v>
      </c>
      <c r="F227" t="s">
        <v>11</v>
      </c>
      <c r="G227" t="s">
        <v>453</v>
      </c>
      <c r="H227" t="s">
        <v>198</v>
      </c>
      <c r="I227" t="s">
        <v>15</v>
      </c>
      <c r="J227" s="5">
        <f>WEEKDAY(Table1_2[[#This Row],[Transaction date]])</f>
        <v>7</v>
      </c>
      <c r="K227"/>
    </row>
    <row r="228" spans="1:11" x14ac:dyDescent="0.45">
      <c r="A228" s="3">
        <v>39838</v>
      </c>
      <c r="B228" s="2">
        <v>0.33263888888888887</v>
      </c>
      <c r="C228" t="s">
        <v>1737</v>
      </c>
      <c r="D228" t="s">
        <v>10</v>
      </c>
      <c r="E228">
        <v>1200</v>
      </c>
      <c r="F228" t="s">
        <v>11</v>
      </c>
      <c r="G228" t="s">
        <v>454</v>
      </c>
      <c r="H228" t="s">
        <v>198</v>
      </c>
      <c r="I228" t="s">
        <v>15</v>
      </c>
      <c r="J228" s="5">
        <f>WEEKDAY(Table1_2[[#This Row],[Transaction date]])</f>
        <v>1</v>
      </c>
      <c r="K228"/>
    </row>
    <row r="229" spans="1:11" x14ac:dyDescent="0.45">
      <c r="A229" s="3">
        <v>39834</v>
      </c>
      <c r="B229" s="2">
        <v>0.37986111111111109</v>
      </c>
      <c r="C229" t="s">
        <v>1737</v>
      </c>
      <c r="D229" t="s">
        <v>10</v>
      </c>
      <c r="E229">
        <v>1200</v>
      </c>
      <c r="F229" t="s">
        <v>11</v>
      </c>
      <c r="G229" t="s">
        <v>455</v>
      </c>
      <c r="H229" t="s">
        <v>222</v>
      </c>
      <c r="I229" t="s">
        <v>15</v>
      </c>
      <c r="J229" s="5">
        <f>WEEKDAY(Table1_2[[#This Row],[Transaction date]])</f>
        <v>4</v>
      </c>
      <c r="K229"/>
    </row>
    <row r="230" spans="1:11" x14ac:dyDescent="0.45">
      <c r="A230" s="3">
        <v>39840</v>
      </c>
      <c r="B230" s="2">
        <v>0.34097222222222223</v>
      </c>
      <c r="C230" t="s">
        <v>1737</v>
      </c>
      <c r="D230" t="s">
        <v>10</v>
      </c>
      <c r="E230">
        <v>1200</v>
      </c>
      <c r="F230" t="s">
        <v>11</v>
      </c>
      <c r="G230" t="s">
        <v>456</v>
      </c>
      <c r="H230" t="s">
        <v>457</v>
      </c>
      <c r="I230" t="s">
        <v>15</v>
      </c>
      <c r="J230" s="5">
        <f>WEEKDAY(Table1_2[[#This Row],[Transaction date]])</f>
        <v>3</v>
      </c>
      <c r="K230"/>
    </row>
    <row r="231" spans="1:11" x14ac:dyDescent="0.45">
      <c r="A231" s="3">
        <v>39828</v>
      </c>
      <c r="B231" s="2">
        <v>0.41111111111111109</v>
      </c>
      <c r="C231" t="s">
        <v>1737</v>
      </c>
      <c r="D231" t="s">
        <v>10</v>
      </c>
      <c r="E231">
        <v>1200</v>
      </c>
      <c r="F231" t="s">
        <v>63</v>
      </c>
      <c r="G231" t="s">
        <v>458</v>
      </c>
      <c r="H231" t="s">
        <v>459</v>
      </c>
      <c r="I231" t="s">
        <v>15</v>
      </c>
      <c r="J231" s="5">
        <f>WEEKDAY(Table1_2[[#This Row],[Transaction date]])</f>
        <v>5</v>
      </c>
      <c r="K231"/>
    </row>
    <row r="232" spans="1:11" x14ac:dyDescent="0.45">
      <c r="A232" s="3">
        <v>39826</v>
      </c>
      <c r="B232" s="2">
        <v>0.49583333333333335</v>
      </c>
      <c r="C232" t="s">
        <v>1737</v>
      </c>
      <c r="D232" t="s">
        <v>10</v>
      </c>
      <c r="E232">
        <v>1200</v>
      </c>
      <c r="F232" t="s">
        <v>11</v>
      </c>
      <c r="G232" t="s">
        <v>460</v>
      </c>
      <c r="H232" t="s">
        <v>461</v>
      </c>
      <c r="I232" t="s">
        <v>15</v>
      </c>
      <c r="J232" s="5">
        <f>WEEKDAY(Table1_2[[#This Row],[Transaction date]])</f>
        <v>3</v>
      </c>
      <c r="K232"/>
    </row>
    <row r="233" spans="1:11" x14ac:dyDescent="0.45">
      <c r="A233" s="3">
        <v>39829</v>
      </c>
      <c r="B233" s="2">
        <v>0.49236111111111114</v>
      </c>
      <c r="C233" t="s">
        <v>1737</v>
      </c>
      <c r="D233" t="s">
        <v>10</v>
      </c>
      <c r="E233">
        <v>1200</v>
      </c>
      <c r="F233" t="s">
        <v>16</v>
      </c>
      <c r="G233" t="s">
        <v>462</v>
      </c>
      <c r="H233" t="s">
        <v>463</v>
      </c>
      <c r="I233" t="s">
        <v>15</v>
      </c>
      <c r="J233" s="5">
        <f>WEEKDAY(Table1_2[[#This Row],[Transaction date]])</f>
        <v>6</v>
      </c>
      <c r="K233"/>
    </row>
    <row r="234" spans="1:11" x14ac:dyDescent="0.45">
      <c r="A234" s="3">
        <v>39814</v>
      </c>
      <c r="B234" s="2">
        <v>0.39930555555555558</v>
      </c>
      <c r="C234" t="s">
        <v>1737</v>
      </c>
      <c r="D234" t="s">
        <v>10</v>
      </c>
      <c r="E234">
        <v>1200</v>
      </c>
      <c r="F234" t="s">
        <v>16</v>
      </c>
      <c r="G234" t="s">
        <v>464</v>
      </c>
      <c r="H234" t="s">
        <v>465</v>
      </c>
      <c r="I234" t="s">
        <v>15</v>
      </c>
      <c r="J234" s="5">
        <f>WEEKDAY(Table1_2[[#This Row],[Transaction date]])</f>
        <v>5</v>
      </c>
      <c r="K234"/>
    </row>
    <row r="235" spans="1:11" x14ac:dyDescent="0.45">
      <c r="A235" s="3">
        <v>39826</v>
      </c>
      <c r="B235" s="2">
        <v>0.24861111111111112</v>
      </c>
      <c r="C235" t="s">
        <v>1737</v>
      </c>
      <c r="D235" t="s">
        <v>10</v>
      </c>
      <c r="E235">
        <v>1200</v>
      </c>
      <c r="F235" t="s">
        <v>16</v>
      </c>
      <c r="G235" t="s">
        <v>466</v>
      </c>
      <c r="H235" t="s">
        <v>467</v>
      </c>
      <c r="I235" t="s">
        <v>15</v>
      </c>
      <c r="J235" s="5">
        <f>WEEKDAY(Table1_2[[#This Row],[Transaction date]])</f>
        <v>3</v>
      </c>
      <c r="K235"/>
    </row>
    <row r="236" spans="1:11" x14ac:dyDescent="0.45">
      <c r="A236" s="3">
        <v>39819</v>
      </c>
      <c r="B236" s="2">
        <v>0.17222222222222222</v>
      </c>
      <c r="C236" t="s">
        <v>1737</v>
      </c>
      <c r="D236" t="s">
        <v>20</v>
      </c>
      <c r="E236">
        <v>3600</v>
      </c>
      <c r="F236" t="s">
        <v>11</v>
      </c>
      <c r="G236" t="s">
        <v>468</v>
      </c>
      <c r="H236" t="s">
        <v>198</v>
      </c>
      <c r="I236" t="s">
        <v>15</v>
      </c>
      <c r="J236" s="5">
        <f>WEEKDAY(Table1_2[[#This Row],[Transaction date]])</f>
        <v>3</v>
      </c>
      <c r="K236"/>
    </row>
    <row r="237" spans="1:11" x14ac:dyDescent="0.45">
      <c r="A237" s="3">
        <v>39818</v>
      </c>
      <c r="B237" s="2">
        <v>0.43402777777777779</v>
      </c>
      <c r="C237" t="s">
        <v>1737</v>
      </c>
      <c r="D237" t="s">
        <v>10</v>
      </c>
      <c r="E237">
        <v>1200</v>
      </c>
      <c r="F237" t="s">
        <v>63</v>
      </c>
      <c r="G237" t="s">
        <v>469</v>
      </c>
      <c r="H237" t="s">
        <v>333</v>
      </c>
      <c r="I237" t="s">
        <v>15</v>
      </c>
      <c r="J237" s="5">
        <f>WEEKDAY(Table1_2[[#This Row],[Transaction date]])</f>
        <v>2</v>
      </c>
      <c r="K237"/>
    </row>
    <row r="238" spans="1:11" x14ac:dyDescent="0.45">
      <c r="A238" s="3">
        <v>39825</v>
      </c>
      <c r="B238" s="2">
        <v>0.36319444444444443</v>
      </c>
      <c r="C238" t="s">
        <v>1737</v>
      </c>
      <c r="D238" t="s">
        <v>10</v>
      </c>
      <c r="E238">
        <v>1200</v>
      </c>
      <c r="F238" t="s">
        <v>11</v>
      </c>
      <c r="G238" t="s">
        <v>470</v>
      </c>
      <c r="H238" t="s">
        <v>471</v>
      </c>
      <c r="I238" t="s">
        <v>15</v>
      </c>
      <c r="J238" s="5">
        <f>WEEKDAY(Table1_2[[#This Row],[Transaction date]])</f>
        <v>2</v>
      </c>
      <c r="K238"/>
    </row>
    <row r="239" spans="1:11" x14ac:dyDescent="0.45">
      <c r="A239" s="3">
        <v>39830</v>
      </c>
      <c r="B239" s="2">
        <v>0.14027777777777778</v>
      </c>
      <c r="C239" t="s">
        <v>1737</v>
      </c>
      <c r="D239" t="s">
        <v>10</v>
      </c>
      <c r="E239">
        <v>1200</v>
      </c>
      <c r="F239" t="s">
        <v>11</v>
      </c>
      <c r="G239" t="s">
        <v>472</v>
      </c>
      <c r="H239" t="s">
        <v>473</v>
      </c>
      <c r="I239" t="s">
        <v>15</v>
      </c>
      <c r="J239" s="5">
        <f>WEEKDAY(Table1_2[[#This Row],[Transaction date]])</f>
        <v>7</v>
      </c>
      <c r="K239"/>
    </row>
    <row r="240" spans="1:11" x14ac:dyDescent="0.45">
      <c r="A240" s="3">
        <v>39831</v>
      </c>
      <c r="B240" s="2">
        <v>0.47013888888888888</v>
      </c>
      <c r="C240" t="s">
        <v>1737</v>
      </c>
      <c r="D240" t="s">
        <v>10</v>
      </c>
      <c r="E240">
        <v>1200</v>
      </c>
      <c r="F240" t="s">
        <v>63</v>
      </c>
      <c r="G240" t="s">
        <v>472</v>
      </c>
      <c r="H240" t="s">
        <v>474</v>
      </c>
      <c r="I240" t="s">
        <v>15</v>
      </c>
      <c r="J240" s="5">
        <f>WEEKDAY(Table1_2[[#This Row],[Transaction date]])</f>
        <v>1</v>
      </c>
      <c r="K240"/>
    </row>
    <row r="241" spans="1:11" x14ac:dyDescent="0.45">
      <c r="A241" s="3">
        <v>39824</v>
      </c>
      <c r="B241" s="2">
        <v>0.25069444444444444</v>
      </c>
      <c r="C241" t="s">
        <v>1737</v>
      </c>
      <c r="D241" t="s">
        <v>10</v>
      </c>
      <c r="E241">
        <v>1200</v>
      </c>
      <c r="F241" t="s">
        <v>16</v>
      </c>
      <c r="G241" t="s">
        <v>174</v>
      </c>
      <c r="H241" t="s">
        <v>34</v>
      </c>
      <c r="I241" t="s">
        <v>15</v>
      </c>
      <c r="J241" s="5">
        <f>WEEKDAY(Table1_2[[#This Row],[Transaction date]])</f>
        <v>1</v>
      </c>
      <c r="K241"/>
    </row>
    <row r="242" spans="1:11" x14ac:dyDescent="0.45">
      <c r="A242" s="3">
        <v>39832</v>
      </c>
      <c r="B242" s="2">
        <v>0.12013888888888889</v>
      </c>
      <c r="C242" t="s">
        <v>1737</v>
      </c>
      <c r="D242" t="s">
        <v>10</v>
      </c>
      <c r="E242">
        <v>1200</v>
      </c>
      <c r="F242" t="s">
        <v>16</v>
      </c>
      <c r="G242" t="s">
        <v>418</v>
      </c>
      <c r="H242" t="s">
        <v>475</v>
      </c>
      <c r="I242" t="s">
        <v>15</v>
      </c>
      <c r="J242" s="5">
        <f>WEEKDAY(Table1_2[[#This Row],[Transaction date]])</f>
        <v>2</v>
      </c>
      <c r="K242"/>
    </row>
    <row r="243" spans="1:11" x14ac:dyDescent="0.45">
      <c r="A243" s="3">
        <v>39828</v>
      </c>
      <c r="B243" s="2">
        <v>0.34166666666666667</v>
      </c>
      <c r="C243" t="s">
        <v>1737</v>
      </c>
      <c r="D243" t="s">
        <v>10</v>
      </c>
      <c r="E243">
        <v>1200</v>
      </c>
      <c r="F243" t="s">
        <v>11</v>
      </c>
      <c r="G243" t="s">
        <v>57</v>
      </c>
      <c r="H243" t="s">
        <v>170</v>
      </c>
      <c r="I243" t="s">
        <v>15</v>
      </c>
      <c r="J243" s="5">
        <f>WEEKDAY(Table1_2[[#This Row],[Transaction date]])</f>
        <v>5</v>
      </c>
      <c r="K243"/>
    </row>
    <row r="244" spans="1:11" x14ac:dyDescent="0.45">
      <c r="A244" s="3">
        <v>39825</v>
      </c>
      <c r="B244" s="2">
        <v>0.33680555555555558</v>
      </c>
      <c r="C244" t="s">
        <v>1737</v>
      </c>
      <c r="D244" t="s">
        <v>10</v>
      </c>
      <c r="E244">
        <v>1200</v>
      </c>
      <c r="F244" t="s">
        <v>63</v>
      </c>
      <c r="G244" t="s">
        <v>476</v>
      </c>
      <c r="H244" t="s">
        <v>477</v>
      </c>
      <c r="I244" t="s">
        <v>15</v>
      </c>
      <c r="J244" s="5">
        <f>WEEKDAY(Table1_2[[#This Row],[Transaction date]])</f>
        <v>2</v>
      </c>
      <c r="K244"/>
    </row>
    <row r="245" spans="1:11" x14ac:dyDescent="0.45">
      <c r="A245" s="3">
        <v>39838</v>
      </c>
      <c r="B245" s="2">
        <v>0.37083333333333335</v>
      </c>
      <c r="C245" t="s">
        <v>1737</v>
      </c>
      <c r="D245" t="s">
        <v>10</v>
      </c>
      <c r="E245">
        <v>1200</v>
      </c>
      <c r="F245" t="s">
        <v>63</v>
      </c>
      <c r="G245" t="s">
        <v>478</v>
      </c>
      <c r="H245" t="s">
        <v>479</v>
      </c>
      <c r="I245" t="s">
        <v>15</v>
      </c>
      <c r="J245" s="5">
        <f>WEEKDAY(Table1_2[[#This Row],[Transaction date]])</f>
        <v>1</v>
      </c>
      <c r="K245"/>
    </row>
    <row r="246" spans="1:11" x14ac:dyDescent="0.45">
      <c r="A246" s="3">
        <v>39818</v>
      </c>
      <c r="B246" s="2">
        <v>0.31180555555555556</v>
      </c>
      <c r="C246" t="s">
        <v>1737</v>
      </c>
      <c r="D246" t="s">
        <v>10</v>
      </c>
      <c r="E246">
        <v>1200</v>
      </c>
      <c r="F246" t="s">
        <v>11</v>
      </c>
      <c r="G246" t="s">
        <v>480</v>
      </c>
      <c r="H246" t="s">
        <v>333</v>
      </c>
      <c r="I246" t="s">
        <v>15</v>
      </c>
      <c r="J246" s="5">
        <f>WEEKDAY(Table1_2[[#This Row],[Transaction date]])</f>
        <v>2</v>
      </c>
      <c r="K246"/>
    </row>
    <row r="247" spans="1:11" x14ac:dyDescent="0.45">
      <c r="A247" s="3">
        <v>39820</v>
      </c>
      <c r="B247" s="2">
        <v>0.29583333333333334</v>
      </c>
      <c r="C247" t="s">
        <v>1737</v>
      </c>
      <c r="D247" t="s">
        <v>230</v>
      </c>
      <c r="E247">
        <v>3600</v>
      </c>
      <c r="F247" t="s">
        <v>63</v>
      </c>
      <c r="G247" t="s">
        <v>481</v>
      </c>
      <c r="H247" t="s">
        <v>482</v>
      </c>
      <c r="I247" t="s">
        <v>15</v>
      </c>
      <c r="J247" s="5">
        <f>WEEKDAY(Table1_2[[#This Row],[Transaction date]])</f>
        <v>4</v>
      </c>
      <c r="K247"/>
    </row>
    <row r="248" spans="1:11" x14ac:dyDescent="0.45">
      <c r="A248" s="3">
        <v>39836</v>
      </c>
      <c r="B248" s="2">
        <v>0.48125000000000001</v>
      </c>
      <c r="C248" t="s">
        <v>1737</v>
      </c>
      <c r="D248" t="s">
        <v>10</v>
      </c>
      <c r="E248">
        <v>1200</v>
      </c>
      <c r="F248" t="s">
        <v>16</v>
      </c>
      <c r="G248" t="s">
        <v>483</v>
      </c>
      <c r="H248" t="s">
        <v>484</v>
      </c>
      <c r="I248" t="s">
        <v>15</v>
      </c>
      <c r="J248" s="5">
        <f>WEEKDAY(Table1_2[[#This Row],[Transaction date]])</f>
        <v>6</v>
      </c>
      <c r="K248"/>
    </row>
    <row r="249" spans="1:11" x14ac:dyDescent="0.45">
      <c r="A249" s="3">
        <v>39816</v>
      </c>
      <c r="B249" s="2">
        <v>0.38263888888888886</v>
      </c>
      <c r="C249" t="s">
        <v>1737</v>
      </c>
      <c r="D249" t="s">
        <v>10</v>
      </c>
      <c r="E249">
        <v>1200</v>
      </c>
      <c r="F249" t="s">
        <v>16</v>
      </c>
      <c r="G249" t="s">
        <v>485</v>
      </c>
      <c r="H249" t="s">
        <v>486</v>
      </c>
      <c r="I249" t="s">
        <v>15</v>
      </c>
      <c r="J249" s="5">
        <f>WEEKDAY(Table1_2[[#This Row],[Transaction date]])</f>
        <v>7</v>
      </c>
      <c r="K249"/>
    </row>
    <row r="250" spans="1:11" x14ac:dyDescent="0.45">
      <c r="A250" s="3">
        <v>39824</v>
      </c>
      <c r="B250" s="2">
        <v>0.22777777777777777</v>
      </c>
      <c r="C250" t="s">
        <v>1737</v>
      </c>
      <c r="D250" t="s">
        <v>10</v>
      </c>
      <c r="E250">
        <v>1200</v>
      </c>
      <c r="F250" t="s">
        <v>11</v>
      </c>
      <c r="G250" t="s">
        <v>487</v>
      </c>
      <c r="H250" t="s">
        <v>488</v>
      </c>
      <c r="I250" t="s">
        <v>15</v>
      </c>
      <c r="J250" s="5">
        <f>WEEKDAY(Table1_2[[#This Row],[Transaction date]])</f>
        <v>1</v>
      </c>
      <c r="K250"/>
    </row>
    <row r="251" spans="1:11" x14ac:dyDescent="0.45">
      <c r="A251" s="3">
        <v>39842</v>
      </c>
      <c r="B251" s="2">
        <v>0.44305555555555554</v>
      </c>
      <c r="C251" t="s">
        <v>1737</v>
      </c>
      <c r="D251" t="s">
        <v>10</v>
      </c>
      <c r="E251">
        <v>1200</v>
      </c>
      <c r="F251" t="s">
        <v>11</v>
      </c>
      <c r="G251" t="s">
        <v>489</v>
      </c>
      <c r="H251" t="s">
        <v>490</v>
      </c>
      <c r="I251" t="s">
        <v>15</v>
      </c>
      <c r="J251" s="5">
        <f>WEEKDAY(Table1_2[[#This Row],[Transaction date]])</f>
        <v>5</v>
      </c>
      <c r="K251"/>
    </row>
    <row r="252" spans="1:11" x14ac:dyDescent="0.45">
      <c r="A252" s="3">
        <v>39821</v>
      </c>
      <c r="B252" s="2">
        <v>8.611111111111111E-2</v>
      </c>
      <c r="C252" t="s">
        <v>1737</v>
      </c>
      <c r="D252" t="s">
        <v>10</v>
      </c>
      <c r="E252">
        <v>1200</v>
      </c>
      <c r="F252" t="s">
        <v>63</v>
      </c>
      <c r="G252" t="s">
        <v>491</v>
      </c>
      <c r="H252" t="s">
        <v>492</v>
      </c>
      <c r="I252" t="s">
        <v>15</v>
      </c>
      <c r="J252" s="5">
        <f>WEEKDAY(Table1_2[[#This Row],[Transaction date]])</f>
        <v>5</v>
      </c>
      <c r="K252"/>
    </row>
    <row r="253" spans="1:11" x14ac:dyDescent="0.45">
      <c r="A253" s="3">
        <v>39844</v>
      </c>
      <c r="B253" s="2">
        <v>0.40972222222222221</v>
      </c>
      <c r="C253" t="s">
        <v>1737</v>
      </c>
      <c r="D253" t="s">
        <v>10</v>
      </c>
      <c r="E253">
        <v>1200</v>
      </c>
      <c r="F253" t="s">
        <v>11</v>
      </c>
      <c r="G253" t="s">
        <v>493</v>
      </c>
      <c r="H253" t="s">
        <v>494</v>
      </c>
      <c r="I253" t="s">
        <v>15</v>
      </c>
      <c r="J253" s="5">
        <f>WEEKDAY(Table1_2[[#This Row],[Transaction date]])</f>
        <v>7</v>
      </c>
      <c r="K253"/>
    </row>
    <row r="254" spans="1:11" x14ac:dyDescent="0.45">
      <c r="A254" s="3">
        <v>39843</v>
      </c>
      <c r="B254" s="2">
        <v>5.0694444444444445E-2</v>
      </c>
      <c r="C254" t="s">
        <v>1737</v>
      </c>
      <c r="D254" t="s">
        <v>10</v>
      </c>
      <c r="E254">
        <v>1200</v>
      </c>
      <c r="F254" t="s">
        <v>11</v>
      </c>
      <c r="G254" t="s">
        <v>280</v>
      </c>
      <c r="H254" t="s">
        <v>495</v>
      </c>
      <c r="I254" t="s">
        <v>15</v>
      </c>
      <c r="J254" s="5">
        <f>WEEKDAY(Table1_2[[#This Row],[Transaction date]])</f>
        <v>6</v>
      </c>
      <c r="K254"/>
    </row>
    <row r="255" spans="1:11" x14ac:dyDescent="0.45">
      <c r="A255" s="3">
        <v>39840</v>
      </c>
      <c r="B255" s="2">
        <v>0.2013888888888889</v>
      </c>
      <c r="C255" t="s">
        <v>1737</v>
      </c>
      <c r="D255" t="s">
        <v>10</v>
      </c>
      <c r="E255">
        <v>1200</v>
      </c>
      <c r="F255" t="s">
        <v>11</v>
      </c>
      <c r="G255" t="s">
        <v>496</v>
      </c>
      <c r="H255" t="s">
        <v>497</v>
      </c>
      <c r="I255" t="s">
        <v>15</v>
      </c>
      <c r="J255" s="5">
        <f>WEEKDAY(Table1_2[[#This Row],[Transaction date]])</f>
        <v>3</v>
      </c>
      <c r="K255"/>
    </row>
    <row r="256" spans="1:11" x14ac:dyDescent="0.45">
      <c r="A256" s="3">
        <v>39843</v>
      </c>
      <c r="B256" s="2">
        <v>0.32083333333333336</v>
      </c>
      <c r="C256" t="s">
        <v>1737</v>
      </c>
      <c r="D256" t="s">
        <v>10</v>
      </c>
      <c r="E256">
        <v>250</v>
      </c>
      <c r="F256" t="s">
        <v>11</v>
      </c>
      <c r="G256" t="s">
        <v>498</v>
      </c>
      <c r="H256" t="s">
        <v>497</v>
      </c>
      <c r="I256" t="s">
        <v>15</v>
      </c>
      <c r="J256" s="5">
        <f>WEEKDAY(Table1_2[[#This Row],[Transaction date]])</f>
        <v>6</v>
      </c>
      <c r="K256"/>
    </row>
    <row r="257" spans="1:11" x14ac:dyDescent="0.45">
      <c r="A257" s="3">
        <v>39830</v>
      </c>
      <c r="B257" s="2">
        <v>0.15833333333333333</v>
      </c>
      <c r="C257" t="s">
        <v>1737</v>
      </c>
      <c r="D257" t="s">
        <v>20</v>
      </c>
      <c r="E257">
        <v>3600</v>
      </c>
      <c r="F257" t="s">
        <v>11</v>
      </c>
      <c r="G257" t="s">
        <v>499</v>
      </c>
      <c r="H257" t="s">
        <v>500</v>
      </c>
      <c r="I257" t="s">
        <v>15</v>
      </c>
      <c r="J257" s="5">
        <f>WEEKDAY(Table1_2[[#This Row],[Transaction date]])</f>
        <v>7</v>
      </c>
      <c r="K257"/>
    </row>
    <row r="258" spans="1:11" x14ac:dyDescent="0.45">
      <c r="A258" s="3">
        <v>39843</v>
      </c>
      <c r="B258" s="2">
        <v>0.35208333333333336</v>
      </c>
      <c r="C258" t="s">
        <v>1737</v>
      </c>
      <c r="D258" t="s">
        <v>10</v>
      </c>
      <c r="E258">
        <v>1200</v>
      </c>
      <c r="F258" t="s">
        <v>16</v>
      </c>
      <c r="G258" t="s">
        <v>501</v>
      </c>
      <c r="H258" t="s">
        <v>502</v>
      </c>
      <c r="I258" t="s">
        <v>15</v>
      </c>
      <c r="J258" s="5">
        <f>WEEKDAY(Table1_2[[#This Row],[Transaction date]])</f>
        <v>6</v>
      </c>
      <c r="K258"/>
    </row>
    <row r="259" spans="1:11" x14ac:dyDescent="0.45">
      <c r="A259" s="3">
        <v>39840</v>
      </c>
      <c r="B259" s="2">
        <v>0.27430555555555558</v>
      </c>
      <c r="C259" t="s">
        <v>1737</v>
      </c>
      <c r="D259" t="s">
        <v>10</v>
      </c>
      <c r="E259">
        <v>1200</v>
      </c>
      <c r="F259" t="s">
        <v>16</v>
      </c>
      <c r="G259" t="s">
        <v>503</v>
      </c>
      <c r="H259" t="s">
        <v>296</v>
      </c>
      <c r="I259" t="s">
        <v>15</v>
      </c>
      <c r="J259" s="5">
        <f>WEEKDAY(Table1_2[[#This Row],[Transaction date]])</f>
        <v>3</v>
      </c>
      <c r="K259"/>
    </row>
    <row r="260" spans="1:11" x14ac:dyDescent="0.45">
      <c r="A260" s="3">
        <v>39834</v>
      </c>
      <c r="B260" s="2">
        <v>0.23541666666666666</v>
      </c>
      <c r="C260" t="s">
        <v>1737</v>
      </c>
      <c r="D260" t="s">
        <v>230</v>
      </c>
      <c r="E260">
        <v>1200</v>
      </c>
      <c r="F260" t="s">
        <v>63</v>
      </c>
      <c r="G260" t="s">
        <v>504</v>
      </c>
      <c r="H260" t="s">
        <v>505</v>
      </c>
      <c r="I260" t="s">
        <v>15</v>
      </c>
      <c r="J260" s="5">
        <f>WEEKDAY(Table1_2[[#This Row],[Transaction date]])</f>
        <v>4</v>
      </c>
      <c r="K260"/>
    </row>
    <row r="261" spans="1:11" x14ac:dyDescent="0.45">
      <c r="A261" s="3">
        <v>39833</v>
      </c>
      <c r="B261" s="2">
        <v>0.34930555555555554</v>
      </c>
      <c r="C261" t="s">
        <v>1737</v>
      </c>
      <c r="D261" t="s">
        <v>10</v>
      </c>
      <c r="E261">
        <v>1200</v>
      </c>
      <c r="F261" t="s">
        <v>16</v>
      </c>
      <c r="G261" t="s">
        <v>419</v>
      </c>
      <c r="H261" t="s">
        <v>506</v>
      </c>
      <c r="I261" t="s">
        <v>15</v>
      </c>
      <c r="J261" s="5">
        <f>WEEKDAY(Table1_2[[#This Row],[Transaction date]])</f>
        <v>3</v>
      </c>
      <c r="K261"/>
    </row>
    <row r="262" spans="1:11" x14ac:dyDescent="0.45">
      <c r="A262" s="3">
        <v>39824</v>
      </c>
      <c r="B262" s="2">
        <v>0.2048611111111111</v>
      </c>
      <c r="C262" t="s">
        <v>1737</v>
      </c>
      <c r="D262" t="s">
        <v>10</v>
      </c>
      <c r="E262">
        <v>1200</v>
      </c>
      <c r="F262" t="s">
        <v>63</v>
      </c>
      <c r="G262" t="s">
        <v>508</v>
      </c>
      <c r="H262" t="s">
        <v>170</v>
      </c>
      <c r="I262" t="s">
        <v>15</v>
      </c>
      <c r="J262" s="5">
        <f>WEEKDAY(Table1_2[[#This Row],[Transaction date]])</f>
        <v>1</v>
      </c>
      <c r="K262"/>
    </row>
    <row r="263" spans="1:11" x14ac:dyDescent="0.45">
      <c r="A263" s="3">
        <v>39836</v>
      </c>
      <c r="B263" s="2">
        <v>0.32430555555555557</v>
      </c>
      <c r="C263" t="s">
        <v>1737</v>
      </c>
      <c r="D263" t="s">
        <v>10</v>
      </c>
      <c r="E263">
        <v>1800</v>
      </c>
      <c r="F263" t="s">
        <v>63</v>
      </c>
      <c r="G263" t="s">
        <v>509</v>
      </c>
      <c r="H263" t="s">
        <v>170</v>
      </c>
      <c r="I263" t="s">
        <v>15</v>
      </c>
      <c r="J263" s="5">
        <f>WEEKDAY(Table1_2[[#This Row],[Transaction date]])</f>
        <v>6</v>
      </c>
      <c r="K263"/>
    </row>
    <row r="264" spans="1:11" x14ac:dyDescent="0.45">
      <c r="A264" s="3">
        <v>39834</v>
      </c>
      <c r="B264" s="2">
        <v>0.47152777777777777</v>
      </c>
      <c r="C264" t="s">
        <v>1737</v>
      </c>
      <c r="D264" t="s">
        <v>10</v>
      </c>
      <c r="E264">
        <v>1200</v>
      </c>
      <c r="F264" t="s">
        <v>63</v>
      </c>
      <c r="G264" t="s">
        <v>510</v>
      </c>
      <c r="H264" t="s">
        <v>511</v>
      </c>
      <c r="I264" t="s">
        <v>15</v>
      </c>
      <c r="J264" s="5">
        <f>WEEKDAY(Table1_2[[#This Row],[Transaction date]])</f>
        <v>4</v>
      </c>
      <c r="K264"/>
    </row>
    <row r="265" spans="1:11" x14ac:dyDescent="0.45">
      <c r="A265" s="3">
        <v>39824</v>
      </c>
      <c r="B265" s="2">
        <v>0.18680555555555556</v>
      </c>
      <c r="C265" t="s">
        <v>1737</v>
      </c>
      <c r="D265" t="s">
        <v>230</v>
      </c>
      <c r="E265">
        <v>7500</v>
      </c>
      <c r="F265" t="s">
        <v>11</v>
      </c>
      <c r="G265" t="s">
        <v>512</v>
      </c>
      <c r="H265" t="s">
        <v>513</v>
      </c>
      <c r="I265" t="s">
        <v>15</v>
      </c>
      <c r="J265" s="5">
        <f>WEEKDAY(Table1_2[[#This Row],[Transaction date]])</f>
        <v>1</v>
      </c>
      <c r="K265"/>
    </row>
    <row r="266" spans="1:11" x14ac:dyDescent="0.45">
      <c r="A266" s="3">
        <v>39824</v>
      </c>
      <c r="B266" s="2">
        <v>0.19375000000000001</v>
      </c>
      <c r="C266" t="s">
        <v>1737</v>
      </c>
      <c r="D266" t="s">
        <v>10</v>
      </c>
      <c r="E266">
        <v>1200</v>
      </c>
      <c r="F266" t="s">
        <v>11</v>
      </c>
      <c r="G266" t="s">
        <v>514</v>
      </c>
      <c r="H266" t="s">
        <v>513</v>
      </c>
      <c r="I266" t="s">
        <v>15</v>
      </c>
      <c r="J266" s="5">
        <f>WEEKDAY(Table1_2[[#This Row],[Transaction date]])</f>
        <v>1</v>
      </c>
      <c r="K266"/>
    </row>
    <row r="267" spans="1:11" x14ac:dyDescent="0.45">
      <c r="A267" s="3">
        <v>39830</v>
      </c>
      <c r="B267" s="2">
        <v>0.125</v>
      </c>
      <c r="C267" t="s">
        <v>1737</v>
      </c>
      <c r="D267" t="s">
        <v>10</v>
      </c>
      <c r="E267">
        <v>1200</v>
      </c>
      <c r="F267" t="s">
        <v>11</v>
      </c>
      <c r="G267" t="s">
        <v>515</v>
      </c>
      <c r="H267" t="s">
        <v>516</v>
      </c>
      <c r="I267" t="s">
        <v>15</v>
      </c>
      <c r="J267" s="5">
        <f>WEEKDAY(Table1_2[[#This Row],[Transaction date]])</f>
        <v>7</v>
      </c>
      <c r="K267"/>
    </row>
    <row r="268" spans="1:11" x14ac:dyDescent="0.45">
      <c r="A268" s="3">
        <v>39817</v>
      </c>
      <c r="B268" s="2">
        <v>8.7499999999999994E-2</v>
      </c>
      <c r="C268" t="s">
        <v>1737</v>
      </c>
      <c r="D268" t="s">
        <v>10</v>
      </c>
      <c r="E268">
        <v>1200</v>
      </c>
      <c r="F268" t="s">
        <v>11</v>
      </c>
      <c r="G268" t="s">
        <v>517</v>
      </c>
      <c r="H268" t="s">
        <v>518</v>
      </c>
      <c r="I268" t="s">
        <v>15</v>
      </c>
      <c r="J268" s="5">
        <f>WEEKDAY(Table1_2[[#This Row],[Transaction date]])</f>
        <v>1</v>
      </c>
      <c r="K268"/>
    </row>
    <row r="269" spans="1:11" x14ac:dyDescent="0.45">
      <c r="A269" s="3">
        <v>39833</v>
      </c>
      <c r="B269" s="2">
        <v>0.20902777777777778</v>
      </c>
      <c r="C269" t="s">
        <v>1737</v>
      </c>
      <c r="D269" t="s">
        <v>10</v>
      </c>
      <c r="E269">
        <v>1200</v>
      </c>
      <c r="F269" t="s">
        <v>11</v>
      </c>
      <c r="G269" t="s">
        <v>280</v>
      </c>
      <c r="H269" t="s">
        <v>519</v>
      </c>
      <c r="I269" t="s">
        <v>15</v>
      </c>
      <c r="J269" s="5">
        <f>WEEKDAY(Table1_2[[#This Row],[Transaction date]])</f>
        <v>3</v>
      </c>
      <c r="K269"/>
    </row>
    <row r="270" spans="1:11" x14ac:dyDescent="0.45">
      <c r="A270" s="3">
        <v>39839</v>
      </c>
      <c r="B270" s="2">
        <v>0.10902777777777778</v>
      </c>
      <c r="C270" t="s">
        <v>1737</v>
      </c>
      <c r="D270" t="s">
        <v>10</v>
      </c>
      <c r="E270">
        <v>1200</v>
      </c>
      <c r="F270" t="s">
        <v>11</v>
      </c>
      <c r="G270" t="s">
        <v>346</v>
      </c>
      <c r="H270" t="s">
        <v>520</v>
      </c>
      <c r="I270" t="s">
        <v>15</v>
      </c>
      <c r="J270" s="5">
        <f>WEEKDAY(Table1_2[[#This Row],[Transaction date]])</f>
        <v>2</v>
      </c>
      <c r="K270"/>
    </row>
    <row r="271" spans="1:11" x14ac:dyDescent="0.45">
      <c r="A271" s="3">
        <v>39842</v>
      </c>
      <c r="B271" s="2">
        <v>6.0416666666666667E-2</v>
      </c>
      <c r="C271" t="s">
        <v>1737</v>
      </c>
      <c r="D271" t="s">
        <v>10</v>
      </c>
      <c r="E271">
        <v>1200</v>
      </c>
      <c r="F271" t="s">
        <v>11</v>
      </c>
      <c r="G271" t="s">
        <v>521</v>
      </c>
      <c r="H271" t="s">
        <v>45</v>
      </c>
      <c r="I271" t="s">
        <v>15</v>
      </c>
      <c r="J271" s="5">
        <f>WEEKDAY(Table1_2[[#This Row],[Transaction date]])</f>
        <v>5</v>
      </c>
      <c r="K271"/>
    </row>
    <row r="272" spans="1:11" x14ac:dyDescent="0.45">
      <c r="A272" s="3">
        <v>39825</v>
      </c>
      <c r="B272" s="2">
        <v>0.43958333333333333</v>
      </c>
      <c r="C272" t="s">
        <v>1737</v>
      </c>
      <c r="D272" t="s">
        <v>230</v>
      </c>
      <c r="E272">
        <v>1200</v>
      </c>
      <c r="F272" t="s">
        <v>63</v>
      </c>
      <c r="G272" t="s">
        <v>522</v>
      </c>
      <c r="H272" t="s">
        <v>198</v>
      </c>
      <c r="I272" t="s">
        <v>15</v>
      </c>
      <c r="J272" s="5">
        <f>WEEKDAY(Table1_2[[#This Row],[Transaction date]])</f>
        <v>2</v>
      </c>
      <c r="K272"/>
    </row>
    <row r="273" spans="1:11" x14ac:dyDescent="0.45">
      <c r="A273" s="3">
        <v>39838</v>
      </c>
      <c r="B273" s="2">
        <v>0.17430555555555555</v>
      </c>
      <c r="C273" t="s">
        <v>1737</v>
      </c>
      <c r="D273" t="s">
        <v>230</v>
      </c>
      <c r="E273">
        <v>7500</v>
      </c>
      <c r="F273" t="s">
        <v>11</v>
      </c>
      <c r="G273" t="s">
        <v>219</v>
      </c>
      <c r="H273" t="s">
        <v>523</v>
      </c>
      <c r="I273" t="s">
        <v>15</v>
      </c>
      <c r="J273" s="5">
        <f>WEEKDAY(Table1_2[[#This Row],[Transaction date]])</f>
        <v>1</v>
      </c>
      <c r="K273"/>
    </row>
    <row r="274" spans="1:11" x14ac:dyDescent="0.45">
      <c r="A274" s="3">
        <v>39838</v>
      </c>
      <c r="B274" s="2">
        <v>0.36388888888888887</v>
      </c>
      <c r="C274" t="s">
        <v>1737</v>
      </c>
      <c r="D274" t="s">
        <v>10</v>
      </c>
      <c r="E274">
        <v>1200</v>
      </c>
      <c r="F274" t="s">
        <v>11</v>
      </c>
      <c r="G274" t="s">
        <v>524</v>
      </c>
      <c r="H274" t="s">
        <v>523</v>
      </c>
      <c r="I274" t="s">
        <v>15</v>
      </c>
      <c r="J274" s="5">
        <f>WEEKDAY(Table1_2[[#This Row],[Transaction date]])</f>
        <v>1</v>
      </c>
      <c r="K274"/>
    </row>
    <row r="275" spans="1:11" x14ac:dyDescent="0.45">
      <c r="A275" s="3">
        <v>39815</v>
      </c>
      <c r="B275" s="2">
        <v>0.16458333333333333</v>
      </c>
      <c r="C275" t="s">
        <v>1737</v>
      </c>
      <c r="D275" t="s">
        <v>10</v>
      </c>
      <c r="E275">
        <v>1200</v>
      </c>
      <c r="F275" t="s">
        <v>11</v>
      </c>
      <c r="G275" t="s">
        <v>525</v>
      </c>
      <c r="H275" t="s">
        <v>526</v>
      </c>
      <c r="I275" t="s">
        <v>15</v>
      </c>
      <c r="J275" s="5">
        <f>WEEKDAY(Table1_2[[#This Row],[Transaction date]])</f>
        <v>6</v>
      </c>
      <c r="K275"/>
    </row>
    <row r="276" spans="1:11" x14ac:dyDescent="0.45">
      <c r="A276" s="3">
        <v>39840</v>
      </c>
      <c r="B276" s="2">
        <v>0.47291666666666665</v>
      </c>
      <c r="C276" t="s">
        <v>1737</v>
      </c>
      <c r="D276" t="s">
        <v>10</v>
      </c>
      <c r="E276">
        <v>1200</v>
      </c>
      <c r="F276" t="s">
        <v>16</v>
      </c>
      <c r="G276" t="s">
        <v>527</v>
      </c>
      <c r="H276" t="s">
        <v>528</v>
      </c>
      <c r="I276" t="s">
        <v>15</v>
      </c>
      <c r="J276" s="5">
        <f>WEEKDAY(Table1_2[[#This Row],[Transaction date]])</f>
        <v>3</v>
      </c>
      <c r="K276"/>
    </row>
    <row r="277" spans="1:11" x14ac:dyDescent="0.45">
      <c r="A277" s="3">
        <v>39835</v>
      </c>
      <c r="B277" s="2">
        <v>0.375</v>
      </c>
      <c r="C277" t="s">
        <v>1737</v>
      </c>
      <c r="D277" t="s">
        <v>10</v>
      </c>
      <c r="E277">
        <v>1200</v>
      </c>
      <c r="F277" t="s">
        <v>11</v>
      </c>
      <c r="G277" t="s">
        <v>529</v>
      </c>
      <c r="H277" t="s">
        <v>530</v>
      </c>
      <c r="I277" t="s">
        <v>15</v>
      </c>
      <c r="J277" s="5">
        <f>WEEKDAY(Table1_2[[#This Row],[Transaction date]])</f>
        <v>5</v>
      </c>
      <c r="K277"/>
    </row>
    <row r="278" spans="1:11" x14ac:dyDescent="0.45">
      <c r="A278" s="3">
        <v>39838</v>
      </c>
      <c r="B278" s="2">
        <v>0.54097222222222219</v>
      </c>
      <c r="C278" t="s">
        <v>1738</v>
      </c>
      <c r="D278" t="s">
        <v>10</v>
      </c>
      <c r="E278">
        <v>1200</v>
      </c>
      <c r="F278" t="s">
        <v>11</v>
      </c>
      <c r="G278" t="s">
        <v>531</v>
      </c>
      <c r="H278" t="s">
        <v>532</v>
      </c>
      <c r="I278" t="s">
        <v>15</v>
      </c>
      <c r="J278" s="5">
        <f>WEEKDAY(Table1_2[[#This Row],[Transaction date]])</f>
        <v>1</v>
      </c>
      <c r="K278"/>
    </row>
    <row r="279" spans="1:11" x14ac:dyDescent="0.45">
      <c r="A279" s="3">
        <v>39823</v>
      </c>
      <c r="B279" s="2">
        <v>0.31111111111111112</v>
      </c>
      <c r="C279" t="s">
        <v>1737</v>
      </c>
      <c r="D279" t="s">
        <v>20</v>
      </c>
      <c r="E279">
        <v>3600</v>
      </c>
      <c r="F279" t="s">
        <v>11</v>
      </c>
      <c r="G279" t="s">
        <v>533</v>
      </c>
      <c r="H279" t="s">
        <v>439</v>
      </c>
      <c r="I279" t="s">
        <v>15</v>
      </c>
      <c r="J279" s="5">
        <f>WEEKDAY(Table1_2[[#This Row],[Transaction date]])</f>
        <v>7</v>
      </c>
      <c r="K279"/>
    </row>
    <row r="280" spans="1:11" x14ac:dyDescent="0.45">
      <c r="A280" s="3">
        <v>39821</v>
      </c>
      <c r="B280" s="2">
        <v>0.50277777777777777</v>
      </c>
      <c r="C280" t="s">
        <v>1738</v>
      </c>
      <c r="D280" t="s">
        <v>10</v>
      </c>
      <c r="E280">
        <v>1200</v>
      </c>
      <c r="F280" t="s">
        <v>11</v>
      </c>
      <c r="G280" t="s">
        <v>67</v>
      </c>
      <c r="H280" t="s">
        <v>534</v>
      </c>
      <c r="I280" t="s">
        <v>15</v>
      </c>
      <c r="J280" s="5">
        <f>WEEKDAY(Table1_2[[#This Row],[Transaction date]])</f>
        <v>5</v>
      </c>
      <c r="K280"/>
    </row>
    <row r="281" spans="1:11" x14ac:dyDescent="0.45">
      <c r="A281" s="3">
        <v>39816</v>
      </c>
      <c r="B281" s="2">
        <v>9.3055555555555558E-2</v>
      </c>
      <c r="C281" t="s">
        <v>1737</v>
      </c>
      <c r="D281" t="s">
        <v>10</v>
      </c>
      <c r="E281">
        <v>1200</v>
      </c>
      <c r="F281" t="s">
        <v>11</v>
      </c>
      <c r="G281" t="s">
        <v>535</v>
      </c>
      <c r="H281" t="s">
        <v>536</v>
      </c>
      <c r="I281" t="s">
        <v>15</v>
      </c>
      <c r="J281" s="5">
        <f>WEEKDAY(Table1_2[[#This Row],[Transaction date]])</f>
        <v>7</v>
      </c>
      <c r="K281"/>
    </row>
    <row r="282" spans="1:11" x14ac:dyDescent="0.45">
      <c r="A282" s="3">
        <v>39835</v>
      </c>
      <c r="B282" s="2">
        <v>0.52569444444444446</v>
      </c>
      <c r="C282" t="s">
        <v>1738</v>
      </c>
      <c r="D282" t="s">
        <v>20</v>
      </c>
      <c r="E282">
        <v>3600</v>
      </c>
      <c r="F282" t="s">
        <v>63</v>
      </c>
      <c r="G282" t="s">
        <v>418</v>
      </c>
      <c r="H282" t="s">
        <v>537</v>
      </c>
      <c r="I282" t="s">
        <v>15</v>
      </c>
      <c r="J282" s="5">
        <f>WEEKDAY(Table1_2[[#This Row],[Transaction date]])</f>
        <v>5</v>
      </c>
      <c r="K282"/>
    </row>
    <row r="283" spans="1:11" x14ac:dyDescent="0.45">
      <c r="A283" s="3">
        <v>39819</v>
      </c>
      <c r="B283" s="2">
        <v>0.40625</v>
      </c>
      <c r="C283" t="s">
        <v>1737</v>
      </c>
      <c r="D283" t="s">
        <v>10</v>
      </c>
      <c r="E283">
        <v>1200</v>
      </c>
      <c r="F283" t="s">
        <v>11</v>
      </c>
      <c r="G283" t="s">
        <v>538</v>
      </c>
      <c r="H283" t="s">
        <v>539</v>
      </c>
      <c r="I283" t="s">
        <v>15</v>
      </c>
      <c r="J283" s="5">
        <f>WEEKDAY(Table1_2[[#This Row],[Transaction date]])</f>
        <v>3</v>
      </c>
      <c r="K283"/>
    </row>
    <row r="284" spans="1:11" x14ac:dyDescent="0.45">
      <c r="A284" s="3">
        <v>39825</v>
      </c>
      <c r="B284" s="2">
        <v>0.30763888888888891</v>
      </c>
      <c r="C284" t="s">
        <v>1737</v>
      </c>
      <c r="D284" t="s">
        <v>10</v>
      </c>
      <c r="E284">
        <v>1200</v>
      </c>
      <c r="F284" t="s">
        <v>11</v>
      </c>
      <c r="G284" t="s">
        <v>540</v>
      </c>
      <c r="H284" t="s">
        <v>541</v>
      </c>
      <c r="I284" t="s">
        <v>15</v>
      </c>
      <c r="J284" s="5">
        <f>WEEKDAY(Table1_2[[#This Row],[Transaction date]])</f>
        <v>2</v>
      </c>
      <c r="K284"/>
    </row>
    <row r="285" spans="1:11" x14ac:dyDescent="0.45">
      <c r="A285" s="3">
        <v>39843</v>
      </c>
      <c r="B285" s="2">
        <v>0.2</v>
      </c>
      <c r="C285" t="s">
        <v>1737</v>
      </c>
      <c r="D285" t="s">
        <v>10</v>
      </c>
      <c r="E285">
        <v>1200</v>
      </c>
      <c r="F285" t="s">
        <v>11</v>
      </c>
      <c r="G285" t="s">
        <v>542</v>
      </c>
      <c r="H285" t="s">
        <v>543</v>
      </c>
      <c r="I285" t="s">
        <v>15</v>
      </c>
      <c r="J285" s="5">
        <f>WEEKDAY(Table1_2[[#This Row],[Transaction date]])</f>
        <v>6</v>
      </c>
      <c r="K285"/>
    </row>
    <row r="286" spans="1:11" x14ac:dyDescent="0.45">
      <c r="A286" s="3">
        <v>39835</v>
      </c>
      <c r="B286" s="2">
        <v>0.18680555555555556</v>
      </c>
      <c r="C286" t="s">
        <v>1737</v>
      </c>
      <c r="D286" t="s">
        <v>10</v>
      </c>
      <c r="E286">
        <v>1200</v>
      </c>
      <c r="F286" t="s">
        <v>11</v>
      </c>
      <c r="G286" t="s">
        <v>544</v>
      </c>
      <c r="H286" t="s">
        <v>545</v>
      </c>
      <c r="I286" t="s">
        <v>15</v>
      </c>
      <c r="J286" s="5">
        <f>WEEKDAY(Table1_2[[#This Row],[Transaction date]])</f>
        <v>5</v>
      </c>
      <c r="K286"/>
    </row>
    <row r="287" spans="1:11" x14ac:dyDescent="0.45">
      <c r="A287" s="3">
        <v>39840</v>
      </c>
      <c r="B287" s="2">
        <v>0.26805555555555555</v>
      </c>
      <c r="C287" t="s">
        <v>1737</v>
      </c>
      <c r="D287" t="s">
        <v>10</v>
      </c>
      <c r="E287">
        <v>1200</v>
      </c>
      <c r="F287" t="s">
        <v>16</v>
      </c>
      <c r="G287" t="s">
        <v>452</v>
      </c>
      <c r="H287" t="s">
        <v>546</v>
      </c>
      <c r="I287" t="s">
        <v>15</v>
      </c>
      <c r="J287" s="5">
        <f>WEEKDAY(Table1_2[[#This Row],[Transaction date]])</f>
        <v>3</v>
      </c>
      <c r="K287"/>
    </row>
    <row r="288" spans="1:11" x14ac:dyDescent="0.45">
      <c r="A288" s="3">
        <v>39828</v>
      </c>
      <c r="B288" s="2">
        <v>0.42777777777777776</v>
      </c>
      <c r="C288" t="s">
        <v>1737</v>
      </c>
      <c r="D288" t="s">
        <v>230</v>
      </c>
      <c r="E288">
        <v>7500</v>
      </c>
      <c r="F288" t="s">
        <v>11</v>
      </c>
      <c r="G288" t="s">
        <v>547</v>
      </c>
      <c r="H288" t="s">
        <v>548</v>
      </c>
      <c r="I288" t="s">
        <v>15</v>
      </c>
      <c r="J288" s="5">
        <f>WEEKDAY(Table1_2[[#This Row],[Transaction date]])</f>
        <v>5</v>
      </c>
      <c r="K288"/>
    </row>
    <row r="289" spans="1:11" x14ac:dyDescent="0.45">
      <c r="A289" s="3">
        <v>39832</v>
      </c>
      <c r="B289" s="2">
        <v>0.28749999999999998</v>
      </c>
      <c r="C289" t="s">
        <v>1737</v>
      </c>
      <c r="D289" t="s">
        <v>10</v>
      </c>
      <c r="E289">
        <v>1200</v>
      </c>
      <c r="F289" t="s">
        <v>63</v>
      </c>
      <c r="G289" t="s">
        <v>549</v>
      </c>
      <c r="H289" t="s">
        <v>550</v>
      </c>
      <c r="I289" t="s">
        <v>15</v>
      </c>
      <c r="J289" s="5">
        <f>WEEKDAY(Table1_2[[#This Row],[Transaction date]])</f>
        <v>2</v>
      </c>
      <c r="K289"/>
    </row>
    <row r="290" spans="1:11" x14ac:dyDescent="0.45">
      <c r="A290" s="3">
        <v>39814</v>
      </c>
      <c r="B290" s="2">
        <v>0.2722222222222222</v>
      </c>
      <c r="C290" t="s">
        <v>1737</v>
      </c>
      <c r="D290" t="s">
        <v>10</v>
      </c>
      <c r="E290">
        <v>1200</v>
      </c>
      <c r="F290" t="s">
        <v>63</v>
      </c>
      <c r="G290" t="s">
        <v>234</v>
      </c>
      <c r="H290" t="s">
        <v>551</v>
      </c>
      <c r="I290" t="s">
        <v>15</v>
      </c>
      <c r="J290" s="5">
        <f>WEEKDAY(Table1_2[[#This Row],[Transaction date]])</f>
        <v>5</v>
      </c>
      <c r="K290"/>
    </row>
    <row r="291" spans="1:11" x14ac:dyDescent="0.45">
      <c r="A291" s="3">
        <v>39837</v>
      </c>
      <c r="B291" s="2">
        <v>0.25138888888888888</v>
      </c>
      <c r="C291" t="s">
        <v>1737</v>
      </c>
      <c r="D291" t="s">
        <v>10</v>
      </c>
      <c r="E291">
        <v>1200</v>
      </c>
      <c r="F291" t="s">
        <v>11</v>
      </c>
      <c r="G291" t="s">
        <v>297</v>
      </c>
      <c r="H291" t="s">
        <v>552</v>
      </c>
      <c r="I291" t="s">
        <v>15</v>
      </c>
      <c r="J291" s="5">
        <f>WEEKDAY(Table1_2[[#This Row],[Transaction date]])</f>
        <v>7</v>
      </c>
      <c r="K291"/>
    </row>
    <row r="292" spans="1:11" x14ac:dyDescent="0.45">
      <c r="A292" s="3">
        <v>39820</v>
      </c>
      <c r="B292" s="2">
        <v>0.35138888888888886</v>
      </c>
      <c r="C292" t="s">
        <v>1737</v>
      </c>
      <c r="D292" t="s">
        <v>10</v>
      </c>
      <c r="E292">
        <v>1200</v>
      </c>
      <c r="F292" t="s">
        <v>11</v>
      </c>
      <c r="G292" t="s">
        <v>553</v>
      </c>
      <c r="H292" t="s">
        <v>543</v>
      </c>
      <c r="I292" t="s">
        <v>15</v>
      </c>
      <c r="J292" s="5">
        <f>WEEKDAY(Table1_2[[#This Row],[Transaction date]])</f>
        <v>4</v>
      </c>
      <c r="K292"/>
    </row>
    <row r="293" spans="1:11" x14ac:dyDescent="0.45">
      <c r="A293" s="3">
        <v>39838</v>
      </c>
      <c r="B293" s="2">
        <v>0.17847222222222223</v>
      </c>
      <c r="C293" t="s">
        <v>1737</v>
      </c>
      <c r="D293" t="s">
        <v>10</v>
      </c>
      <c r="E293">
        <v>1200</v>
      </c>
      <c r="F293" t="s">
        <v>63</v>
      </c>
      <c r="G293" t="s">
        <v>554</v>
      </c>
      <c r="H293" t="s">
        <v>555</v>
      </c>
      <c r="I293" t="s">
        <v>15</v>
      </c>
      <c r="J293" s="5">
        <f>WEEKDAY(Table1_2[[#This Row],[Transaction date]])</f>
        <v>1</v>
      </c>
      <c r="K293"/>
    </row>
    <row r="294" spans="1:11" x14ac:dyDescent="0.45">
      <c r="A294" s="3">
        <v>39828</v>
      </c>
      <c r="B294" s="2">
        <v>0.44236111111111109</v>
      </c>
      <c r="C294" t="s">
        <v>1737</v>
      </c>
      <c r="D294" t="s">
        <v>10</v>
      </c>
      <c r="E294">
        <v>1200</v>
      </c>
      <c r="F294" t="s">
        <v>11</v>
      </c>
      <c r="G294" t="s">
        <v>556</v>
      </c>
      <c r="H294" t="s">
        <v>557</v>
      </c>
      <c r="I294" t="s">
        <v>15</v>
      </c>
      <c r="J294" s="5">
        <f>WEEKDAY(Table1_2[[#This Row],[Transaction date]])</f>
        <v>5</v>
      </c>
      <c r="K294"/>
    </row>
    <row r="295" spans="1:11" x14ac:dyDescent="0.45">
      <c r="A295" s="3">
        <v>39833</v>
      </c>
      <c r="B295" s="2">
        <v>0.14444444444444443</v>
      </c>
      <c r="C295" t="s">
        <v>1737</v>
      </c>
      <c r="D295" t="s">
        <v>10</v>
      </c>
      <c r="E295">
        <v>1200</v>
      </c>
      <c r="F295" t="s">
        <v>11</v>
      </c>
      <c r="G295" t="s">
        <v>559</v>
      </c>
      <c r="H295" t="s">
        <v>486</v>
      </c>
      <c r="I295" t="s">
        <v>15</v>
      </c>
      <c r="J295" s="5">
        <f>WEEKDAY(Table1_2[[#This Row],[Transaction date]])</f>
        <v>3</v>
      </c>
      <c r="K295"/>
    </row>
    <row r="296" spans="1:11" x14ac:dyDescent="0.45">
      <c r="A296" s="3">
        <v>39841</v>
      </c>
      <c r="B296" s="2">
        <v>0.25</v>
      </c>
      <c r="C296" t="s">
        <v>1737</v>
      </c>
      <c r="D296" t="s">
        <v>10</v>
      </c>
      <c r="E296">
        <v>13000</v>
      </c>
      <c r="F296" t="s">
        <v>11</v>
      </c>
      <c r="G296" t="s">
        <v>560</v>
      </c>
      <c r="H296" t="s">
        <v>486</v>
      </c>
      <c r="I296" t="s">
        <v>15</v>
      </c>
      <c r="J296" s="5">
        <f>WEEKDAY(Table1_2[[#This Row],[Transaction date]])</f>
        <v>4</v>
      </c>
      <c r="K296"/>
    </row>
    <row r="297" spans="1:11" x14ac:dyDescent="0.45">
      <c r="A297" s="3">
        <v>39842</v>
      </c>
      <c r="B297" s="2">
        <v>0.21249999999999999</v>
      </c>
      <c r="C297" t="s">
        <v>1737</v>
      </c>
      <c r="D297" t="s">
        <v>10</v>
      </c>
      <c r="E297">
        <v>1200</v>
      </c>
      <c r="F297" t="s">
        <v>63</v>
      </c>
      <c r="G297" t="s">
        <v>561</v>
      </c>
      <c r="H297" t="s">
        <v>562</v>
      </c>
      <c r="I297" t="s">
        <v>15</v>
      </c>
      <c r="J297" s="5">
        <f>WEEKDAY(Table1_2[[#This Row],[Transaction date]])</f>
        <v>5</v>
      </c>
      <c r="K297"/>
    </row>
    <row r="298" spans="1:11" x14ac:dyDescent="0.45">
      <c r="A298" s="3">
        <v>39819</v>
      </c>
      <c r="B298" s="2">
        <v>0.28680555555555554</v>
      </c>
      <c r="C298" t="s">
        <v>1737</v>
      </c>
      <c r="D298" t="s">
        <v>10</v>
      </c>
      <c r="E298">
        <v>1200</v>
      </c>
      <c r="F298" t="s">
        <v>11</v>
      </c>
      <c r="G298" t="s">
        <v>563</v>
      </c>
      <c r="H298" t="s">
        <v>564</v>
      </c>
      <c r="I298" t="s">
        <v>15</v>
      </c>
      <c r="J298" s="5">
        <f>WEEKDAY(Table1_2[[#This Row],[Transaction date]])</f>
        <v>3</v>
      </c>
      <c r="K298"/>
    </row>
    <row r="299" spans="1:11" x14ac:dyDescent="0.45">
      <c r="A299" s="3">
        <v>39834</v>
      </c>
      <c r="B299" s="2">
        <v>0.28819444444444442</v>
      </c>
      <c r="C299" t="s">
        <v>1737</v>
      </c>
      <c r="D299" t="s">
        <v>10</v>
      </c>
      <c r="E299">
        <v>1200</v>
      </c>
      <c r="F299" t="s">
        <v>11</v>
      </c>
      <c r="G299" t="s">
        <v>565</v>
      </c>
      <c r="H299" t="s">
        <v>566</v>
      </c>
      <c r="I299" t="s">
        <v>15</v>
      </c>
      <c r="J299" s="5">
        <f>WEEKDAY(Table1_2[[#This Row],[Transaction date]])</f>
        <v>4</v>
      </c>
      <c r="K299"/>
    </row>
    <row r="300" spans="1:11" x14ac:dyDescent="0.45">
      <c r="A300" s="3">
        <v>39838</v>
      </c>
      <c r="B300" s="2">
        <v>0.24861111111111112</v>
      </c>
      <c r="C300" t="s">
        <v>1737</v>
      </c>
      <c r="D300" t="s">
        <v>20</v>
      </c>
      <c r="E300">
        <v>3600</v>
      </c>
      <c r="F300" t="s">
        <v>11</v>
      </c>
      <c r="G300" t="s">
        <v>568</v>
      </c>
      <c r="H300" t="s">
        <v>569</v>
      </c>
      <c r="I300" t="s">
        <v>15</v>
      </c>
      <c r="J300" s="5">
        <f>WEEKDAY(Table1_2[[#This Row],[Transaction date]])</f>
        <v>1</v>
      </c>
      <c r="K300"/>
    </row>
    <row r="301" spans="1:11" x14ac:dyDescent="0.45">
      <c r="A301" s="3">
        <v>39822</v>
      </c>
      <c r="B301" s="2">
        <v>0.10902777777777778</v>
      </c>
      <c r="C301" t="s">
        <v>1737</v>
      </c>
      <c r="D301" t="s">
        <v>10</v>
      </c>
      <c r="E301">
        <v>1200</v>
      </c>
      <c r="F301" t="s">
        <v>11</v>
      </c>
      <c r="G301" t="s">
        <v>570</v>
      </c>
      <c r="H301" t="s">
        <v>571</v>
      </c>
      <c r="I301" t="s">
        <v>15</v>
      </c>
      <c r="J301" s="5">
        <f>WEEKDAY(Table1_2[[#This Row],[Transaction date]])</f>
        <v>6</v>
      </c>
      <c r="K301"/>
    </row>
    <row r="302" spans="1:11" x14ac:dyDescent="0.45">
      <c r="A302" s="3">
        <v>39839</v>
      </c>
      <c r="B302" s="2">
        <v>0.3659722222222222</v>
      </c>
      <c r="C302" t="s">
        <v>1737</v>
      </c>
      <c r="D302" t="s">
        <v>10</v>
      </c>
      <c r="E302">
        <v>1200</v>
      </c>
      <c r="F302" t="s">
        <v>16</v>
      </c>
      <c r="G302" t="s">
        <v>572</v>
      </c>
      <c r="H302" t="s">
        <v>573</v>
      </c>
      <c r="I302" t="s">
        <v>15</v>
      </c>
      <c r="J302" s="5">
        <f>WEEKDAY(Table1_2[[#This Row],[Transaction date]])</f>
        <v>2</v>
      </c>
      <c r="K302"/>
    </row>
    <row r="303" spans="1:11" x14ac:dyDescent="0.45">
      <c r="A303" s="3">
        <v>39831</v>
      </c>
      <c r="B303" s="2">
        <v>0.5395833333333333</v>
      </c>
      <c r="C303" t="s">
        <v>1738</v>
      </c>
      <c r="D303" t="s">
        <v>10</v>
      </c>
      <c r="E303">
        <v>1200</v>
      </c>
      <c r="F303" t="s">
        <v>16</v>
      </c>
      <c r="G303" t="s">
        <v>575</v>
      </c>
      <c r="H303" t="s">
        <v>576</v>
      </c>
      <c r="I303" t="s">
        <v>15</v>
      </c>
      <c r="J303" s="5">
        <f>WEEKDAY(Table1_2[[#This Row],[Transaction date]])</f>
        <v>1</v>
      </c>
      <c r="K303"/>
    </row>
    <row r="304" spans="1:11" x14ac:dyDescent="0.45">
      <c r="A304" s="3">
        <v>39837</v>
      </c>
      <c r="B304" s="2">
        <v>0.39305555555555555</v>
      </c>
      <c r="C304" t="s">
        <v>1737</v>
      </c>
      <c r="D304" t="s">
        <v>10</v>
      </c>
      <c r="E304">
        <v>1200</v>
      </c>
      <c r="F304" t="s">
        <v>11</v>
      </c>
      <c r="G304" t="s">
        <v>577</v>
      </c>
      <c r="H304" t="s">
        <v>578</v>
      </c>
      <c r="I304" t="s">
        <v>15</v>
      </c>
      <c r="J304" s="5">
        <f>WEEKDAY(Table1_2[[#This Row],[Transaction date]])</f>
        <v>7</v>
      </c>
      <c r="K304"/>
    </row>
    <row r="305" spans="1:11" x14ac:dyDescent="0.45">
      <c r="A305" s="3">
        <v>39839</v>
      </c>
      <c r="B305" s="2">
        <v>0.5180555555555556</v>
      </c>
      <c r="C305" t="s">
        <v>1738</v>
      </c>
      <c r="D305" t="s">
        <v>20</v>
      </c>
      <c r="E305">
        <v>3600</v>
      </c>
      <c r="F305" t="s">
        <v>16</v>
      </c>
      <c r="G305" t="s">
        <v>521</v>
      </c>
      <c r="H305" t="s">
        <v>579</v>
      </c>
      <c r="I305" t="s">
        <v>15</v>
      </c>
      <c r="J305" s="5">
        <f>WEEKDAY(Table1_2[[#This Row],[Transaction date]])</f>
        <v>2</v>
      </c>
      <c r="K305"/>
    </row>
    <row r="306" spans="1:11" x14ac:dyDescent="0.45">
      <c r="A306" s="3">
        <v>39818</v>
      </c>
      <c r="B306" s="2">
        <v>0.31736111111111109</v>
      </c>
      <c r="C306" t="s">
        <v>1737</v>
      </c>
      <c r="D306" t="s">
        <v>10</v>
      </c>
      <c r="E306">
        <v>1200</v>
      </c>
      <c r="F306" t="s">
        <v>11</v>
      </c>
      <c r="G306" t="s">
        <v>580</v>
      </c>
      <c r="H306" t="s">
        <v>581</v>
      </c>
      <c r="I306" t="s">
        <v>15</v>
      </c>
      <c r="J306" s="5">
        <f>WEEKDAY(Table1_2[[#This Row],[Transaction date]])</f>
        <v>2</v>
      </c>
      <c r="K306"/>
    </row>
    <row r="307" spans="1:11" x14ac:dyDescent="0.45">
      <c r="A307" s="3">
        <v>39831</v>
      </c>
      <c r="B307" s="2">
        <v>0.40416666666666667</v>
      </c>
      <c r="C307" t="s">
        <v>1737</v>
      </c>
      <c r="D307" t="s">
        <v>10</v>
      </c>
      <c r="E307">
        <v>1200</v>
      </c>
      <c r="F307" t="s">
        <v>11</v>
      </c>
      <c r="G307" t="s">
        <v>42</v>
      </c>
      <c r="H307" t="s">
        <v>582</v>
      </c>
      <c r="I307" t="s">
        <v>15</v>
      </c>
      <c r="J307" s="5">
        <f>WEEKDAY(Table1_2[[#This Row],[Transaction date]])</f>
        <v>1</v>
      </c>
      <c r="K307"/>
    </row>
    <row r="308" spans="1:11" x14ac:dyDescent="0.45">
      <c r="A308" s="3">
        <v>39822</v>
      </c>
      <c r="B308" s="2">
        <v>0.46805555555555556</v>
      </c>
      <c r="C308" t="s">
        <v>1737</v>
      </c>
      <c r="D308" t="s">
        <v>10</v>
      </c>
      <c r="E308">
        <v>1200</v>
      </c>
      <c r="F308" t="s">
        <v>11</v>
      </c>
      <c r="G308" t="s">
        <v>583</v>
      </c>
      <c r="H308" t="s">
        <v>584</v>
      </c>
      <c r="I308" t="s">
        <v>15</v>
      </c>
      <c r="J308" s="5">
        <f>WEEKDAY(Table1_2[[#This Row],[Transaction date]])</f>
        <v>6</v>
      </c>
      <c r="K308"/>
    </row>
    <row r="309" spans="1:11" x14ac:dyDescent="0.45">
      <c r="A309" s="3">
        <v>39820</v>
      </c>
      <c r="B309" s="2">
        <v>0.31111111111111112</v>
      </c>
      <c r="C309" t="s">
        <v>1737</v>
      </c>
      <c r="D309" t="s">
        <v>10</v>
      </c>
      <c r="E309">
        <v>1200</v>
      </c>
      <c r="F309" t="s">
        <v>63</v>
      </c>
      <c r="G309" t="s">
        <v>585</v>
      </c>
      <c r="H309" t="s">
        <v>274</v>
      </c>
      <c r="I309" t="s">
        <v>15</v>
      </c>
      <c r="J309" s="5">
        <f>WEEKDAY(Table1_2[[#This Row],[Transaction date]])</f>
        <v>4</v>
      </c>
      <c r="K309"/>
    </row>
    <row r="310" spans="1:11" x14ac:dyDescent="0.45">
      <c r="A310" s="3">
        <v>39843</v>
      </c>
      <c r="B310" s="2">
        <v>0.51249999999999996</v>
      </c>
      <c r="C310" t="s">
        <v>1738</v>
      </c>
      <c r="D310" t="s">
        <v>10</v>
      </c>
      <c r="E310">
        <v>1200</v>
      </c>
      <c r="F310" t="s">
        <v>16</v>
      </c>
      <c r="G310" t="s">
        <v>586</v>
      </c>
      <c r="H310" t="s">
        <v>587</v>
      </c>
      <c r="I310" t="s">
        <v>15</v>
      </c>
      <c r="J310" s="5">
        <f>WEEKDAY(Table1_2[[#This Row],[Transaction date]])</f>
        <v>6</v>
      </c>
      <c r="K310"/>
    </row>
    <row r="311" spans="1:11" x14ac:dyDescent="0.45">
      <c r="A311" s="3">
        <v>39819</v>
      </c>
      <c r="B311" s="2">
        <v>0.23749999999999999</v>
      </c>
      <c r="C311" t="s">
        <v>1737</v>
      </c>
      <c r="D311" t="s">
        <v>10</v>
      </c>
      <c r="E311">
        <v>1200</v>
      </c>
      <c r="F311" t="s">
        <v>63</v>
      </c>
      <c r="G311" t="s">
        <v>586</v>
      </c>
      <c r="H311" t="s">
        <v>241</v>
      </c>
      <c r="I311" t="s">
        <v>15</v>
      </c>
      <c r="J311" s="5">
        <f>WEEKDAY(Table1_2[[#This Row],[Transaction date]])</f>
        <v>3</v>
      </c>
      <c r="K311"/>
    </row>
    <row r="312" spans="1:11" x14ac:dyDescent="0.45">
      <c r="A312" s="3">
        <v>39832</v>
      </c>
      <c r="B312" s="2">
        <v>0.39861111111111114</v>
      </c>
      <c r="C312" t="s">
        <v>1737</v>
      </c>
      <c r="D312" t="s">
        <v>10</v>
      </c>
      <c r="E312">
        <v>1200</v>
      </c>
      <c r="F312" t="s">
        <v>63</v>
      </c>
      <c r="G312" t="s">
        <v>588</v>
      </c>
      <c r="H312" t="s">
        <v>536</v>
      </c>
      <c r="I312" t="s">
        <v>15</v>
      </c>
      <c r="J312" s="5">
        <f>WEEKDAY(Table1_2[[#This Row],[Transaction date]])</f>
        <v>2</v>
      </c>
      <c r="K312"/>
    </row>
    <row r="313" spans="1:11" x14ac:dyDescent="0.45">
      <c r="A313" s="3">
        <v>39822</v>
      </c>
      <c r="B313" s="2">
        <v>0.32569444444444445</v>
      </c>
      <c r="C313" t="s">
        <v>1737</v>
      </c>
      <c r="D313" t="s">
        <v>10</v>
      </c>
      <c r="E313">
        <v>1200</v>
      </c>
      <c r="F313" t="s">
        <v>11</v>
      </c>
      <c r="G313" t="s">
        <v>33</v>
      </c>
      <c r="H313" t="s">
        <v>589</v>
      </c>
      <c r="I313" t="s">
        <v>15</v>
      </c>
      <c r="J313" s="5">
        <f>WEEKDAY(Table1_2[[#This Row],[Transaction date]])</f>
        <v>6</v>
      </c>
      <c r="K313"/>
    </row>
    <row r="314" spans="1:11" x14ac:dyDescent="0.45">
      <c r="A314" s="3">
        <v>39827</v>
      </c>
      <c r="B314" s="2">
        <v>5.7638888888888892E-2</v>
      </c>
      <c r="C314" t="s">
        <v>1737</v>
      </c>
      <c r="D314" t="s">
        <v>10</v>
      </c>
      <c r="E314">
        <v>1200</v>
      </c>
      <c r="F314" t="s">
        <v>11</v>
      </c>
      <c r="G314" t="s">
        <v>590</v>
      </c>
      <c r="H314" t="s">
        <v>591</v>
      </c>
      <c r="I314" t="s">
        <v>15</v>
      </c>
      <c r="J314" s="5">
        <f>WEEKDAY(Table1_2[[#This Row],[Transaction date]])</f>
        <v>4</v>
      </c>
      <c r="K314"/>
    </row>
    <row r="315" spans="1:11" x14ac:dyDescent="0.45">
      <c r="A315" s="3">
        <v>39820</v>
      </c>
      <c r="B315" s="2">
        <v>0.33402777777777776</v>
      </c>
      <c r="C315" t="s">
        <v>1737</v>
      </c>
      <c r="D315" t="s">
        <v>10</v>
      </c>
      <c r="E315">
        <v>1200</v>
      </c>
      <c r="F315" t="s">
        <v>11</v>
      </c>
      <c r="G315" t="s">
        <v>592</v>
      </c>
      <c r="H315" t="s">
        <v>314</v>
      </c>
      <c r="I315" t="s">
        <v>15</v>
      </c>
      <c r="J315" s="5">
        <f>WEEKDAY(Table1_2[[#This Row],[Transaction date]])</f>
        <v>4</v>
      </c>
      <c r="K315"/>
    </row>
    <row r="316" spans="1:11" x14ac:dyDescent="0.45">
      <c r="A316" s="3">
        <v>39833</v>
      </c>
      <c r="B316" s="2">
        <v>0.52222222222222225</v>
      </c>
      <c r="C316" t="s">
        <v>1738</v>
      </c>
      <c r="D316" t="s">
        <v>10</v>
      </c>
      <c r="E316">
        <v>1200</v>
      </c>
      <c r="F316" t="s">
        <v>11</v>
      </c>
      <c r="G316" t="s">
        <v>593</v>
      </c>
      <c r="H316" t="s">
        <v>156</v>
      </c>
      <c r="I316" t="s">
        <v>15</v>
      </c>
      <c r="J316" s="5">
        <f>WEEKDAY(Table1_2[[#This Row],[Transaction date]])</f>
        <v>3</v>
      </c>
      <c r="K316"/>
    </row>
    <row r="317" spans="1:11" x14ac:dyDescent="0.45">
      <c r="A317" s="3">
        <v>39819</v>
      </c>
      <c r="B317" s="2">
        <v>0.1076388888888889</v>
      </c>
      <c r="C317" t="s">
        <v>1737</v>
      </c>
      <c r="D317" t="s">
        <v>10</v>
      </c>
      <c r="E317">
        <v>1200</v>
      </c>
      <c r="F317" t="s">
        <v>11</v>
      </c>
      <c r="G317" t="s">
        <v>594</v>
      </c>
      <c r="H317" t="s">
        <v>536</v>
      </c>
      <c r="I317" t="s">
        <v>15</v>
      </c>
      <c r="J317" s="5">
        <f>WEEKDAY(Table1_2[[#This Row],[Transaction date]])</f>
        <v>3</v>
      </c>
      <c r="K317"/>
    </row>
    <row r="318" spans="1:11" x14ac:dyDescent="0.45">
      <c r="A318" s="3">
        <v>39818</v>
      </c>
      <c r="B318" s="2">
        <v>0.41805555555555557</v>
      </c>
      <c r="C318" t="s">
        <v>1737</v>
      </c>
      <c r="D318" t="s">
        <v>20</v>
      </c>
      <c r="E318">
        <v>3600</v>
      </c>
      <c r="F318" t="s">
        <v>11</v>
      </c>
      <c r="G318" t="s">
        <v>595</v>
      </c>
      <c r="H318" t="s">
        <v>596</v>
      </c>
      <c r="I318" t="s">
        <v>15</v>
      </c>
      <c r="J318" s="5">
        <f>WEEKDAY(Table1_2[[#This Row],[Transaction date]])</f>
        <v>2</v>
      </c>
      <c r="K318"/>
    </row>
    <row r="319" spans="1:11" x14ac:dyDescent="0.45">
      <c r="A319" s="3">
        <v>39834</v>
      </c>
      <c r="B319" s="2">
        <v>0.36388888888888887</v>
      </c>
      <c r="C319" t="s">
        <v>1737</v>
      </c>
      <c r="D319" t="s">
        <v>10</v>
      </c>
      <c r="E319">
        <v>1200</v>
      </c>
      <c r="F319" t="s">
        <v>16</v>
      </c>
      <c r="G319" t="s">
        <v>597</v>
      </c>
      <c r="H319" t="s">
        <v>598</v>
      </c>
      <c r="I319" t="s">
        <v>15</v>
      </c>
      <c r="J319" s="5">
        <f>WEEKDAY(Table1_2[[#This Row],[Transaction date]])</f>
        <v>4</v>
      </c>
      <c r="K319"/>
    </row>
    <row r="320" spans="1:11" x14ac:dyDescent="0.45">
      <c r="A320" s="3">
        <v>39818</v>
      </c>
      <c r="B320" s="2">
        <v>0.38124999999999998</v>
      </c>
      <c r="C320" t="s">
        <v>1737</v>
      </c>
      <c r="D320" t="s">
        <v>10</v>
      </c>
      <c r="E320">
        <v>1200</v>
      </c>
      <c r="F320" t="s">
        <v>11</v>
      </c>
      <c r="G320" t="s">
        <v>487</v>
      </c>
      <c r="H320" t="s">
        <v>599</v>
      </c>
      <c r="I320" t="s">
        <v>15</v>
      </c>
      <c r="J320" s="5">
        <f>WEEKDAY(Table1_2[[#This Row],[Transaction date]])</f>
        <v>2</v>
      </c>
      <c r="K320"/>
    </row>
    <row r="321" spans="1:11" x14ac:dyDescent="0.45">
      <c r="A321" s="3">
        <v>39840</v>
      </c>
      <c r="B321" s="2">
        <v>0.47083333333333333</v>
      </c>
      <c r="C321" t="s">
        <v>1737</v>
      </c>
      <c r="D321" t="s">
        <v>20</v>
      </c>
      <c r="E321">
        <v>3600</v>
      </c>
      <c r="F321" t="s">
        <v>63</v>
      </c>
      <c r="G321" t="s">
        <v>600</v>
      </c>
      <c r="H321" t="s">
        <v>164</v>
      </c>
      <c r="I321" t="s">
        <v>15</v>
      </c>
      <c r="J321" s="5">
        <f>WEEKDAY(Table1_2[[#This Row],[Transaction date]])</f>
        <v>3</v>
      </c>
      <c r="K321"/>
    </row>
    <row r="322" spans="1:11" x14ac:dyDescent="0.45">
      <c r="A322" s="3">
        <v>39843</v>
      </c>
      <c r="B322" s="2">
        <v>0.28333333333333333</v>
      </c>
      <c r="C322" t="s">
        <v>1737</v>
      </c>
      <c r="D322" t="s">
        <v>10</v>
      </c>
      <c r="E322">
        <v>1200</v>
      </c>
      <c r="F322" t="s">
        <v>16</v>
      </c>
      <c r="G322" t="s">
        <v>81</v>
      </c>
      <c r="H322" t="s">
        <v>364</v>
      </c>
      <c r="I322" t="s">
        <v>15</v>
      </c>
      <c r="J322" s="5">
        <f>WEEKDAY(Table1_2[[#This Row],[Transaction date]])</f>
        <v>6</v>
      </c>
      <c r="K322"/>
    </row>
    <row r="323" spans="1:11" x14ac:dyDescent="0.45">
      <c r="A323" s="3">
        <v>39835</v>
      </c>
      <c r="B323" s="2">
        <v>0.25486111111111109</v>
      </c>
      <c r="C323" t="s">
        <v>1737</v>
      </c>
      <c r="D323" t="s">
        <v>10</v>
      </c>
      <c r="E323">
        <v>1200</v>
      </c>
      <c r="F323" t="s">
        <v>11</v>
      </c>
      <c r="G323" t="s">
        <v>601</v>
      </c>
      <c r="H323" t="s">
        <v>602</v>
      </c>
      <c r="I323" t="s">
        <v>15</v>
      </c>
      <c r="J323" s="5">
        <f>WEEKDAY(Table1_2[[#This Row],[Transaction date]])</f>
        <v>5</v>
      </c>
      <c r="K323"/>
    </row>
    <row r="324" spans="1:11" x14ac:dyDescent="0.45">
      <c r="A324" s="3">
        <v>39832</v>
      </c>
      <c r="B324" s="2">
        <v>0.46180555555555558</v>
      </c>
      <c r="C324" t="s">
        <v>1737</v>
      </c>
      <c r="D324" t="s">
        <v>10</v>
      </c>
      <c r="E324">
        <v>1200</v>
      </c>
      <c r="F324" t="s">
        <v>11</v>
      </c>
      <c r="G324" t="s">
        <v>604</v>
      </c>
      <c r="H324" t="s">
        <v>605</v>
      </c>
      <c r="I324" t="s">
        <v>15</v>
      </c>
      <c r="J324" s="5">
        <f>WEEKDAY(Table1_2[[#This Row],[Transaction date]])</f>
        <v>2</v>
      </c>
      <c r="K324"/>
    </row>
    <row r="325" spans="1:11" x14ac:dyDescent="0.45">
      <c r="A325" s="3">
        <v>39842</v>
      </c>
      <c r="B325" s="2">
        <v>7.013888888888889E-2</v>
      </c>
      <c r="C325" t="s">
        <v>1737</v>
      </c>
      <c r="D325" t="s">
        <v>10</v>
      </c>
      <c r="E325">
        <v>1200</v>
      </c>
      <c r="F325" t="s">
        <v>11</v>
      </c>
      <c r="G325" t="s">
        <v>606</v>
      </c>
      <c r="H325" t="s">
        <v>439</v>
      </c>
      <c r="I325" t="s">
        <v>15</v>
      </c>
      <c r="J325" s="5">
        <f>WEEKDAY(Table1_2[[#This Row],[Transaction date]])</f>
        <v>5</v>
      </c>
      <c r="K325"/>
    </row>
    <row r="326" spans="1:11" x14ac:dyDescent="0.45">
      <c r="A326" s="3">
        <v>39829</v>
      </c>
      <c r="B326" s="2">
        <v>0.3527777777777778</v>
      </c>
      <c r="C326" t="s">
        <v>1737</v>
      </c>
      <c r="D326" t="s">
        <v>10</v>
      </c>
      <c r="E326">
        <v>1200</v>
      </c>
      <c r="F326" t="s">
        <v>11</v>
      </c>
      <c r="G326" t="s">
        <v>607</v>
      </c>
      <c r="H326" t="s">
        <v>608</v>
      </c>
      <c r="I326" t="s">
        <v>15</v>
      </c>
      <c r="J326" s="5">
        <f>WEEKDAY(Table1_2[[#This Row],[Transaction date]])</f>
        <v>6</v>
      </c>
      <c r="K326"/>
    </row>
    <row r="327" spans="1:11" x14ac:dyDescent="0.45">
      <c r="A327" s="3">
        <v>39839</v>
      </c>
      <c r="B327" s="2">
        <v>0.29930555555555555</v>
      </c>
      <c r="C327" t="s">
        <v>1737</v>
      </c>
      <c r="D327" t="s">
        <v>10</v>
      </c>
      <c r="E327">
        <v>1200</v>
      </c>
      <c r="F327" t="s">
        <v>11</v>
      </c>
      <c r="G327" t="s">
        <v>609</v>
      </c>
      <c r="H327" t="s">
        <v>404</v>
      </c>
      <c r="I327" t="s">
        <v>15</v>
      </c>
      <c r="J327" s="5">
        <f>WEEKDAY(Table1_2[[#This Row],[Transaction date]])</f>
        <v>2</v>
      </c>
      <c r="K327"/>
    </row>
    <row r="328" spans="1:11" x14ac:dyDescent="0.45">
      <c r="A328" s="3">
        <v>39844</v>
      </c>
      <c r="B328" s="2">
        <v>0.23541666666666666</v>
      </c>
      <c r="C328" t="s">
        <v>1737</v>
      </c>
      <c r="D328" t="s">
        <v>20</v>
      </c>
      <c r="E328">
        <v>3600</v>
      </c>
      <c r="F328" t="s">
        <v>16</v>
      </c>
      <c r="G328" t="s">
        <v>610</v>
      </c>
      <c r="H328" t="s">
        <v>68</v>
      </c>
      <c r="I328" t="s">
        <v>15</v>
      </c>
      <c r="J328" s="5">
        <f>WEEKDAY(Table1_2[[#This Row],[Transaction date]])</f>
        <v>7</v>
      </c>
      <c r="K328"/>
    </row>
    <row r="329" spans="1:11" x14ac:dyDescent="0.45">
      <c r="A329" s="3">
        <v>39839</v>
      </c>
      <c r="B329" s="2">
        <v>0.36458333333333331</v>
      </c>
      <c r="C329" t="s">
        <v>1737</v>
      </c>
      <c r="D329" t="s">
        <v>10</v>
      </c>
      <c r="E329">
        <v>1200</v>
      </c>
      <c r="F329" t="s">
        <v>11</v>
      </c>
      <c r="G329" t="s">
        <v>611</v>
      </c>
      <c r="H329" t="s">
        <v>612</v>
      </c>
      <c r="I329" t="s">
        <v>15</v>
      </c>
      <c r="J329" s="5">
        <f>WEEKDAY(Table1_2[[#This Row],[Transaction date]])</f>
        <v>2</v>
      </c>
      <c r="K329"/>
    </row>
    <row r="330" spans="1:11" x14ac:dyDescent="0.45">
      <c r="A330" s="3">
        <v>39836</v>
      </c>
      <c r="B330" s="2">
        <v>0.44791666666666669</v>
      </c>
      <c r="C330" t="s">
        <v>1737</v>
      </c>
      <c r="D330" t="s">
        <v>10</v>
      </c>
      <c r="E330">
        <v>1200</v>
      </c>
      <c r="F330" t="s">
        <v>11</v>
      </c>
      <c r="G330" t="s">
        <v>540</v>
      </c>
      <c r="H330" t="s">
        <v>613</v>
      </c>
      <c r="I330" t="s">
        <v>15</v>
      </c>
      <c r="J330" s="5">
        <f>WEEKDAY(Table1_2[[#This Row],[Transaction date]])</f>
        <v>6</v>
      </c>
      <c r="K330"/>
    </row>
    <row r="331" spans="1:11" x14ac:dyDescent="0.45">
      <c r="A331" s="3">
        <v>39841</v>
      </c>
      <c r="B331" s="2">
        <v>0.36805555555555558</v>
      </c>
      <c r="C331" t="s">
        <v>1737</v>
      </c>
      <c r="D331" t="s">
        <v>10</v>
      </c>
      <c r="E331">
        <v>1200</v>
      </c>
      <c r="F331" t="s">
        <v>11</v>
      </c>
      <c r="G331" t="s">
        <v>614</v>
      </c>
      <c r="H331" t="s">
        <v>615</v>
      </c>
      <c r="I331" t="s">
        <v>15</v>
      </c>
      <c r="J331" s="5">
        <f>WEEKDAY(Table1_2[[#This Row],[Transaction date]])</f>
        <v>4</v>
      </c>
      <c r="K331"/>
    </row>
    <row r="332" spans="1:11" x14ac:dyDescent="0.45">
      <c r="A332" s="3">
        <v>39828</v>
      </c>
      <c r="B332" s="2">
        <v>0.2986111111111111</v>
      </c>
      <c r="C332" t="s">
        <v>1737</v>
      </c>
      <c r="D332" t="s">
        <v>20</v>
      </c>
      <c r="E332">
        <v>3600</v>
      </c>
      <c r="F332" t="s">
        <v>11</v>
      </c>
      <c r="G332" t="s">
        <v>189</v>
      </c>
      <c r="H332" t="s">
        <v>616</v>
      </c>
      <c r="I332" t="s">
        <v>15</v>
      </c>
      <c r="J332" s="5">
        <f>WEEKDAY(Table1_2[[#This Row],[Transaction date]])</f>
        <v>5</v>
      </c>
      <c r="K332"/>
    </row>
    <row r="333" spans="1:11" x14ac:dyDescent="0.45">
      <c r="A333" s="3">
        <v>39824</v>
      </c>
      <c r="B333" s="2">
        <v>0.25624999999999998</v>
      </c>
      <c r="C333" t="s">
        <v>1737</v>
      </c>
      <c r="D333" t="s">
        <v>10</v>
      </c>
      <c r="E333">
        <v>1200</v>
      </c>
      <c r="F333" t="s">
        <v>63</v>
      </c>
      <c r="G333" t="s">
        <v>617</v>
      </c>
      <c r="H333" t="s">
        <v>618</v>
      </c>
      <c r="I333" t="s">
        <v>15</v>
      </c>
      <c r="J333" s="5">
        <f>WEEKDAY(Table1_2[[#This Row],[Transaction date]])</f>
        <v>1</v>
      </c>
      <c r="K333"/>
    </row>
    <row r="334" spans="1:11" x14ac:dyDescent="0.45">
      <c r="A334" s="3">
        <v>39818</v>
      </c>
      <c r="B334" s="2">
        <v>0.28819444444444442</v>
      </c>
      <c r="C334" t="s">
        <v>1737</v>
      </c>
      <c r="D334" t="s">
        <v>10</v>
      </c>
      <c r="E334">
        <v>1200</v>
      </c>
      <c r="F334" t="s">
        <v>11</v>
      </c>
      <c r="G334" t="s">
        <v>81</v>
      </c>
      <c r="H334" t="s">
        <v>619</v>
      </c>
      <c r="I334" t="s">
        <v>15</v>
      </c>
      <c r="J334" s="5">
        <f>WEEKDAY(Table1_2[[#This Row],[Transaction date]])</f>
        <v>2</v>
      </c>
      <c r="K334"/>
    </row>
    <row r="335" spans="1:11" x14ac:dyDescent="0.45">
      <c r="A335" s="3">
        <v>39815</v>
      </c>
      <c r="B335" s="2">
        <v>0.28749999999999998</v>
      </c>
      <c r="C335" t="s">
        <v>1737</v>
      </c>
      <c r="D335" t="s">
        <v>10</v>
      </c>
      <c r="E335">
        <v>1200</v>
      </c>
      <c r="F335" t="s">
        <v>16</v>
      </c>
      <c r="G335" t="s">
        <v>64</v>
      </c>
      <c r="H335" t="s">
        <v>620</v>
      </c>
      <c r="I335" t="s">
        <v>15</v>
      </c>
      <c r="J335" s="5">
        <f>WEEKDAY(Table1_2[[#This Row],[Transaction date]])</f>
        <v>6</v>
      </c>
      <c r="K335"/>
    </row>
    <row r="336" spans="1:11" x14ac:dyDescent="0.45">
      <c r="A336" s="3">
        <v>39835</v>
      </c>
      <c r="B336" s="2">
        <v>0.28541666666666665</v>
      </c>
      <c r="C336" t="s">
        <v>1737</v>
      </c>
      <c r="D336" t="s">
        <v>10</v>
      </c>
      <c r="E336">
        <v>1200</v>
      </c>
      <c r="F336" t="s">
        <v>11</v>
      </c>
      <c r="G336" t="s">
        <v>187</v>
      </c>
      <c r="H336" t="s">
        <v>589</v>
      </c>
      <c r="I336" t="s">
        <v>15</v>
      </c>
      <c r="J336" s="5">
        <f>WEEKDAY(Table1_2[[#This Row],[Transaction date]])</f>
        <v>5</v>
      </c>
      <c r="K336"/>
    </row>
    <row r="337" spans="1:11" x14ac:dyDescent="0.45">
      <c r="A337" s="3">
        <v>39823</v>
      </c>
      <c r="B337" s="2">
        <v>0.12430555555555556</v>
      </c>
      <c r="C337" t="s">
        <v>1737</v>
      </c>
      <c r="D337" t="s">
        <v>10</v>
      </c>
      <c r="E337">
        <v>1200</v>
      </c>
      <c r="F337" t="s">
        <v>63</v>
      </c>
      <c r="G337" t="s">
        <v>621</v>
      </c>
      <c r="H337" t="s">
        <v>622</v>
      </c>
      <c r="I337" t="s">
        <v>15</v>
      </c>
      <c r="J337" s="5">
        <f>WEEKDAY(Table1_2[[#This Row],[Transaction date]])</f>
        <v>7</v>
      </c>
      <c r="K337"/>
    </row>
    <row r="338" spans="1:11" x14ac:dyDescent="0.45">
      <c r="A338" s="3">
        <v>39839</v>
      </c>
      <c r="B338" s="2">
        <v>0.15416666666666667</v>
      </c>
      <c r="C338" t="s">
        <v>1737</v>
      </c>
      <c r="D338" t="s">
        <v>10</v>
      </c>
      <c r="E338">
        <v>1200</v>
      </c>
      <c r="F338" t="s">
        <v>11</v>
      </c>
      <c r="G338" t="s">
        <v>249</v>
      </c>
      <c r="H338" t="s">
        <v>623</v>
      </c>
      <c r="I338" t="s">
        <v>15</v>
      </c>
      <c r="J338" s="5">
        <f>WEEKDAY(Table1_2[[#This Row],[Transaction date]])</f>
        <v>2</v>
      </c>
      <c r="K338"/>
    </row>
    <row r="339" spans="1:11" x14ac:dyDescent="0.45">
      <c r="A339" s="3">
        <v>39832</v>
      </c>
      <c r="B339" s="2">
        <v>0.32569444444444445</v>
      </c>
      <c r="C339" t="s">
        <v>1737</v>
      </c>
      <c r="D339" t="s">
        <v>10</v>
      </c>
      <c r="E339">
        <v>1200</v>
      </c>
      <c r="F339" t="s">
        <v>63</v>
      </c>
      <c r="G339" t="s">
        <v>624</v>
      </c>
      <c r="H339" t="s">
        <v>625</v>
      </c>
      <c r="I339" t="s">
        <v>15</v>
      </c>
      <c r="J339" s="5">
        <f>WEEKDAY(Table1_2[[#This Row],[Transaction date]])</f>
        <v>2</v>
      </c>
      <c r="K339"/>
    </row>
    <row r="340" spans="1:11" x14ac:dyDescent="0.45">
      <c r="A340" s="3">
        <v>39819</v>
      </c>
      <c r="B340" s="2">
        <v>0.44027777777777777</v>
      </c>
      <c r="C340" t="s">
        <v>1737</v>
      </c>
      <c r="D340" t="s">
        <v>10</v>
      </c>
      <c r="E340">
        <v>1200</v>
      </c>
      <c r="F340" t="s">
        <v>16</v>
      </c>
      <c r="G340" t="s">
        <v>433</v>
      </c>
      <c r="H340" t="s">
        <v>34</v>
      </c>
      <c r="I340" t="s">
        <v>15</v>
      </c>
      <c r="J340" s="5">
        <f>WEEKDAY(Table1_2[[#This Row],[Transaction date]])</f>
        <v>3</v>
      </c>
      <c r="K340"/>
    </row>
    <row r="341" spans="1:11" x14ac:dyDescent="0.45">
      <c r="A341" s="3">
        <v>39827</v>
      </c>
      <c r="B341" s="2">
        <v>0.16805555555555557</v>
      </c>
      <c r="C341" t="s">
        <v>1737</v>
      </c>
      <c r="D341" t="s">
        <v>10</v>
      </c>
      <c r="E341">
        <v>1200</v>
      </c>
      <c r="F341" t="s">
        <v>16</v>
      </c>
      <c r="G341" t="s">
        <v>626</v>
      </c>
      <c r="H341" t="s">
        <v>627</v>
      </c>
      <c r="I341" t="s">
        <v>15</v>
      </c>
      <c r="J341" s="5">
        <f>WEEKDAY(Table1_2[[#This Row],[Transaction date]])</f>
        <v>4</v>
      </c>
      <c r="K341"/>
    </row>
    <row r="342" spans="1:11" x14ac:dyDescent="0.45">
      <c r="A342" s="3">
        <v>39827</v>
      </c>
      <c r="B342" s="2">
        <v>0.25347222222222221</v>
      </c>
      <c r="C342" t="s">
        <v>1737</v>
      </c>
      <c r="D342" t="s">
        <v>10</v>
      </c>
      <c r="E342">
        <v>1200</v>
      </c>
      <c r="F342" t="s">
        <v>11</v>
      </c>
      <c r="G342" t="s">
        <v>628</v>
      </c>
      <c r="H342" t="s">
        <v>274</v>
      </c>
      <c r="I342" t="s">
        <v>15</v>
      </c>
      <c r="J342" s="5">
        <f>WEEKDAY(Table1_2[[#This Row],[Transaction date]])</f>
        <v>4</v>
      </c>
      <c r="K342"/>
    </row>
    <row r="343" spans="1:11" x14ac:dyDescent="0.45">
      <c r="A343" s="3">
        <v>39821</v>
      </c>
      <c r="B343" s="2">
        <v>0.36944444444444446</v>
      </c>
      <c r="C343" t="s">
        <v>1737</v>
      </c>
      <c r="D343" t="s">
        <v>10</v>
      </c>
      <c r="E343">
        <v>1200</v>
      </c>
      <c r="F343" t="s">
        <v>11</v>
      </c>
      <c r="G343" t="s">
        <v>629</v>
      </c>
      <c r="H343" t="s">
        <v>630</v>
      </c>
      <c r="I343" t="s">
        <v>15</v>
      </c>
      <c r="J343" s="5">
        <f>WEEKDAY(Table1_2[[#This Row],[Transaction date]])</f>
        <v>5</v>
      </c>
      <c r="K343"/>
    </row>
    <row r="344" spans="1:11" x14ac:dyDescent="0.45">
      <c r="A344" s="3">
        <v>39838</v>
      </c>
      <c r="B344" s="2">
        <v>0.44027777777777777</v>
      </c>
      <c r="C344" t="s">
        <v>1737</v>
      </c>
      <c r="D344" t="s">
        <v>10</v>
      </c>
      <c r="E344">
        <v>1200</v>
      </c>
      <c r="F344" t="s">
        <v>63</v>
      </c>
      <c r="G344" t="s">
        <v>631</v>
      </c>
      <c r="H344" t="s">
        <v>632</v>
      </c>
      <c r="I344" t="s">
        <v>15</v>
      </c>
      <c r="J344" s="5">
        <f>WEEKDAY(Table1_2[[#This Row],[Transaction date]])</f>
        <v>1</v>
      </c>
      <c r="K344"/>
    </row>
    <row r="345" spans="1:11" x14ac:dyDescent="0.45">
      <c r="A345" s="3">
        <v>39842</v>
      </c>
      <c r="B345" s="2">
        <v>0.42152777777777778</v>
      </c>
      <c r="C345" t="s">
        <v>1737</v>
      </c>
      <c r="D345" t="s">
        <v>10</v>
      </c>
      <c r="E345">
        <v>1200</v>
      </c>
      <c r="F345" t="s">
        <v>11</v>
      </c>
      <c r="G345" t="s">
        <v>633</v>
      </c>
      <c r="H345" t="s">
        <v>634</v>
      </c>
      <c r="I345" t="s">
        <v>15</v>
      </c>
      <c r="J345" s="5">
        <f>WEEKDAY(Table1_2[[#This Row],[Transaction date]])</f>
        <v>5</v>
      </c>
      <c r="K345"/>
    </row>
    <row r="346" spans="1:11" x14ac:dyDescent="0.45">
      <c r="A346" s="3">
        <v>39838</v>
      </c>
      <c r="B346" s="2">
        <v>0.52430555555555558</v>
      </c>
      <c r="C346" t="s">
        <v>1738</v>
      </c>
      <c r="D346" t="s">
        <v>20</v>
      </c>
      <c r="E346">
        <v>3600</v>
      </c>
      <c r="F346" t="s">
        <v>11</v>
      </c>
      <c r="G346" t="s">
        <v>635</v>
      </c>
      <c r="H346" t="s">
        <v>636</v>
      </c>
      <c r="I346" t="s">
        <v>15</v>
      </c>
      <c r="J346" s="5">
        <f>WEEKDAY(Table1_2[[#This Row],[Transaction date]])</f>
        <v>1</v>
      </c>
      <c r="K346"/>
    </row>
    <row r="347" spans="1:11" x14ac:dyDescent="0.45">
      <c r="A347" s="3">
        <v>39816</v>
      </c>
      <c r="B347" s="2">
        <v>0.20555555555555555</v>
      </c>
      <c r="C347" t="s">
        <v>1737</v>
      </c>
      <c r="D347" t="s">
        <v>10</v>
      </c>
      <c r="E347">
        <v>1200</v>
      </c>
      <c r="F347" t="s">
        <v>11</v>
      </c>
      <c r="G347" t="s">
        <v>307</v>
      </c>
      <c r="H347" t="s">
        <v>637</v>
      </c>
      <c r="I347" t="s">
        <v>15</v>
      </c>
      <c r="J347" s="5">
        <f>WEEKDAY(Table1_2[[#This Row],[Transaction date]])</f>
        <v>7</v>
      </c>
      <c r="K347"/>
    </row>
    <row r="348" spans="1:11" x14ac:dyDescent="0.45">
      <c r="A348" s="3">
        <v>39838</v>
      </c>
      <c r="B348" s="2">
        <v>0.27291666666666664</v>
      </c>
      <c r="C348" t="s">
        <v>1737</v>
      </c>
      <c r="D348" t="s">
        <v>10</v>
      </c>
      <c r="E348">
        <v>1200</v>
      </c>
      <c r="F348" t="s">
        <v>11</v>
      </c>
      <c r="G348" t="s">
        <v>638</v>
      </c>
      <c r="H348" t="s">
        <v>639</v>
      </c>
      <c r="I348" t="s">
        <v>15</v>
      </c>
      <c r="J348" s="5">
        <f>WEEKDAY(Table1_2[[#This Row],[Transaction date]])</f>
        <v>1</v>
      </c>
      <c r="K348"/>
    </row>
    <row r="349" spans="1:11" x14ac:dyDescent="0.45">
      <c r="A349" s="3">
        <v>39828</v>
      </c>
      <c r="B349" s="2">
        <v>0.48819444444444443</v>
      </c>
      <c r="C349" t="s">
        <v>1737</v>
      </c>
      <c r="D349" t="s">
        <v>10</v>
      </c>
      <c r="E349">
        <v>1200</v>
      </c>
      <c r="F349" t="s">
        <v>11</v>
      </c>
      <c r="G349" t="s">
        <v>640</v>
      </c>
      <c r="H349" t="s">
        <v>641</v>
      </c>
      <c r="I349" t="s">
        <v>15</v>
      </c>
      <c r="J349" s="5">
        <f>WEEKDAY(Table1_2[[#This Row],[Transaction date]])</f>
        <v>5</v>
      </c>
      <c r="K349"/>
    </row>
    <row r="350" spans="1:11" x14ac:dyDescent="0.45">
      <c r="A350" s="3">
        <v>39836</v>
      </c>
      <c r="B350" s="2">
        <v>0.1875</v>
      </c>
      <c r="C350" t="s">
        <v>1737</v>
      </c>
      <c r="D350" t="s">
        <v>20</v>
      </c>
      <c r="E350">
        <v>3600</v>
      </c>
      <c r="F350" t="s">
        <v>63</v>
      </c>
      <c r="G350" t="s">
        <v>642</v>
      </c>
      <c r="H350" t="s">
        <v>643</v>
      </c>
      <c r="I350" t="s">
        <v>15</v>
      </c>
      <c r="J350" s="5">
        <f>WEEKDAY(Table1_2[[#This Row],[Transaction date]])</f>
        <v>6</v>
      </c>
      <c r="K350"/>
    </row>
    <row r="351" spans="1:11" x14ac:dyDescent="0.45">
      <c r="A351" s="3">
        <v>39818</v>
      </c>
      <c r="B351" s="2">
        <v>0.5395833333333333</v>
      </c>
      <c r="C351" t="s">
        <v>1738</v>
      </c>
      <c r="D351" t="s">
        <v>10</v>
      </c>
      <c r="E351">
        <v>1200</v>
      </c>
      <c r="F351" t="s">
        <v>11</v>
      </c>
      <c r="G351" t="s">
        <v>644</v>
      </c>
      <c r="H351" t="s">
        <v>645</v>
      </c>
      <c r="I351" t="s">
        <v>15</v>
      </c>
      <c r="J351" s="5">
        <f>WEEKDAY(Table1_2[[#This Row],[Transaction date]])</f>
        <v>2</v>
      </c>
      <c r="K351"/>
    </row>
    <row r="352" spans="1:11" x14ac:dyDescent="0.45">
      <c r="A352" s="3">
        <v>39842</v>
      </c>
      <c r="B352" s="2">
        <v>0.20277777777777778</v>
      </c>
      <c r="C352" t="s">
        <v>1737</v>
      </c>
      <c r="D352" t="s">
        <v>10</v>
      </c>
      <c r="E352">
        <v>1200</v>
      </c>
      <c r="F352" t="s">
        <v>11</v>
      </c>
      <c r="G352" t="s">
        <v>646</v>
      </c>
      <c r="H352" t="s">
        <v>647</v>
      </c>
      <c r="I352" t="s">
        <v>15</v>
      </c>
      <c r="J352" s="5">
        <f>WEEKDAY(Table1_2[[#This Row],[Transaction date]])</f>
        <v>5</v>
      </c>
      <c r="K352"/>
    </row>
    <row r="353" spans="1:11" x14ac:dyDescent="0.45">
      <c r="A353" s="3">
        <v>39823</v>
      </c>
      <c r="B353" s="2">
        <v>0.50277777777777777</v>
      </c>
      <c r="C353" t="s">
        <v>1738</v>
      </c>
      <c r="D353" t="s">
        <v>10</v>
      </c>
      <c r="E353">
        <v>1200</v>
      </c>
      <c r="F353" t="s">
        <v>16</v>
      </c>
      <c r="G353" t="s">
        <v>648</v>
      </c>
      <c r="H353" t="s">
        <v>384</v>
      </c>
      <c r="I353" t="s">
        <v>15</v>
      </c>
      <c r="J353" s="5">
        <f>WEEKDAY(Table1_2[[#This Row],[Transaction date]])</f>
        <v>7</v>
      </c>
      <c r="K353"/>
    </row>
    <row r="354" spans="1:11" x14ac:dyDescent="0.45">
      <c r="A354" s="3">
        <v>39838</v>
      </c>
      <c r="B354" s="2">
        <v>0.24166666666666667</v>
      </c>
      <c r="C354" t="s">
        <v>1737</v>
      </c>
      <c r="D354" t="s">
        <v>10</v>
      </c>
      <c r="E354">
        <v>1200</v>
      </c>
      <c r="F354" t="s">
        <v>11</v>
      </c>
      <c r="G354" t="s">
        <v>649</v>
      </c>
      <c r="H354" t="s">
        <v>650</v>
      </c>
      <c r="I354" t="s">
        <v>15</v>
      </c>
      <c r="J354" s="5">
        <f>WEEKDAY(Table1_2[[#This Row],[Transaction date]])</f>
        <v>1</v>
      </c>
      <c r="K354"/>
    </row>
    <row r="355" spans="1:11" x14ac:dyDescent="0.45">
      <c r="A355" s="3">
        <v>39831</v>
      </c>
      <c r="B355" s="2">
        <v>0.50347222222222221</v>
      </c>
      <c r="C355" t="s">
        <v>1738</v>
      </c>
      <c r="D355" t="s">
        <v>20</v>
      </c>
      <c r="E355">
        <v>3600</v>
      </c>
      <c r="F355" t="s">
        <v>11</v>
      </c>
      <c r="G355" t="s">
        <v>651</v>
      </c>
      <c r="H355" t="s">
        <v>494</v>
      </c>
      <c r="I355" t="s">
        <v>15</v>
      </c>
      <c r="J355" s="5">
        <f>WEEKDAY(Table1_2[[#This Row],[Transaction date]])</f>
        <v>1</v>
      </c>
      <c r="K355"/>
    </row>
    <row r="356" spans="1:11" x14ac:dyDescent="0.45">
      <c r="A356" s="3">
        <v>39833</v>
      </c>
      <c r="B356" s="2">
        <v>0.12152777777777778</v>
      </c>
      <c r="C356" t="s">
        <v>1737</v>
      </c>
      <c r="D356" t="s">
        <v>10</v>
      </c>
      <c r="E356">
        <v>1200</v>
      </c>
      <c r="F356" t="s">
        <v>16</v>
      </c>
      <c r="G356" t="s">
        <v>652</v>
      </c>
      <c r="H356" t="s">
        <v>653</v>
      </c>
      <c r="I356" t="s">
        <v>15</v>
      </c>
      <c r="J356" s="5">
        <f>WEEKDAY(Table1_2[[#This Row],[Transaction date]])</f>
        <v>3</v>
      </c>
      <c r="K356"/>
    </row>
    <row r="357" spans="1:11" x14ac:dyDescent="0.45">
      <c r="A357" s="3">
        <v>39815</v>
      </c>
      <c r="B357" s="2">
        <v>0.27847222222222223</v>
      </c>
      <c r="C357" t="s">
        <v>1737</v>
      </c>
      <c r="D357" t="s">
        <v>10</v>
      </c>
      <c r="E357">
        <v>1200</v>
      </c>
      <c r="F357" t="s">
        <v>11</v>
      </c>
      <c r="G357" t="s">
        <v>654</v>
      </c>
      <c r="H357" t="s">
        <v>655</v>
      </c>
      <c r="I357" t="s">
        <v>15</v>
      </c>
      <c r="J357" s="5">
        <f>WEEKDAY(Table1_2[[#This Row],[Transaction date]])</f>
        <v>6</v>
      </c>
      <c r="K357"/>
    </row>
    <row r="358" spans="1:11" x14ac:dyDescent="0.45">
      <c r="A358" s="3">
        <v>39834</v>
      </c>
      <c r="B358" s="2">
        <v>0.30486111111111114</v>
      </c>
      <c r="C358" t="s">
        <v>1737</v>
      </c>
      <c r="D358" t="s">
        <v>10</v>
      </c>
      <c r="E358">
        <v>1200</v>
      </c>
      <c r="F358" t="s">
        <v>11</v>
      </c>
      <c r="G358" t="s">
        <v>656</v>
      </c>
      <c r="H358" t="s">
        <v>657</v>
      </c>
      <c r="I358" t="s">
        <v>15</v>
      </c>
      <c r="J358" s="5">
        <f>WEEKDAY(Table1_2[[#This Row],[Transaction date]])</f>
        <v>4</v>
      </c>
      <c r="K358"/>
    </row>
    <row r="359" spans="1:11" x14ac:dyDescent="0.45">
      <c r="A359" s="3">
        <v>39824</v>
      </c>
      <c r="B359" s="2">
        <v>0.24444444444444444</v>
      </c>
      <c r="C359" t="s">
        <v>1737</v>
      </c>
      <c r="D359" t="s">
        <v>20</v>
      </c>
      <c r="E359">
        <v>3600</v>
      </c>
      <c r="F359" t="s">
        <v>11</v>
      </c>
      <c r="G359" t="s">
        <v>658</v>
      </c>
      <c r="H359" t="s">
        <v>659</v>
      </c>
      <c r="I359" t="s">
        <v>15</v>
      </c>
      <c r="J359" s="5">
        <f>WEEKDAY(Table1_2[[#This Row],[Transaction date]])</f>
        <v>1</v>
      </c>
      <c r="K359"/>
    </row>
    <row r="360" spans="1:11" x14ac:dyDescent="0.45">
      <c r="A360" s="3">
        <v>39829</v>
      </c>
      <c r="B360" s="2">
        <v>0.24722222222222223</v>
      </c>
      <c r="C360" t="s">
        <v>1737</v>
      </c>
      <c r="D360" t="s">
        <v>10</v>
      </c>
      <c r="E360">
        <v>1200</v>
      </c>
      <c r="F360" t="s">
        <v>16</v>
      </c>
      <c r="G360" t="s">
        <v>419</v>
      </c>
      <c r="H360" t="s">
        <v>661</v>
      </c>
      <c r="I360" t="s">
        <v>15</v>
      </c>
      <c r="J360" s="5">
        <f>WEEKDAY(Table1_2[[#This Row],[Transaction date]])</f>
        <v>6</v>
      </c>
      <c r="K360"/>
    </row>
    <row r="361" spans="1:11" x14ac:dyDescent="0.45">
      <c r="A361" s="3">
        <v>39822</v>
      </c>
      <c r="B361" s="2">
        <v>0.33333333333333331</v>
      </c>
      <c r="C361" t="s">
        <v>1737</v>
      </c>
      <c r="D361" t="s">
        <v>10</v>
      </c>
      <c r="E361">
        <v>1200</v>
      </c>
      <c r="F361" t="s">
        <v>11</v>
      </c>
      <c r="G361" t="s">
        <v>662</v>
      </c>
      <c r="H361" t="s">
        <v>663</v>
      </c>
      <c r="I361" t="s">
        <v>15</v>
      </c>
      <c r="J361" s="5">
        <f>WEEKDAY(Table1_2[[#This Row],[Transaction date]])</f>
        <v>6</v>
      </c>
      <c r="K361"/>
    </row>
    <row r="362" spans="1:11" x14ac:dyDescent="0.45">
      <c r="A362" s="3">
        <v>39838</v>
      </c>
      <c r="B362" s="2">
        <v>0.53819444444444442</v>
      </c>
      <c r="C362" t="s">
        <v>1738</v>
      </c>
      <c r="D362" t="s">
        <v>10</v>
      </c>
      <c r="E362">
        <v>1200</v>
      </c>
      <c r="F362" t="s">
        <v>63</v>
      </c>
      <c r="G362" t="s">
        <v>664</v>
      </c>
      <c r="H362" t="s">
        <v>665</v>
      </c>
      <c r="I362" t="s">
        <v>15</v>
      </c>
      <c r="J362" s="5">
        <f>WEEKDAY(Table1_2[[#This Row],[Transaction date]])</f>
        <v>1</v>
      </c>
      <c r="K362"/>
    </row>
    <row r="363" spans="1:11" x14ac:dyDescent="0.45">
      <c r="A363" s="3">
        <v>39837</v>
      </c>
      <c r="B363" s="2">
        <v>6.5972222222222224E-2</v>
      </c>
      <c r="C363" t="s">
        <v>1737</v>
      </c>
      <c r="D363" t="s">
        <v>10</v>
      </c>
      <c r="E363">
        <v>1200</v>
      </c>
      <c r="F363" t="s">
        <v>11</v>
      </c>
      <c r="G363" t="s">
        <v>414</v>
      </c>
      <c r="H363" t="s">
        <v>666</v>
      </c>
      <c r="I363" t="s">
        <v>15</v>
      </c>
      <c r="J363" s="5">
        <f>WEEKDAY(Table1_2[[#This Row],[Transaction date]])</f>
        <v>7</v>
      </c>
      <c r="K363"/>
    </row>
    <row r="364" spans="1:11" x14ac:dyDescent="0.45">
      <c r="A364" s="3">
        <v>39841</v>
      </c>
      <c r="B364" s="2">
        <v>6.25E-2</v>
      </c>
      <c r="C364" t="s">
        <v>1737</v>
      </c>
      <c r="D364" t="s">
        <v>10</v>
      </c>
      <c r="E364">
        <v>1200</v>
      </c>
      <c r="F364" t="s">
        <v>11</v>
      </c>
      <c r="G364" t="s">
        <v>667</v>
      </c>
      <c r="H364" t="s">
        <v>668</v>
      </c>
      <c r="I364" t="s">
        <v>15</v>
      </c>
      <c r="J364" s="5">
        <f>WEEKDAY(Table1_2[[#This Row],[Transaction date]])</f>
        <v>4</v>
      </c>
      <c r="K364"/>
    </row>
    <row r="365" spans="1:11" x14ac:dyDescent="0.45">
      <c r="A365" s="3">
        <v>39833</v>
      </c>
      <c r="B365" s="2">
        <v>0.29722222222222222</v>
      </c>
      <c r="C365" t="s">
        <v>1737</v>
      </c>
      <c r="D365" t="s">
        <v>10</v>
      </c>
      <c r="E365">
        <v>1200</v>
      </c>
      <c r="F365" t="s">
        <v>63</v>
      </c>
      <c r="G365" t="s">
        <v>669</v>
      </c>
      <c r="H365" t="s">
        <v>241</v>
      </c>
      <c r="I365" t="s">
        <v>15</v>
      </c>
      <c r="J365" s="5">
        <f>WEEKDAY(Table1_2[[#This Row],[Transaction date]])</f>
        <v>3</v>
      </c>
      <c r="K365"/>
    </row>
    <row r="366" spans="1:11" x14ac:dyDescent="0.45">
      <c r="A366" s="3">
        <v>39842</v>
      </c>
      <c r="B366" s="2">
        <v>0.21736111111111112</v>
      </c>
      <c r="C366" t="s">
        <v>1737</v>
      </c>
      <c r="D366" t="s">
        <v>10</v>
      </c>
      <c r="E366">
        <v>1200</v>
      </c>
      <c r="F366" t="s">
        <v>63</v>
      </c>
      <c r="G366" t="s">
        <v>670</v>
      </c>
      <c r="H366" t="s">
        <v>356</v>
      </c>
      <c r="I366" t="s">
        <v>15</v>
      </c>
      <c r="J366" s="5">
        <f>WEEKDAY(Table1_2[[#This Row],[Transaction date]])</f>
        <v>5</v>
      </c>
      <c r="K366"/>
    </row>
    <row r="367" spans="1:11" x14ac:dyDescent="0.45">
      <c r="A367" s="3">
        <v>39826</v>
      </c>
      <c r="B367" s="2">
        <v>0.38611111111111113</v>
      </c>
      <c r="C367" t="s">
        <v>1737</v>
      </c>
      <c r="D367" t="s">
        <v>10</v>
      </c>
      <c r="E367">
        <v>1200</v>
      </c>
      <c r="F367" t="s">
        <v>11</v>
      </c>
      <c r="G367" t="s">
        <v>671</v>
      </c>
      <c r="H367" t="s">
        <v>178</v>
      </c>
      <c r="I367" t="s">
        <v>15</v>
      </c>
      <c r="J367" s="5">
        <f>WEEKDAY(Table1_2[[#This Row],[Transaction date]])</f>
        <v>3</v>
      </c>
      <c r="K367"/>
    </row>
    <row r="368" spans="1:11" x14ac:dyDescent="0.45">
      <c r="A368" s="3">
        <v>39835</v>
      </c>
      <c r="B368" s="2">
        <v>0.45763888888888887</v>
      </c>
      <c r="C368" t="s">
        <v>1737</v>
      </c>
      <c r="D368" t="s">
        <v>10</v>
      </c>
      <c r="E368">
        <v>1200</v>
      </c>
      <c r="F368" t="s">
        <v>11</v>
      </c>
      <c r="G368" t="s">
        <v>672</v>
      </c>
      <c r="H368" t="s">
        <v>673</v>
      </c>
      <c r="I368" t="s">
        <v>15</v>
      </c>
      <c r="J368" s="5">
        <f>WEEKDAY(Table1_2[[#This Row],[Transaction date]])</f>
        <v>5</v>
      </c>
      <c r="K368"/>
    </row>
    <row r="369" spans="1:11" x14ac:dyDescent="0.45">
      <c r="A369" s="3">
        <v>39837</v>
      </c>
      <c r="B369" s="2">
        <v>0.36458333333333331</v>
      </c>
      <c r="C369" t="s">
        <v>1737</v>
      </c>
      <c r="D369" t="s">
        <v>10</v>
      </c>
      <c r="E369">
        <v>1200</v>
      </c>
      <c r="F369" t="s">
        <v>11</v>
      </c>
      <c r="G369" t="s">
        <v>674</v>
      </c>
      <c r="H369" t="s">
        <v>675</v>
      </c>
      <c r="I369" t="s">
        <v>15</v>
      </c>
      <c r="J369" s="5">
        <f>WEEKDAY(Table1_2[[#This Row],[Transaction date]])</f>
        <v>7</v>
      </c>
      <c r="K369"/>
    </row>
    <row r="370" spans="1:11" x14ac:dyDescent="0.45">
      <c r="A370" s="3">
        <v>39837</v>
      </c>
      <c r="B370" s="2">
        <v>0.22083333333333333</v>
      </c>
      <c r="C370" t="s">
        <v>1737</v>
      </c>
      <c r="D370" t="s">
        <v>20</v>
      </c>
      <c r="E370">
        <v>3600</v>
      </c>
      <c r="F370" t="s">
        <v>11</v>
      </c>
      <c r="G370" t="s">
        <v>676</v>
      </c>
      <c r="H370" t="s">
        <v>677</v>
      </c>
      <c r="I370" t="s">
        <v>15</v>
      </c>
      <c r="J370" s="5">
        <f>WEEKDAY(Table1_2[[#This Row],[Transaction date]])</f>
        <v>7</v>
      </c>
      <c r="K370"/>
    </row>
    <row r="371" spans="1:11" x14ac:dyDescent="0.45">
      <c r="A371" s="3">
        <v>39842</v>
      </c>
      <c r="B371" s="2">
        <v>0.34236111111111112</v>
      </c>
      <c r="C371" t="s">
        <v>1737</v>
      </c>
      <c r="D371" t="s">
        <v>10</v>
      </c>
      <c r="E371">
        <v>1200</v>
      </c>
      <c r="F371" t="s">
        <v>16</v>
      </c>
      <c r="G371" t="s">
        <v>419</v>
      </c>
      <c r="H371" t="s">
        <v>678</v>
      </c>
      <c r="I371" t="s">
        <v>15</v>
      </c>
      <c r="J371" s="5">
        <f>WEEKDAY(Table1_2[[#This Row],[Transaction date]])</f>
        <v>5</v>
      </c>
      <c r="K371"/>
    </row>
    <row r="372" spans="1:11" x14ac:dyDescent="0.45">
      <c r="A372" s="3">
        <v>39836</v>
      </c>
      <c r="B372" s="2">
        <v>0.15138888888888888</v>
      </c>
      <c r="C372" t="s">
        <v>1737</v>
      </c>
      <c r="D372" t="s">
        <v>10</v>
      </c>
      <c r="E372">
        <v>1200</v>
      </c>
      <c r="F372" t="s">
        <v>11</v>
      </c>
      <c r="G372" t="s">
        <v>679</v>
      </c>
      <c r="H372" t="s">
        <v>581</v>
      </c>
      <c r="I372" t="s">
        <v>15</v>
      </c>
      <c r="J372" s="5">
        <f>WEEKDAY(Table1_2[[#This Row],[Transaction date]])</f>
        <v>6</v>
      </c>
      <c r="K372"/>
    </row>
    <row r="373" spans="1:11" x14ac:dyDescent="0.45">
      <c r="A373" s="3">
        <v>39830</v>
      </c>
      <c r="B373" s="2">
        <v>0.35625000000000001</v>
      </c>
      <c r="C373" t="s">
        <v>1737</v>
      </c>
      <c r="D373" t="s">
        <v>10</v>
      </c>
      <c r="E373">
        <v>1200</v>
      </c>
      <c r="F373" t="s">
        <v>63</v>
      </c>
      <c r="G373" t="s">
        <v>680</v>
      </c>
      <c r="H373" t="s">
        <v>201</v>
      </c>
      <c r="I373" t="s">
        <v>15</v>
      </c>
      <c r="J373" s="5">
        <f>WEEKDAY(Table1_2[[#This Row],[Transaction date]])</f>
        <v>7</v>
      </c>
      <c r="K373"/>
    </row>
    <row r="374" spans="1:11" x14ac:dyDescent="0.45">
      <c r="A374" s="3">
        <v>39833</v>
      </c>
      <c r="B374" s="2">
        <v>0.34444444444444444</v>
      </c>
      <c r="C374" t="s">
        <v>1737</v>
      </c>
      <c r="D374" t="s">
        <v>10</v>
      </c>
      <c r="E374">
        <v>1200</v>
      </c>
      <c r="F374" t="s">
        <v>16</v>
      </c>
      <c r="G374" t="s">
        <v>681</v>
      </c>
      <c r="H374" t="s">
        <v>682</v>
      </c>
      <c r="I374" t="s">
        <v>15</v>
      </c>
      <c r="J374" s="5">
        <f>WEEKDAY(Table1_2[[#This Row],[Transaction date]])</f>
        <v>3</v>
      </c>
      <c r="K374"/>
    </row>
    <row r="375" spans="1:11" x14ac:dyDescent="0.45">
      <c r="A375" s="3">
        <v>39828</v>
      </c>
      <c r="B375" s="2">
        <v>0.25833333333333336</v>
      </c>
      <c r="C375" t="s">
        <v>1737</v>
      </c>
      <c r="D375" t="s">
        <v>10</v>
      </c>
      <c r="E375">
        <v>1200</v>
      </c>
      <c r="F375" t="s">
        <v>16</v>
      </c>
      <c r="G375" t="s">
        <v>683</v>
      </c>
      <c r="H375" t="s">
        <v>684</v>
      </c>
      <c r="I375" t="s">
        <v>15</v>
      </c>
      <c r="J375" s="5">
        <f>WEEKDAY(Table1_2[[#This Row],[Transaction date]])</f>
        <v>5</v>
      </c>
      <c r="K375"/>
    </row>
    <row r="376" spans="1:11" x14ac:dyDescent="0.45">
      <c r="A376" s="3">
        <v>39836</v>
      </c>
      <c r="B376" s="2">
        <v>7.9861111111111105E-2</v>
      </c>
      <c r="C376" t="s">
        <v>1737</v>
      </c>
      <c r="D376" t="s">
        <v>10</v>
      </c>
      <c r="E376">
        <v>1200</v>
      </c>
      <c r="F376" t="s">
        <v>16</v>
      </c>
      <c r="G376" t="s">
        <v>685</v>
      </c>
      <c r="H376" t="s">
        <v>95</v>
      </c>
      <c r="I376" t="s">
        <v>15</v>
      </c>
      <c r="J376" s="5">
        <f>WEEKDAY(Table1_2[[#This Row],[Transaction date]])</f>
        <v>6</v>
      </c>
      <c r="K376"/>
    </row>
    <row r="377" spans="1:11" x14ac:dyDescent="0.45">
      <c r="A377" s="3">
        <v>39825</v>
      </c>
      <c r="B377" s="2">
        <v>0.49166666666666664</v>
      </c>
      <c r="C377" t="s">
        <v>1737</v>
      </c>
      <c r="D377" t="s">
        <v>10</v>
      </c>
      <c r="E377">
        <v>1200</v>
      </c>
      <c r="F377" t="s">
        <v>16</v>
      </c>
      <c r="G377" t="s">
        <v>50</v>
      </c>
      <c r="H377" t="s">
        <v>686</v>
      </c>
      <c r="I377" t="s">
        <v>15</v>
      </c>
      <c r="J377" s="5">
        <f>WEEKDAY(Table1_2[[#This Row],[Transaction date]])</f>
        <v>2</v>
      </c>
      <c r="K377"/>
    </row>
    <row r="378" spans="1:11" x14ac:dyDescent="0.45">
      <c r="A378" s="3">
        <v>39842</v>
      </c>
      <c r="B378" s="2">
        <v>0.1388888888888889</v>
      </c>
      <c r="C378" t="s">
        <v>1737</v>
      </c>
      <c r="D378" t="s">
        <v>10</v>
      </c>
      <c r="E378">
        <v>1200</v>
      </c>
      <c r="F378" t="s">
        <v>16</v>
      </c>
      <c r="G378" t="s">
        <v>688</v>
      </c>
      <c r="H378" t="s">
        <v>689</v>
      </c>
      <c r="I378" t="s">
        <v>15</v>
      </c>
      <c r="J378" s="5">
        <f>WEEKDAY(Table1_2[[#This Row],[Transaction date]])</f>
        <v>5</v>
      </c>
      <c r="K378"/>
    </row>
    <row r="379" spans="1:11" x14ac:dyDescent="0.45">
      <c r="A379" s="3">
        <v>39832</v>
      </c>
      <c r="B379" s="2">
        <v>8.7499999999999994E-2</v>
      </c>
      <c r="C379" t="s">
        <v>1737</v>
      </c>
      <c r="D379" t="s">
        <v>10</v>
      </c>
      <c r="E379">
        <v>1200</v>
      </c>
      <c r="F379" t="s">
        <v>16</v>
      </c>
      <c r="G379" t="s">
        <v>690</v>
      </c>
      <c r="H379" t="s">
        <v>691</v>
      </c>
      <c r="I379" t="s">
        <v>15</v>
      </c>
      <c r="J379" s="5">
        <f>WEEKDAY(Table1_2[[#This Row],[Transaction date]])</f>
        <v>2</v>
      </c>
      <c r="K379"/>
    </row>
    <row r="380" spans="1:11" x14ac:dyDescent="0.45">
      <c r="A380" s="3">
        <v>39822</v>
      </c>
      <c r="B380" s="2">
        <v>0.12708333333333333</v>
      </c>
      <c r="C380" t="s">
        <v>1737</v>
      </c>
      <c r="D380" t="s">
        <v>10</v>
      </c>
      <c r="E380">
        <v>1200</v>
      </c>
      <c r="F380" t="s">
        <v>11</v>
      </c>
      <c r="G380" t="s">
        <v>692</v>
      </c>
      <c r="H380" t="s">
        <v>198</v>
      </c>
      <c r="I380" t="s">
        <v>15</v>
      </c>
      <c r="J380" s="5">
        <f>WEEKDAY(Table1_2[[#This Row],[Transaction date]])</f>
        <v>6</v>
      </c>
      <c r="K380"/>
    </row>
    <row r="381" spans="1:11" x14ac:dyDescent="0.45">
      <c r="A381" s="3">
        <v>39836</v>
      </c>
      <c r="B381" s="2">
        <v>0.29444444444444445</v>
      </c>
      <c r="C381" t="s">
        <v>1737</v>
      </c>
      <c r="D381" t="s">
        <v>10</v>
      </c>
      <c r="E381">
        <v>1200</v>
      </c>
      <c r="F381" t="s">
        <v>63</v>
      </c>
      <c r="G381" t="s">
        <v>693</v>
      </c>
      <c r="H381" t="s">
        <v>694</v>
      </c>
      <c r="I381" t="s">
        <v>15</v>
      </c>
      <c r="J381" s="5">
        <f>WEEKDAY(Table1_2[[#This Row],[Transaction date]])</f>
        <v>6</v>
      </c>
      <c r="K381"/>
    </row>
    <row r="382" spans="1:11" x14ac:dyDescent="0.45">
      <c r="A382" s="3">
        <v>39832</v>
      </c>
      <c r="B382" s="2">
        <v>0.17777777777777778</v>
      </c>
      <c r="C382" t="s">
        <v>1737</v>
      </c>
      <c r="D382" t="s">
        <v>10</v>
      </c>
      <c r="E382">
        <v>1200</v>
      </c>
      <c r="F382" t="s">
        <v>16</v>
      </c>
      <c r="G382" t="s">
        <v>695</v>
      </c>
      <c r="H382" t="s">
        <v>696</v>
      </c>
      <c r="I382" t="s">
        <v>15</v>
      </c>
      <c r="J382" s="5">
        <f>WEEKDAY(Table1_2[[#This Row],[Transaction date]])</f>
        <v>2</v>
      </c>
      <c r="K382"/>
    </row>
    <row r="383" spans="1:11" x14ac:dyDescent="0.45">
      <c r="A383" s="3">
        <v>39828</v>
      </c>
      <c r="B383" s="2">
        <v>0.25555555555555554</v>
      </c>
      <c r="C383" t="s">
        <v>1737</v>
      </c>
      <c r="D383" t="s">
        <v>20</v>
      </c>
      <c r="E383">
        <v>3600</v>
      </c>
      <c r="F383" t="s">
        <v>63</v>
      </c>
      <c r="G383" t="s">
        <v>416</v>
      </c>
      <c r="H383" t="s">
        <v>697</v>
      </c>
      <c r="I383" t="s">
        <v>15</v>
      </c>
      <c r="J383" s="5">
        <f>WEEKDAY(Table1_2[[#This Row],[Transaction date]])</f>
        <v>5</v>
      </c>
      <c r="K383"/>
    </row>
    <row r="384" spans="1:11" x14ac:dyDescent="0.45">
      <c r="A384" s="3">
        <v>39825</v>
      </c>
      <c r="B384" s="2">
        <v>0.22777777777777777</v>
      </c>
      <c r="C384" t="s">
        <v>1737</v>
      </c>
      <c r="D384" t="s">
        <v>10</v>
      </c>
      <c r="E384">
        <v>1200</v>
      </c>
      <c r="F384" t="s">
        <v>63</v>
      </c>
      <c r="G384" t="s">
        <v>698</v>
      </c>
      <c r="H384" t="s">
        <v>536</v>
      </c>
      <c r="I384" t="s">
        <v>15</v>
      </c>
      <c r="J384" s="5">
        <f>WEEKDAY(Table1_2[[#This Row],[Transaction date]])</f>
        <v>2</v>
      </c>
      <c r="K384"/>
    </row>
    <row r="385" spans="1:11" x14ac:dyDescent="0.45">
      <c r="A385" s="3">
        <v>39837</v>
      </c>
      <c r="B385" s="2">
        <v>0.52986111111111112</v>
      </c>
      <c r="C385" t="s">
        <v>1738</v>
      </c>
      <c r="D385" t="s">
        <v>10</v>
      </c>
      <c r="E385">
        <v>1200</v>
      </c>
      <c r="F385" t="s">
        <v>11</v>
      </c>
      <c r="G385" t="s">
        <v>699</v>
      </c>
      <c r="H385" t="s">
        <v>550</v>
      </c>
      <c r="I385" t="s">
        <v>15</v>
      </c>
      <c r="J385" s="5">
        <f>WEEKDAY(Table1_2[[#This Row],[Transaction date]])</f>
        <v>7</v>
      </c>
      <c r="K385"/>
    </row>
    <row r="386" spans="1:11" x14ac:dyDescent="0.45">
      <c r="A386" s="3">
        <v>39820</v>
      </c>
      <c r="B386" s="2">
        <v>0.45069444444444445</v>
      </c>
      <c r="C386" t="s">
        <v>1737</v>
      </c>
      <c r="D386" t="s">
        <v>20</v>
      </c>
      <c r="E386">
        <v>3600</v>
      </c>
      <c r="F386" t="s">
        <v>11</v>
      </c>
      <c r="G386" t="s">
        <v>700</v>
      </c>
      <c r="H386" t="s">
        <v>301</v>
      </c>
      <c r="I386" t="s">
        <v>15</v>
      </c>
      <c r="J386" s="5">
        <f>WEEKDAY(Table1_2[[#This Row],[Transaction date]])</f>
        <v>4</v>
      </c>
      <c r="K386"/>
    </row>
    <row r="387" spans="1:11" x14ac:dyDescent="0.45">
      <c r="A387" s="3">
        <v>39824</v>
      </c>
      <c r="B387" s="2">
        <v>0.21249999999999999</v>
      </c>
      <c r="C387" t="s">
        <v>1737</v>
      </c>
      <c r="D387" t="s">
        <v>10</v>
      </c>
      <c r="E387">
        <v>1200</v>
      </c>
      <c r="F387" t="s">
        <v>11</v>
      </c>
      <c r="G387" t="s">
        <v>701</v>
      </c>
      <c r="H387" t="s">
        <v>702</v>
      </c>
      <c r="I387" t="s">
        <v>15</v>
      </c>
      <c r="J387" s="5">
        <f>WEEKDAY(Table1_2[[#This Row],[Transaction date]])</f>
        <v>1</v>
      </c>
      <c r="K387"/>
    </row>
    <row r="388" spans="1:11" x14ac:dyDescent="0.45">
      <c r="A388" s="3">
        <v>39840</v>
      </c>
      <c r="B388" s="2">
        <v>0.2638888888888889</v>
      </c>
      <c r="C388" t="s">
        <v>1737</v>
      </c>
      <c r="D388" t="s">
        <v>10</v>
      </c>
      <c r="E388">
        <v>1200</v>
      </c>
      <c r="F388" t="s">
        <v>16</v>
      </c>
      <c r="G388" t="s">
        <v>703</v>
      </c>
      <c r="H388" t="s">
        <v>704</v>
      </c>
      <c r="I388" t="s">
        <v>15</v>
      </c>
      <c r="J388" s="5">
        <f>WEEKDAY(Table1_2[[#This Row],[Transaction date]])</f>
        <v>3</v>
      </c>
      <c r="K388"/>
    </row>
    <row r="389" spans="1:11" x14ac:dyDescent="0.45">
      <c r="A389" s="3">
        <v>39817</v>
      </c>
      <c r="B389" s="2">
        <v>0.18263888888888888</v>
      </c>
      <c r="C389" t="s">
        <v>1737</v>
      </c>
      <c r="D389" t="s">
        <v>10</v>
      </c>
      <c r="E389">
        <v>1200</v>
      </c>
      <c r="F389" t="s">
        <v>11</v>
      </c>
      <c r="G389" t="s">
        <v>705</v>
      </c>
      <c r="H389" t="s">
        <v>399</v>
      </c>
      <c r="I389" t="s">
        <v>15</v>
      </c>
      <c r="J389" s="5">
        <f>WEEKDAY(Table1_2[[#This Row],[Transaction date]])</f>
        <v>1</v>
      </c>
      <c r="K389"/>
    </row>
    <row r="390" spans="1:11" x14ac:dyDescent="0.45">
      <c r="A390" s="3">
        <v>39819</v>
      </c>
      <c r="B390" s="2">
        <v>0.5180555555555556</v>
      </c>
      <c r="C390" t="s">
        <v>1738</v>
      </c>
      <c r="D390" t="s">
        <v>10</v>
      </c>
      <c r="E390">
        <v>1200</v>
      </c>
      <c r="F390" t="s">
        <v>11</v>
      </c>
      <c r="G390" t="s">
        <v>706</v>
      </c>
      <c r="H390" t="s">
        <v>707</v>
      </c>
      <c r="I390" t="s">
        <v>15</v>
      </c>
      <c r="J390" s="5">
        <f>WEEKDAY(Table1_2[[#This Row],[Transaction date]])</f>
        <v>3</v>
      </c>
      <c r="K390"/>
    </row>
    <row r="391" spans="1:11" x14ac:dyDescent="0.45">
      <c r="A391" s="3">
        <v>39839</v>
      </c>
      <c r="B391" s="2">
        <v>0.27638888888888891</v>
      </c>
      <c r="C391" t="s">
        <v>1737</v>
      </c>
      <c r="D391" t="s">
        <v>10</v>
      </c>
      <c r="E391">
        <v>1200</v>
      </c>
      <c r="F391" t="s">
        <v>11</v>
      </c>
      <c r="G391" t="s">
        <v>708</v>
      </c>
      <c r="H391" t="s">
        <v>709</v>
      </c>
      <c r="I391" t="s">
        <v>15</v>
      </c>
      <c r="J391" s="5">
        <f>WEEKDAY(Table1_2[[#This Row],[Transaction date]])</f>
        <v>2</v>
      </c>
      <c r="K391"/>
    </row>
    <row r="392" spans="1:11" x14ac:dyDescent="0.45">
      <c r="A392" s="3">
        <v>39831</v>
      </c>
      <c r="B392" s="2">
        <v>5.9027777777777776E-2</v>
      </c>
      <c r="C392" t="s">
        <v>1737</v>
      </c>
      <c r="D392" t="s">
        <v>10</v>
      </c>
      <c r="E392">
        <v>1200</v>
      </c>
      <c r="F392" t="s">
        <v>11</v>
      </c>
      <c r="G392" t="s">
        <v>133</v>
      </c>
      <c r="H392" t="s">
        <v>710</v>
      </c>
      <c r="I392" t="s">
        <v>15</v>
      </c>
      <c r="J392" s="5">
        <f>WEEKDAY(Table1_2[[#This Row],[Transaction date]])</f>
        <v>1</v>
      </c>
      <c r="K392"/>
    </row>
    <row r="393" spans="1:11" x14ac:dyDescent="0.45">
      <c r="A393" s="3">
        <v>39831</v>
      </c>
      <c r="B393" s="2">
        <v>0.28958333333333336</v>
      </c>
      <c r="C393" t="s">
        <v>1737</v>
      </c>
      <c r="D393" t="s">
        <v>10</v>
      </c>
      <c r="E393">
        <v>1200</v>
      </c>
      <c r="F393" t="s">
        <v>16</v>
      </c>
      <c r="G393" t="s">
        <v>711</v>
      </c>
      <c r="H393" t="s">
        <v>65</v>
      </c>
      <c r="I393" t="s">
        <v>15</v>
      </c>
      <c r="J393" s="5">
        <f>WEEKDAY(Table1_2[[#This Row],[Transaction date]])</f>
        <v>1</v>
      </c>
      <c r="K393"/>
    </row>
    <row r="394" spans="1:11" x14ac:dyDescent="0.45">
      <c r="A394" s="3">
        <v>39829</v>
      </c>
      <c r="B394" s="2">
        <v>0.30069444444444443</v>
      </c>
      <c r="C394" t="s">
        <v>1737</v>
      </c>
      <c r="D394" t="s">
        <v>10</v>
      </c>
      <c r="E394">
        <v>1200</v>
      </c>
      <c r="F394" t="s">
        <v>16</v>
      </c>
      <c r="G394" t="s">
        <v>712</v>
      </c>
      <c r="H394" t="s">
        <v>201</v>
      </c>
      <c r="I394" t="s">
        <v>15</v>
      </c>
      <c r="J394" s="5">
        <f>WEEKDAY(Table1_2[[#This Row],[Transaction date]])</f>
        <v>6</v>
      </c>
      <c r="K394"/>
    </row>
    <row r="395" spans="1:11" x14ac:dyDescent="0.45">
      <c r="A395" s="3">
        <v>39844</v>
      </c>
      <c r="B395" s="2">
        <v>0.1423611111111111</v>
      </c>
      <c r="C395" t="s">
        <v>1737</v>
      </c>
      <c r="D395" t="s">
        <v>10</v>
      </c>
      <c r="E395">
        <v>1200</v>
      </c>
      <c r="F395" t="s">
        <v>11</v>
      </c>
      <c r="G395" t="s">
        <v>50</v>
      </c>
      <c r="H395" t="s">
        <v>713</v>
      </c>
      <c r="I395" t="s">
        <v>15</v>
      </c>
      <c r="J395" s="5">
        <f>WEEKDAY(Table1_2[[#This Row],[Transaction date]])</f>
        <v>7</v>
      </c>
      <c r="K395"/>
    </row>
    <row r="396" spans="1:11" x14ac:dyDescent="0.45">
      <c r="A396" s="3">
        <v>39822</v>
      </c>
      <c r="B396" s="2">
        <v>0.37291666666666667</v>
      </c>
      <c r="C396" t="s">
        <v>1737</v>
      </c>
      <c r="D396" t="s">
        <v>10</v>
      </c>
      <c r="E396">
        <v>1200</v>
      </c>
      <c r="F396" t="s">
        <v>16</v>
      </c>
      <c r="G396" t="s">
        <v>266</v>
      </c>
      <c r="H396" t="s">
        <v>714</v>
      </c>
      <c r="I396" t="s">
        <v>15</v>
      </c>
      <c r="J396" s="5">
        <f>WEEKDAY(Table1_2[[#This Row],[Transaction date]])</f>
        <v>6</v>
      </c>
      <c r="K396"/>
    </row>
    <row r="397" spans="1:11" x14ac:dyDescent="0.45">
      <c r="A397" s="3">
        <v>39823</v>
      </c>
      <c r="B397" s="2">
        <v>0.13750000000000001</v>
      </c>
      <c r="C397" t="s">
        <v>1737</v>
      </c>
      <c r="D397" t="s">
        <v>20</v>
      </c>
      <c r="E397">
        <v>3600</v>
      </c>
      <c r="F397" t="s">
        <v>16</v>
      </c>
      <c r="G397" t="s">
        <v>708</v>
      </c>
      <c r="H397" t="s">
        <v>715</v>
      </c>
      <c r="I397" t="s">
        <v>15</v>
      </c>
      <c r="J397" s="5">
        <f>WEEKDAY(Table1_2[[#This Row],[Transaction date]])</f>
        <v>7</v>
      </c>
      <c r="K397"/>
    </row>
    <row r="398" spans="1:11" x14ac:dyDescent="0.45">
      <c r="A398" s="3">
        <v>39829</v>
      </c>
      <c r="B398" s="2">
        <v>0.32430555555555557</v>
      </c>
      <c r="C398" t="s">
        <v>1737</v>
      </c>
      <c r="D398" t="s">
        <v>10</v>
      </c>
      <c r="E398">
        <v>1200</v>
      </c>
      <c r="F398" t="s">
        <v>63</v>
      </c>
      <c r="G398" t="s">
        <v>716</v>
      </c>
      <c r="H398" t="s">
        <v>56</v>
      </c>
      <c r="I398" t="s">
        <v>15</v>
      </c>
      <c r="J398" s="5">
        <f>WEEKDAY(Table1_2[[#This Row],[Transaction date]])</f>
        <v>6</v>
      </c>
      <c r="K398"/>
    </row>
    <row r="399" spans="1:11" x14ac:dyDescent="0.45">
      <c r="A399" s="3">
        <v>39830</v>
      </c>
      <c r="B399" s="2">
        <v>0.38333333333333336</v>
      </c>
      <c r="C399" t="s">
        <v>1737</v>
      </c>
      <c r="D399" t="s">
        <v>10</v>
      </c>
      <c r="E399">
        <v>1200</v>
      </c>
      <c r="F399" t="s">
        <v>63</v>
      </c>
      <c r="G399" t="s">
        <v>75</v>
      </c>
      <c r="H399" t="s">
        <v>695</v>
      </c>
      <c r="I399" t="s">
        <v>15</v>
      </c>
      <c r="J399" s="5">
        <f>WEEKDAY(Table1_2[[#This Row],[Transaction date]])</f>
        <v>7</v>
      </c>
      <c r="K399"/>
    </row>
    <row r="400" spans="1:11" x14ac:dyDescent="0.45">
      <c r="A400" s="3">
        <v>39840</v>
      </c>
      <c r="B400" s="2">
        <v>0.13125000000000001</v>
      </c>
      <c r="C400" t="s">
        <v>1737</v>
      </c>
      <c r="D400" t="s">
        <v>10</v>
      </c>
      <c r="E400">
        <v>1200</v>
      </c>
      <c r="F400" t="s">
        <v>11</v>
      </c>
      <c r="G400" t="s">
        <v>717</v>
      </c>
      <c r="H400" t="s">
        <v>718</v>
      </c>
      <c r="I400" t="s">
        <v>15</v>
      </c>
      <c r="J400" s="5">
        <f>WEEKDAY(Table1_2[[#This Row],[Transaction date]])</f>
        <v>3</v>
      </c>
      <c r="K400"/>
    </row>
    <row r="401" spans="1:11" x14ac:dyDescent="0.45">
      <c r="A401" s="3">
        <v>39838</v>
      </c>
      <c r="B401" s="2">
        <v>0.40902777777777777</v>
      </c>
      <c r="C401" t="s">
        <v>1737</v>
      </c>
      <c r="D401" t="s">
        <v>10</v>
      </c>
      <c r="E401">
        <v>1200</v>
      </c>
      <c r="F401" t="s">
        <v>16</v>
      </c>
      <c r="G401" t="s">
        <v>719</v>
      </c>
      <c r="H401" t="s">
        <v>136</v>
      </c>
      <c r="I401" t="s">
        <v>15</v>
      </c>
      <c r="J401" s="5">
        <f>WEEKDAY(Table1_2[[#This Row],[Transaction date]])</f>
        <v>1</v>
      </c>
      <c r="K401"/>
    </row>
    <row r="402" spans="1:11" x14ac:dyDescent="0.45">
      <c r="A402" s="3">
        <v>39830</v>
      </c>
      <c r="B402" s="2">
        <v>8.7499999999999994E-2</v>
      </c>
      <c r="C402" t="s">
        <v>1737</v>
      </c>
      <c r="D402" t="s">
        <v>10</v>
      </c>
      <c r="E402">
        <v>1200</v>
      </c>
      <c r="F402" t="s">
        <v>63</v>
      </c>
      <c r="G402" t="s">
        <v>720</v>
      </c>
      <c r="H402" t="s">
        <v>721</v>
      </c>
      <c r="I402" t="s">
        <v>15</v>
      </c>
      <c r="J402" s="5">
        <f>WEEKDAY(Table1_2[[#This Row],[Transaction date]])</f>
        <v>7</v>
      </c>
      <c r="K402"/>
    </row>
    <row r="403" spans="1:11" x14ac:dyDescent="0.45">
      <c r="A403" s="3">
        <v>39825</v>
      </c>
      <c r="B403" s="2">
        <v>0.5</v>
      </c>
      <c r="C403" t="s">
        <v>1738</v>
      </c>
      <c r="D403" t="s">
        <v>10</v>
      </c>
      <c r="E403">
        <v>1200</v>
      </c>
      <c r="F403" t="s">
        <v>16</v>
      </c>
      <c r="G403" t="s">
        <v>722</v>
      </c>
      <c r="H403" t="s">
        <v>723</v>
      </c>
      <c r="I403" t="s">
        <v>15</v>
      </c>
      <c r="J403" s="5">
        <f>WEEKDAY(Table1_2[[#This Row],[Transaction date]])</f>
        <v>2</v>
      </c>
      <c r="K403"/>
    </row>
    <row r="404" spans="1:11" x14ac:dyDescent="0.45">
      <c r="A404" s="3">
        <v>39838</v>
      </c>
      <c r="B404" s="2">
        <v>0.34375</v>
      </c>
      <c r="C404" t="s">
        <v>1737</v>
      </c>
      <c r="D404" t="s">
        <v>10</v>
      </c>
      <c r="E404">
        <v>1200</v>
      </c>
      <c r="F404" t="s">
        <v>11</v>
      </c>
      <c r="G404" t="s">
        <v>145</v>
      </c>
      <c r="H404" t="s">
        <v>724</v>
      </c>
      <c r="I404" t="s">
        <v>15</v>
      </c>
      <c r="J404" s="5">
        <f>WEEKDAY(Table1_2[[#This Row],[Transaction date]])</f>
        <v>1</v>
      </c>
      <c r="K404"/>
    </row>
    <row r="405" spans="1:11" x14ac:dyDescent="0.45">
      <c r="A405" s="3">
        <v>39843</v>
      </c>
      <c r="B405" s="2">
        <v>0.375</v>
      </c>
      <c r="C405" t="s">
        <v>1737</v>
      </c>
      <c r="D405" t="s">
        <v>10</v>
      </c>
      <c r="E405">
        <v>1200</v>
      </c>
      <c r="F405" t="s">
        <v>16</v>
      </c>
      <c r="G405" t="s">
        <v>725</v>
      </c>
      <c r="H405" t="s">
        <v>178</v>
      </c>
      <c r="I405" t="s">
        <v>15</v>
      </c>
      <c r="J405" s="5">
        <f>WEEKDAY(Table1_2[[#This Row],[Transaction date]])</f>
        <v>6</v>
      </c>
      <c r="K405"/>
    </row>
    <row r="406" spans="1:11" x14ac:dyDescent="0.45">
      <c r="A406" s="3">
        <v>39817</v>
      </c>
      <c r="B406" s="2">
        <v>0.42916666666666664</v>
      </c>
      <c r="C406" t="s">
        <v>1737</v>
      </c>
      <c r="D406" t="s">
        <v>10</v>
      </c>
      <c r="E406">
        <v>1200</v>
      </c>
      <c r="F406" t="s">
        <v>16</v>
      </c>
      <c r="G406" t="s">
        <v>726</v>
      </c>
      <c r="H406" t="s">
        <v>727</v>
      </c>
      <c r="I406" t="s">
        <v>15</v>
      </c>
      <c r="J406" s="5">
        <f>WEEKDAY(Table1_2[[#This Row],[Transaction date]])</f>
        <v>1</v>
      </c>
      <c r="K406"/>
    </row>
    <row r="407" spans="1:11" x14ac:dyDescent="0.45">
      <c r="A407" s="3">
        <v>39836</v>
      </c>
      <c r="B407" s="2">
        <v>0.12291666666666666</v>
      </c>
      <c r="C407" t="s">
        <v>1737</v>
      </c>
      <c r="D407" t="s">
        <v>10</v>
      </c>
      <c r="E407">
        <v>1200</v>
      </c>
      <c r="F407" t="s">
        <v>16</v>
      </c>
      <c r="G407" t="s">
        <v>728</v>
      </c>
      <c r="H407" t="s">
        <v>729</v>
      </c>
      <c r="I407" t="s">
        <v>15</v>
      </c>
      <c r="J407" s="5">
        <f>WEEKDAY(Table1_2[[#This Row],[Transaction date]])</f>
        <v>6</v>
      </c>
      <c r="K407"/>
    </row>
    <row r="408" spans="1:11" x14ac:dyDescent="0.45">
      <c r="A408" s="3">
        <v>39825</v>
      </c>
      <c r="B408" s="2">
        <v>0.42222222222222222</v>
      </c>
      <c r="C408" t="s">
        <v>1737</v>
      </c>
      <c r="D408" t="s">
        <v>20</v>
      </c>
      <c r="E408">
        <v>3600</v>
      </c>
      <c r="F408" t="s">
        <v>16</v>
      </c>
      <c r="G408" t="s">
        <v>730</v>
      </c>
      <c r="H408" t="s">
        <v>203</v>
      </c>
      <c r="I408" t="s">
        <v>15</v>
      </c>
      <c r="J408" s="5">
        <f>WEEKDAY(Table1_2[[#This Row],[Transaction date]])</f>
        <v>2</v>
      </c>
      <c r="K408"/>
    </row>
    <row r="409" spans="1:11" x14ac:dyDescent="0.45">
      <c r="A409" s="3">
        <v>39839</v>
      </c>
      <c r="B409" s="2">
        <v>0.1361111111111111</v>
      </c>
      <c r="C409" t="s">
        <v>1737</v>
      </c>
      <c r="D409" t="s">
        <v>10</v>
      </c>
      <c r="E409">
        <v>1200</v>
      </c>
      <c r="F409" t="s">
        <v>11</v>
      </c>
      <c r="G409" t="s">
        <v>731</v>
      </c>
      <c r="H409" t="s">
        <v>732</v>
      </c>
      <c r="I409" t="s">
        <v>15</v>
      </c>
      <c r="J409" s="5">
        <f>WEEKDAY(Table1_2[[#This Row],[Transaction date]])</f>
        <v>2</v>
      </c>
      <c r="K409"/>
    </row>
    <row r="410" spans="1:11" x14ac:dyDescent="0.45">
      <c r="A410" s="3">
        <v>39828</v>
      </c>
      <c r="B410" s="2">
        <v>0.16388888888888889</v>
      </c>
      <c r="C410" t="s">
        <v>1737</v>
      </c>
      <c r="D410" t="s">
        <v>20</v>
      </c>
      <c r="E410">
        <v>3600</v>
      </c>
      <c r="F410" t="s">
        <v>11</v>
      </c>
      <c r="G410" t="s">
        <v>733</v>
      </c>
      <c r="H410" t="s">
        <v>734</v>
      </c>
      <c r="I410" t="s">
        <v>15</v>
      </c>
      <c r="J410" s="5">
        <f>WEEKDAY(Table1_2[[#This Row],[Transaction date]])</f>
        <v>5</v>
      </c>
      <c r="K410"/>
    </row>
    <row r="411" spans="1:11" x14ac:dyDescent="0.45">
      <c r="A411" s="3">
        <v>39815</v>
      </c>
      <c r="B411" s="2">
        <v>0.3659722222222222</v>
      </c>
      <c r="C411" t="s">
        <v>1737</v>
      </c>
      <c r="D411" t="s">
        <v>10</v>
      </c>
      <c r="E411">
        <v>1200</v>
      </c>
      <c r="F411" t="s">
        <v>11</v>
      </c>
      <c r="G411" t="s">
        <v>735</v>
      </c>
      <c r="H411" t="s">
        <v>736</v>
      </c>
      <c r="I411" t="s">
        <v>15</v>
      </c>
      <c r="J411" s="5">
        <f>WEEKDAY(Table1_2[[#This Row],[Transaction date]])</f>
        <v>6</v>
      </c>
      <c r="K411"/>
    </row>
    <row r="412" spans="1:11" x14ac:dyDescent="0.45">
      <c r="A412" s="3">
        <v>39838</v>
      </c>
      <c r="B412" s="2">
        <v>0.4</v>
      </c>
      <c r="C412" t="s">
        <v>1737</v>
      </c>
      <c r="D412" t="s">
        <v>10</v>
      </c>
      <c r="E412">
        <v>1200</v>
      </c>
      <c r="F412" t="s">
        <v>11</v>
      </c>
      <c r="G412" t="s">
        <v>737</v>
      </c>
      <c r="H412" t="s">
        <v>738</v>
      </c>
      <c r="I412" t="s">
        <v>15</v>
      </c>
      <c r="J412" s="5">
        <f>WEEKDAY(Table1_2[[#This Row],[Transaction date]])</f>
        <v>1</v>
      </c>
      <c r="K412"/>
    </row>
    <row r="413" spans="1:11" x14ac:dyDescent="0.45">
      <c r="A413" s="3">
        <v>39819</v>
      </c>
      <c r="B413" s="2">
        <v>0.25694444444444442</v>
      </c>
      <c r="C413" t="s">
        <v>1737</v>
      </c>
      <c r="D413" t="s">
        <v>10</v>
      </c>
      <c r="E413">
        <v>1200</v>
      </c>
      <c r="F413" t="s">
        <v>11</v>
      </c>
      <c r="G413" t="s">
        <v>739</v>
      </c>
      <c r="H413" t="s">
        <v>740</v>
      </c>
      <c r="I413" t="s">
        <v>15</v>
      </c>
      <c r="J413" s="5">
        <f>WEEKDAY(Table1_2[[#This Row],[Transaction date]])</f>
        <v>3</v>
      </c>
      <c r="K413"/>
    </row>
    <row r="414" spans="1:11" x14ac:dyDescent="0.45">
      <c r="A414" s="3">
        <v>39844</v>
      </c>
      <c r="B414" s="2">
        <v>0.25972222222222224</v>
      </c>
      <c r="C414" t="s">
        <v>1737</v>
      </c>
      <c r="D414" t="s">
        <v>10</v>
      </c>
      <c r="E414">
        <v>1200</v>
      </c>
      <c r="F414" t="s">
        <v>16</v>
      </c>
      <c r="G414" t="s">
        <v>212</v>
      </c>
      <c r="H414" t="s">
        <v>741</v>
      </c>
      <c r="I414" t="s">
        <v>15</v>
      </c>
      <c r="J414" s="5">
        <f>WEEKDAY(Table1_2[[#This Row],[Transaction date]])</f>
        <v>7</v>
      </c>
      <c r="K414"/>
    </row>
    <row r="415" spans="1:11" x14ac:dyDescent="0.45">
      <c r="A415" s="3">
        <v>39819</v>
      </c>
      <c r="B415" s="2">
        <v>0.39652777777777776</v>
      </c>
      <c r="C415" t="s">
        <v>1737</v>
      </c>
      <c r="D415" t="s">
        <v>10</v>
      </c>
      <c r="E415">
        <v>1200</v>
      </c>
      <c r="F415" t="s">
        <v>11</v>
      </c>
      <c r="G415" t="s">
        <v>742</v>
      </c>
      <c r="H415" t="s">
        <v>492</v>
      </c>
      <c r="I415" t="s">
        <v>15</v>
      </c>
      <c r="J415" s="5">
        <f>WEEKDAY(Table1_2[[#This Row],[Transaction date]])</f>
        <v>3</v>
      </c>
      <c r="K415"/>
    </row>
    <row r="416" spans="1:11" x14ac:dyDescent="0.45">
      <c r="A416" s="3">
        <v>39834</v>
      </c>
      <c r="B416" s="2">
        <v>0.31319444444444444</v>
      </c>
      <c r="C416" t="s">
        <v>1737</v>
      </c>
      <c r="D416" t="s">
        <v>10</v>
      </c>
      <c r="E416">
        <v>1200</v>
      </c>
      <c r="F416" t="s">
        <v>16</v>
      </c>
      <c r="G416" t="s">
        <v>743</v>
      </c>
      <c r="H416" t="s">
        <v>691</v>
      </c>
      <c r="I416" t="s">
        <v>15</v>
      </c>
      <c r="J416" s="5">
        <f>WEEKDAY(Table1_2[[#This Row],[Transaction date]])</f>
        <v>4</v>
      </c>
      <c r="K416"/>
    </row>
    <row r="417" spans="1:11" x14ac:dyDescent="0.45">
      <c r="A417" s="3">
        <v>39842</v>
      </c>
      <c r="B417" s="2">
        <v>0.50694444444444442</v>
      </c>
      <c r="C417" t="s">
        <v>1738</v>
      </c>
      <c r="D417" t="s">
        <v>10</v>
      </c>
      <c r="E417">
        <v>1200</v>
      </c>
      <c r="F417" t="s">
        <v>63</v>
      </c>
      <c r="G417" t="s">
        <v>183</v>
      </c>
      <c r="H417" t="s">
        <v>494</v>
      </c>
      <c r="I417" t="s">
        <v>15</v>
      </c>
      <c r="J417" s="5">
        <f>WEEKDAY(Table1_2[[#This Row],[Transaction date]])</f>
        <v>5</v>
      </c>
      <c r="K417"/>
    </row>
    <row r="418" spans="1:11" x14ac:dyDescent="0.45">
      <c r="A418" s="3">
        <v>39821</v>
      </c>
      <c r="B418" s="2">
        <v>0.30972222222222223</v>
      </c>
      <c r="C418" t="s">
        <v>1737</v>
      </c>
      <c r="D418" t="s">
        <v>20</v>
      </c>
      <c r="E418">
        <v>3600</v>
      </c>
      <c r="F418" t="s">
        <v>11</v>
      </c>
      <c r="G418" t="s">
        <v>745</v>
      </c>
      <c r="H418" t="s">
        <v>746</v>
      </c>
      <c r="I418" t="s">
        <v>15</v>
      </c>
      <c r="J418" s="5">
        <f>WEEKDAY(Table1_2[[#This Row],[Transaction date]])</f>
        <v>5</v>
      </c>
      <c r="K418"/>
    </row>
    <row r="419" spans="1:11" x14ac:dyDescent="0.45">
      <c r="A419" s="3">
        <v>39823</v>
      </c>
      <c r="B419" s="2">
        <v>0.16805555555555557</v>
      </c>
      <c r="C419" t="s">
        <v>1737</v>
      </c>
      <c r="D419" t="s">
        <v>10</v>
      </c>
      <c r="E419">
        <v>1200</v>
      </c>
      <c r="F419" t="s">
        <v>11</v>
      </c>
      <c r="G419" t="s">
        <v>747</v>
      </c>
      <c r="H419" t="s">
        <v>492</v>
      </c>
      <c r="I419" t="s">
        <v>15</v>
      </c>
      <c r="J419" s="5">
        <f>WEEKDAY(Table1_2[[#This Row],[Transaction date]])</f>
        <v>7</v>
      </c>
      <c r="K419"/>
    </row>
    <row r="420" spans="1:11" x14ac:dyDescent="0.45">
      <c r="A420" s="3">
        <v>39836</v>
      </c>
      <c r="B420" s="2">
        <v>5.0694444444444445E-2</v>
      </c>
      <c r="C420" t="s">
        <v>1737</v>
      </c>
      <c r="D420" t="s">
        <v>10</v>
      </c>
      <c r="E420">
        <v>1200</v>
      </c>
      <c r="F420" t="s">
        <v>16</v>
      </c>
      <c r="G420" t="s">
        <v>748</v>
      </c>
      <c r="H420" t="s">
        <v>404</v>
      </c>
      <c r="I420" t="s">
        <v>15</v>
      </c>
      <c r="J420" s="5">
        <f>WEEKDAY(Table1_2[[#This Row],[Transaction date]])</f>
        <v>6</v>
      </c>
      <c r="K420"/>
    </row>
    <row r="421" spans="1:11" x14ac:dyDescent="0.45">
      <c r="A421" s="3">
        <v>39840</v>
      </c>
      <c r="B421" s="2">
        <v>0.1125</v>
      </c>
      <c r="C421" t="s">
        <v>1737</v>
      </c>
      <c r="D421" t="s">
        <v>20</v>
      </c>
      <c r="E421">
        <v>3600</v>
      </c>
      <c r="F421" t="s">
        <v>16</v>
      </c>
      <c r="G421" t="s">
        <v>749</v>
      </c>
      <c r="H421" t="s">
        <v>333</v>
      </c>
      <c r="I421" t="s">
        <v>15</v>
      </c>
      <c r="J421" s="5">
        <f>WEEKDAY(Table1_2[[#This Row],[Transaction date]])</f>
        <v>3</v>
      </c>
      <c r="K421"/>
    </row>
    <row r="422" spans="1:11" x14ac:dyDescent="0.45">
      <c r="A422" s="3">
        <v>39842</v>
      </c>
      <c r="B422" s="2">
        <v>0.51111111111111107</v>
      </c>
      <c r="C422" t="s">
        <v>1738</v>
      </c>
      <c r="D422" t="s">
        <v>10</v>
      </c>
      <c r="E422">
        <v>1200</v>
      </c>
      <c r="F422" t="s">
        <v>16</v>
      </c>
      <c r="G422" t="s">
        <v>626</v>
      </c>
      <c r="H422" t="s">
        <v>750</v>
      </c>
      <c r="I422" t="s">
        <v>15</v>
      </c>
      <c r="J422" s="5">
        <f>WEEKDAY(Table1_2[[#This Row],[Transaction date]])</f>
        <v>5</v>
      </c>
      <c r="K422"/>
    </row>
    <row r="423" spans="1:11" x14ac:dyDescent="0.45">
      <c r="A423" s="3">
        <v>39832</v>
      </c>
      <c r="B423" s="2">
        <v>0.2361111111111111</v>
      </c>
      <c r="C423" t="s">
        <v>1737</v>
      </c>
      <c r="D423" t="s">
        <v>10</v>
      </c>
      <c r="E423">
        <v>1200</v>
      </c>
      <c r="F423" t="s">
        <v>11</v>
      </c>
      <c r="G423" t="s">
        <v>751</v>
      </c>
      <c r="H423" t="s">
        <v>752</v>
      </c>
      <c r="I423" t="s">
        <v>15</v>
      </c>
      <c r="J423" s="5">
        <f>WEEKDAY(Table1_2[[#This Row],[Transaction date]])</f>
        <v>2</v>
      </c>
      <c r="K423"/>
    </row>
    <row r="424" spans="1:11" x14ac:dyDescent="0.45">
      <c r="A424" s="3">
        <v>39843</v>
      </c>
      <c r="B424" s="2">
        <v>0.43819444444444444</v>
      </c>
      <c r="C424" t="s">
        <v>1737</v>
      </c>
      <c r="D424" t="s">
        <v>10</v>
      </c>
      <c r="E424">
        <v>1200</v>
      </c>
      <c r="F424" t="s">
        <v>16</v>
      </c>
      <c r="G424" t="s">
        <v>753</v>
      </c>
      <c r="H424" t="s">
        <v>754</v>
      </c>
      <c r="I424" t="s">
        <v>15</v>
      </c>
      <c r="J424" s="5">
        <f>WEEKDAY(Table1_2[[#This Row],[Transaction date]])</f>
        <v>6</v>
      </c>
      <c r="K424"/>
    </row>
    <row r="425" spans="1:11" x14ac:dyDescent="0.45">
      <c r="A425" s="3">
        <v>39814</v>
      </c>
      <c r="B425" s="2">
        <v>0.19722222222222222</v>
      </c>
      <c r="C425" t="s">
        <v>1737</v>
      </c>
      <c r="D425" t="s">
        <v>10</v>
      </c>
      <c r="E425">
        <v>1200</v>
      </c>
      <c r="F425" t="s">
        <v>63</v>
      </c>
      <c r="G425" t="s">
        <v>755</v>
      </c>
      <c r="H425" t="s">
        <v>229</v>
      </c>
      <c r="I425" t="s">
        <v>15</v>
      </c>
      <c r="J425" s="5">
        <f>WEEKDAY(Table1_2[[#This Row],[Transaction date]])</f>
        <v>5</v>
      </c>
      <c r="K425"/>
    </row>
    <row r="426" spans="1:11" x14ac:dyDescent="0.45">
      <c r="A426" s="3">
        <v>39838</v>
      </c>
      <c r="B426" s="2">
        <v>0.4826388888888889</v>
      </c>
      <c r="C426" t="s">
        <v>1737</v>
      </c>
      <c r="D426" t="s">
        <v>230</v>
      </c>
      <c r="E426">
        <v>7500</v>
      </c>
      <c r="F426" t="s">
        <v>16</v>
      </c>
      <c r="G426" t="s">
        <v>756</v>
      </c>
      <c r="H426" t="s">
        <v>473</v>
      </c>
      <c r="I426" t="s">
        <v>15</v>
      </c>
      <c r="J426" s="5">
        <f>WEEKDAY(Table1_2[[#This Row],[Transaction date]])</f>
        <v>1</v>
      </c>
      <c r="K426"/>
    </row>
    <row r="427" spans="1:11" x14ac:dyDescent="0.45">
      <c r="A427" s="3">
        <v>39839</v>
      </c>
      <c r="B427" s="2">
        <v>8.4722222222222227E-2</v>
      </c>
      <c r="C427" t="s">
        <v>1737</v>
      </c>
      <c r="D427" t="s">
        <v>10</v>
      </c>
      <c r="E427">
        <v>1200</v>
      </c>
      <c r="F427" t="s">
        <v>16</v>
      </c>
      <c r="G427" t="s">
        <v>355</v>
      </c>
      <c r="H427" t="s">
        <v>473</v>
      </c>
      <c r="I427" t="s">
        <v>15</v>
      </c>
      <c r="J427" s="5">
        <f>WEEKDAY(Table1_2[[#This Row],[Transaction date]])</f>
        <v>2</v>
      </c>
      <c r="K427"/>
    </row>
    <row r="428" spans="1:11" x14ac:dyDescent="0.45">
      <c r="A428" s="3">
        <v>39829</v>
      </c>
      <c r="B428" s="2">
        <v>0.43541666666666667</v>
      </c>
      <c r="C428" t="s">
        <v>1737</v>
      </c>
      <c r="D428" t="s">
        <v>10</v>
      </c>
      <c r="E428">
        <v>1200</v>
      </c>
      <c r="F428" t="s">
        <v>16</v>
      </c>
      <c r="G428" t="s">
        <v>624</v>
      </c>
      <c r="H428" t="s">
        <v>757</v>
      </c>
      <c r="I428" t="s">
        <v>15</v>
      </c>
      <c r="J428" s="5">
        <f>WEEKDAY(Table1_2[[#This Row],[Transaction date]])</f>
        <v>6</v>
      </c>
      <c r="K428"/>
    </row>
    <row r="429" spans="1:11" x14ac:dyDescent="0.45">
      <c r="A429" s="3">
        <v>39838</v>
      </c>
      <c r="B429" s="2">
        <v>0.27291666666666664</v>
      </c>
      <c r="C429" t="s">
        <v>1737</v>
      </c>
      <c r="D429" t="s">
        <v>10</v>
      </c>
      <c r="E429">
        <v>1200</v>
      </c>
      <c r="F429" t="s">
        <v>16</v>
      </c>
      <c r="G429" t="s">
        <v>419</v>
      </c>
      <c r="H429" t="s">
        <v>758</v>
      </c>
      <c r="I429" t="s">
        <v>15</v>
      </c>
      <c r="J429" s="5">
        <f>WEEKDAY(Table1_2[[#This Row],[Transaction date]])</f>
        <v>1</v>
      </c>
      <c r="K429"/>
    </row>
    <row r="430" spans="1:11" x14ac:dyDescent="0.45">
      <c r="A430" s="3">
        <v>39825</v>
      </c>
      <c r="B430" s="2">
        <v>0.22152777777777777</v>
      </c>
      <c r="C430" t="s">
        <v>1737</v>
      </c>
      <c r="D430" t="s">
        <v>20</v>
      </c>
      <c r="E430">
        <v>3600</v>
      </c>
      <c r="F430" t="s">
        <v>16</v>
      </c>
      <c r="G430" t="s">
        <v>759</v>
      </c>
      <c r="H430" t="s">
        <v>283</v>
      </c>
      <c r="I430" t="s">
        <v>15</v>
      </c>
      <c r="J430" s="5">
        <f>WEEKDAY(Table1_2[[#This Row],[Transaction date]])</f>
        <v>2</v>
      </c>
      <c r="K430"/>
    </row>
    <row r="431" spans="1:11" x14ac:dyDescent="0.45">
      <c r="A431" s="3">
        <v>39828</v>
      </c>
      <c r="B431" s="2">
        <v>0.14027777777777778</v>
      </c>
      <c r="C431" t="s">
        <v>1737</v>
      </c>
      <c r="D431" t="s">
        <v>10</v>
      </c>
      <c r="E431">
        <v>1200</v>
      </c>
      <c r="F431" t="s">
        <v>11</v>
      </c>
      <c r="G431" t="s">
        <v>760</v>
      </c>
      <c r="H431" t="s">
        <v>87</v>
      </c>
      <c r="I431" t="s">
        <v>15</v>
      </c>
      <c r="J431" s="5">
        <f>WEEKDAY(Table1_2[[#This Row],[Transaction date]])</f>
        <v>5</v>
      </c>
      <c r="K431"/>
    </row>
    <row r="432" spans="1:11" x14ac:dyDescent="0.45">
      <c r="A432" s="3">
        <v>39839</v>
      </c>
      <c r="B432" s="2">
        <v>0.23472222222222222</v>
      </c>
      <c r="C432" t="s">
        <v>1737</v>
      </c>
      <c r="D432" t="s">
        <v>20</v>
      </c>
      <c r="E432">
        <v>3600</v>
      </c>
      <c r="F432" t="s">
        <v>63</v>
      </c>
      <c r="G432" t="s">
        <v>761</v>
      </c>
      <c r="H432" t="s">
        <v>762</v>
      </c>
      <c r="I432" t="s">
        <v>15</v>
      </c>
      <c r="J432" s="5">
        <f>WEEKDAY(Table1_2[[#This Row],[Transaction date]])</f>
        <v>2</v>
      </c>
      <c r="K432"/>
    </row>
    <row r="433" spans="1:11" x14ac:dyDescent="0.45">
      <c r="A433" s="3">
        <v>39837</v>
      </c>
      <c r="B433" s="2">
        <v>0.44305555555555554</v>
      </c>
      <c r="C433" t="s">
        <v>1737</v>
      </c>
      <c r="D433" t="s">
        <v>10</v>
      </c>
      <c r="E433">
        <v>1200</v>
      </c>
      <c r="F433" t="s">
        <v>11</v>
      </c>
      <c r="G433" t="s">
        <v>763</v>
      </c>
      <c r="H433" t="s">
        <v>333</v>
      </c>
      <c r="I433" t="s">
        <v>15</v>
      </c>
      <c r="J433" s="5">
        <f>WEEKDAY(Table1_2[[#This Row],[Transaction date]])</f>
        <v>7</v>
      </c>
      <c r="K433"/>
    </row>
    <row r="434" spans="1:11" x14ac:dyDescent="0.45">
      <c r="A434" s="3">
        <v>39815</v>
      </c>
      <c r="B434" s="2">
        <v>0.3125</v>
      </c>
      <c r="C434" t="s">
        <v>1737</v>
      </c>
      <c r="D434" t="s">
        <v>10</v>
      </c>
      <c r="E434">
        <v>1200</v>
      </c>
      <c r="F434" t="s">
        <v>16</v>
      </c>
      <c r="G434" t="s">
        <v>376</v>
      </c>
      <c r="H434" t="s">
        <v>764</v>
      </c>
      <c r="I434" t="s">
        <v>15</v>
      </c>
      <c r="J434" s="5">
        <f>WEEKDAY(Table1_2[[#This Row],[Transaction date]])</f>
        <v>6</v>
      </c>
      <c r="K434"/>
    </row>
    <row r="435" spans="1:11" x14ac:dyDescent="0.45">
      <c r="A435" s="3">
        <v>39839</v>
      </c>
      <c r="B435" s="2">
        <v>0.27638888888888891</v>
      </c>
      <c r="C435" t="s">
        <v>1737</v>
      </c>
      <c r="D435" t="s">
        <v>10</v>
      </c>
      <c r="E435">
        <v>1200</v>
      </c>
      <c r="F435" t="s">
        <v>11</v>
      </c>
      <c r="G435" t="s">
        <v>745</v>
      </c>
      <c r="H435" t="s">
        <v>695</v>
      </c>
      <c r="I435" t="s">
        <v>15</v>
      </c>
      <c r="J435" s="5">
        <f>WEEKDAY(Table1_2[[#This Row],[Transaction date]])</f>
        <v>2</v>
      </c>
      <c r="K435"/>
    </row>
    <row r="436" spans="1:11" x14ac:dyDescent="0.45">
      <c r="A436" s="3">
        <v>39839</v>
      </c>
      <c r="B436" s="2">
        <v>0.33333333333333331</v>
      </c>
      <c r="C436" t="s">
        <v>1737</v>
      </c>
      <c r="D436" t="s">
        <v>10</v>
      </c>
      <c r="E436">
        <v>1200</v>
      </c>
      <c r="F436" t="s">
        <v>63</v>
      </c>
      <c r="G436" t="s">
        <v>674</v>
      </c>
      <c r="H436" t="s">
        <v>765</v>
      </c>
      <c r="I436" t="s">
        <v>15</v>
      </c>
      <c r="J436" s="5">
        <f>WEEKDAY(Table1_2[[#This Row],[Transaction date]])</f>
        <v>2</v>
      </c>
      <c r="K436"/>
    </row>
    <row r="437" spans="1:11" x14ac:dyDescent="0.45">
      <c r="A437" s="3">
        <v>39824</v>
      </c>
      <c r="B437" s="2">
        <v>0.36180555555555555</v>
      </c>
      <c r="C437" t="s">
        <v>1737</v>
      </c>
      <c r="D437" t="s">
        <v>10</v>
      </c>
      <c r="E437">
        <v>1200</v>
      </c>
      <c r="F437" t="s">
        <v>63</v>
      </c>
      <c r="G437" t="s">
        <v>766</v>
      </c>
      <c r="H437" t="s">
        <v>767</v>
      </c>
      <c r="I437" t="s">
        <v>15</v>
      </c>
      <c r="J437" s="5">
        <f>WEEKDAY(Table1_2[[#This Row],[Transaction date]])</f>
        <v>1</v>
      </c>
      <c r="K437"/>
    </row>
    <row r="438" spans="1:11" x14ac:dyDescent="0.45">
      <c r="A438" s="3">
        <v>39834</v>
      </c>
      <c r="B438" s="2">
        <v>0.43888888888888888</v>
      </c>
      <c r="C438" t="s">
        <v>1737</v>
      </c>
      <c r="D438" t="s">
        <v>10</v>
      </c>
      <c r="E438">
        <v>1200</v>
      </c>
      <c r="F438" t="s">
        <v>16</v>
      </c>
      <c r="G438" t="s">
        <v>755</v>
      </c>
      <c r="H438" t="s">
        <v>768</v>
      </c>
      <c r="I438" t="s">
        <v>15</v>
      </c>
      <c r="J438" s="5">
        <f>WEEKDAY(Table1_2[[#This Row],[Transaction date]])</f>
        <v>4</v>
      </c>
      <c r="K438"/>
    </row>
    <row r="439" spans="1:11" x14ac:dyDescent="0.45">
      <c r="A439" s="3">
        <v>39844</v>
      </c>
      <c r="B439" s="2">
        <v>0.25833333333333336</v>
      </c>
      <c r="C439" t="s">
        <v>1737</v>
      </c>
      <c r="D439" t="s">
        <v>10</v>
      </c>
      <c r="E439">
        <v>1200</v>
      </c>
      <c r="F439" t="s">
        <v>11</v>
      </c>
      <c r="G439" t="s">
        <v>769</v>
      </c>
      <c r="H439" t="s">
        <v>108</v>
      </c>
      <c r="I439" t="s">
        <v>15</v>
      </c>
      <c r="J439" s="5">
        <f>WEEKDAY(Table1_2[[#This Row],[Transaction date]])</f>
        <v>7</v>
      </c>
      <c r="K439"/>
    </row>
    <row r="440" spans="1:11" x14ac:dyDescent="0.45">
      <c r="A440" s="3">
        <v>39835</v>
      </c>
      <c r="B440" s="2">
        <v>0.14930555555555555</v>
      </c>
      <c r="C440" t="s">
        <v>1737</v>
      </c>
      <c r="D440" t="s">
        <v>10</v>
      </c>
      <c r="E440">
        <v>1200</v>
      </c>
      <c r="F440" t="s">
        <v>11</v>
      </c>
      <c r="G440" t="s">
        <v>770</v>
      </c>
      <c r="H440" t="s">
        <v>71</v>
      </c>
      <c r="I440" t="s">
        <v>15</v>
      </c>
      <c r="J440" s="5">
        <f>WEEKDAY(Table1_2[[#This Row],[Transaction date]])</f>
        <v>5</v>
      </c>
      <c r="K440"/>
    </row>
    <row r="441" spans="1:11" x14ac:dyDescent="0.45">
      <c r="A441" s="3">
        <v>39818</v>
      </c>
      <c r="B441" s="2">
        <v>0.47499999999999998</v>
      </c>
      <c r="C441" t="s">
        <v>1737</v>
      </c>
      <c r="D441" t="s">
        <v>10</v>
      </c>
      <c r="E441">
        <v>1200</v>
      </c>
      <c r="F441" t="s">
        <v>63</v>
      </c>
      <c r="G441" t="s">
        <v>771</v>
      </c>
      <c r="H441" t="s">
        <v>772</v>
      </c>
      <c r="I441" t="s">
        <v>15</v>
      </c>
      <c r="J441" s="5">
        <f>WEEKDAY(Table1_2[[#This Row],[Transaction date]])</f>
        <v>2</v>
      </c>
      <c r="K441"/>
    </row>
    <row r="442" spans="1:11" x14ac:dyDescent="0.45">
      <c r="A442" s="3">
        <v>39836</v>
      </c>
      <c r="B442" s="2">
        <v>0.47430555555555554</v>
      </c>
      <c r="C442" t="s">
        <v>1737</v>
      </c>
      <c r="D442" t="s">
        <v>10</v>
      </c>
      <c r="E442">
        <v>1200</v>
      </c>
      <c r="F442" t="s">
        <v>16</v>
      </c>
      <c r="G442" t="s">
        <v>773</v>
      </c>
      <c r="H442" t="s">
        <v>774</v>
      </c>
      <c r="I442" t="s">
        <v>15</v>
      </c>
      <c r="J442" s="5">
        <f>WEEKDAY(Table1_2[[#This Row],[Transaction date]])</f>
        <v>6</v>
      </c>
      <c r="K442"/>
    </row>
    <row r="443" spans="1:11" x14ac:dyDescent="0.45">
      <c r="A443" s="3">
        <v>39820</v>
      </c>
      <c r="B443" s="2">
        <v>0.37152777777777779</v>
      </c>
      <c r="C443" t="s">
        <v>1737</v>
      </c>
      <c r="D443" t="s">
        <v>10</v>
      </c>
      <c r="E443">
        <v>1200</v>
      </c>
      <c r="F443" t="s">
        <v>16</v>
      </c>
      <c r="G443" t="s">
        <v>775</v>
      </c>
      <c r="H443" t="s">
        <v>108</v>
      </c>
      <c r="I443" t="s">
        <v>15</v>
      </c>
      <c r="J443" s="5">
        <f>WEEKDAY(Table1_2[[#This Row],[Transaction date]])</f>
        <v>4</v>
      </c>
      <c r="K443"/>
    </row>
    <row r="444" spans="1:11" x14ac:dyDescent="0.45">
      <c r="A444" s="3">
        <v>39826</v>
      </c>
      <c r="B444" s="2">
        <v>0.40277777777777779</v>
      </c>
      <c r="C444" t="s">
        <v>1737</v>
      </c>
      <c r="D444" t="s">
        <v>10</v>
      </c>
      <c r="E444">
        <v>1200</v>
      </c>
      <c r="F444" t="s">
        <v>11</v>
      </c>
      <c r="G444" t="s">
        <v>674</v>
      </c>
      <c r="H444" t="s">
        <v>776</v>
      </c>
      <c r="I444" t="s">
        <v>15</v>
      </c>
      <c r="J444" s="5">
        <f>WEEKDAY(Table1_2[[#This Row],[Transaction date]])</f>
        <v>3</v>
      </c>
      <c r="K444"/>
    </row>
    <row r="445" spans="1:11" x14ac:dyDescent="0.45">
      <c r="A445" s="3">
        <v>39838</v>
      </c>
      <c r="B445" s="2">
        <v>0.13750000000000001</v>
      </c>
      <c r="C445" t="s">
        <v>1737</v>
      </c>
      <c r="D445" t="s">
        <v>20</v>
      </c>
      <c r="E445">
        <v>3600</v>
      </c>
      <c r="F445" t="s">
        <v>11</v>
      </c>
      <c r="G445" t="s">
        <v>777</v>
      </c>
      <c r="H445" t="s">
        <v>778</v>
      </c>
      <c r="I445" t="s">
        <v>15</v>
      </c>
      <c r="J445" s="5">
        <f>WEEKDAY(Table1_2[[#This Row],[Transaction date]])</f>
        <v>1</v>
      </c>
      <c r="K445"/>
    </row>
    <row r="446" spans="1:11" x14ac:dyDescent="0.45">
      <c r="A446" s="3">
        <v>39826</v>
      </c>
      <c r="B446" s="2">
        <v>0.29791666666666666</v>
      </c>
      <c r="C446" t="s">
        <v>1737</v>
      </c>
      <c r="D446" t="s">
        <v>20</v>
      </c>
      <c r="E446">
        <v>3600</v>
      </c>
      <c r="F446" t="s">
        <v>63</v>
      </c>
      <c r="G446" t="s">
        <v>606</v>
      </c>
      <c r="H446" t="s">
        <v>156</v>
      </c>
      <c r="I446" t="s">
        <v>15</v>
      </c>
      <c r="J446" s="5">
        <f>WEEKDAY(Table1_2[[#This Row],[Transaction date]])</f>
        <v>3</v>
      </c>
      <c r="K446"/>
    </row>
    <row r="447" spans="1:11" x14ac:dyDescent="0.45">
      <c r="A447" s="3">
        <v>39816</v>
      </c>
      <c r="B447" s="2">
        <v>0.46041666666666664</v>
      </c>
      <c r="C447" t="s">
        <v>1737</v>
      </c>
      <c r="D447" t="s">
        <v>10</v>
      </c>
      <c r="E447">
        <v>1200</v>
      </c>
      <c r="F447" t="s">
        <v>16</v>
      </c>
      <c r="G447" t="s">
        <v>779</v>
      </c>
      <c r="H447" t="s">
        <v>780</v>
      </c>
      <c r="I447" t="s">
        <v>15</v>
      </c>
      <c r="J447" s="5">
        <f>WEEKDAY(Table1_2[[#This Row],[Transaction date]])</f>
        <v>7</v>
      </c>
      <c r="K447"/>
    </row>
    <row r="448" spans="1:11" x14ac:dyDescent="0.45">
      <c r="A448" s="3">
        <v>39818</v>
      </c>
      <c r="B448" s="2">
        <v>0.3298611111111111</v>
      </c>
      <c r="C448" t="s">
        <v>1737</v>
      </c>
      <c r="D448" t="s">
        <v>10</v>
      </c>
      <c r="E448">
        <v>1200</v>
      </c>
      <c r="F448" t="s">
        <v>16</v>
      </c>
      <c r="G448" t="s">
        <v>319</v>
      </c>
      <c r="H448" t="s">
        <v>781</v>
      </c>
      <c r="I448" t="s">
        <v>15</v>
      </c>
      <c r="J448" s="5">
        <f>WEEKDAY(Table1_2[[#This Row],[Transaction date]])</f>
        <v>2</v>
      </c>
      <c r="K448"/>
    </row>
    <row r="449" spans="1:11" x14ac:dyDescent="0.45">
      <c r="A449" s="3">
        <v>39838</v>
      </c>
      <c r="B449" s="2">
        <v>0.1111111111111111</v>
      </c>
      <c r="C449" t="s">
        <v>1737</v>
      </c>
      <c r="D449" t="s">
        <v>10</v>
      </c>
      <c r="E449">
        <v>1200</v>
      </c>
      <c r="F449" t="s">
        <v>11</v>
      </c>
      <c r="G449" t="s">
        <v>782</v>
      </c>
      <c r="H449" t="s">
        <v>783</v>
      </c>
      <c r="I449" t="s">
        <v>15</v>
      </c>
      <c r="J449" s="5">
        <f>WEEKDAY(Table1_2[[#This Row],[Transaction date]])</f>
        <v>1</v>
      </c>
      <c r="K449"/>
    </row>
    <row r="450" spans="1:11" x14ac:dyDescent="0.45">
      <c r="A450" s="3">
        <v>39838</v>
      </c>
      <c r="B450" s="2">
        <v>0.24652777777777779</v>
      </c>
      <c r="C450" t="s">
        <v>1737</v>
      </c>
      <c r="D450" t="s">
        <v>10</v>
      </c>
      <c r="E450">
        <v>1200</v>
      </c>
      <c r="F450" t="s">
        <v>11</v>
      </c>
      <c r="G450" t="s">
        <v>199</v>
      </c>
      <c r="H450" t="s">
        <v>784</v>
      </c>
      <c r="I450" t="s">
        <v>15</v>
      </c>
      <c r="J450" s="5">
        <f>WEEKDAY(Table1_2[[#This Row],[Transaction date]])</f>
        <v>1</v>
      </c>
      <c r="K450"/>
    </row>
    <row r="451" spans="1:11" x14ac:dyDescent="0.45">
      <c r="A451" s="3">
        <v>39816</v>
      </c>
      <c r="B451" s="2">
        <v>0.53749999999999998</v>
      </c>
      <c r="C451" t="s">
        <v>1738</v>
      </c>
      <c r="D451" t="s">
        <v>10</v>
      </c>
      <c r="E451">
        <v>1200</v>
      </c>
      <c r="F451" t="s">
        <v>16</v>
      </c>
      <c r="G451" t="s">
        <v>785</v>
      </c>
      <c r="H451" t="s">
        <v>786</v>
      </c>
      <c r="I451" t="s">
        <v>15</v>
      </c>
      <c r="J451" s="5">
        <f>WEEKDAY(Table1_2[[#This Row],[Transaction date]])</f>
        <v>7</v>
      </c>
      <c r="K451"/>
    </row>
    <row r="452" spans="1:11" x14ac:dyDescent="0.45">
      <c r="A452" s="3">
        <v>39823</v>
      </c>
      <c r="B452" s="2">
        <v>0.3972222222222222</v>
      </c>
      <c r="C452" t="s">
        <v>1737</v>
      </c>
      <c r="D452" t="s">
        <v>20</v>
      </c>
      <c r="E452">
        <v>3600</v>
      </c>
      <c r="F452" t="s">
        <v>16</v>
      </c>
      <c r="G452" t="s">
        <v>787</v>
      </c>
      <c r="H452" t="s">
        <v>788</v>
      </c>
      <c r="I452" t="s">
        <v>15</v>
      </c>
      <c r="J452" s="5">
        <f>WEEKDAY(Table1_2[[#This Row],[Transaction date]])</f>
        <v>7</v>
      </c>
      <c r="K452"/>
    </row>
    <row r="453" spans="1:11" x14ac:dyDescent="0.45">
      <c r="A453" s="3">
        <v>39835</v>
      </c>
      <c r="B453" s="2">
        <v>0.53125</v>
      </c>
      <c r="C453" t="s">
        <v>1738</v>
      </c>
      <c r="D453" t="s">
        <v>230</v>
      </c>
      <c r="E453">
        <v>7500</v>
      </c>
      <c r="F453" t="s">
        <v>11</v>
      </c>
      <c r="G453" t="s">
        <v>789</v>
      </c>
      <c r="H453" t="s">
        <v>790</v>
      </c>
      <c r="I453" t="s">
        <v>15</v>
      </c>
      <c r="J453" s="5">
        <f>WEEKDAY(Table1_2[[#This Row],[Transaction date]])</f>
        <v>5</v>
      </c>
      <c r="K453"/>
    </row>
    <row r="454" spans="1:11" x14ac:dyDescent="0.45">
      <c r="A454" s="3">
        <v>39819</v>
      </c>
      <c r="B454" s="2">
        <v>0.25763888888888886</v>
      </c>
      <c r="C454" t="s">
        <v>1737</v>
      </c>
      <c r="D454" t="s">
        <v>20</v>
      </c>
      <c r="E454">
        <v>100000</v>
      </c>
      <c r="F454" t="s">
        <v>16</v>
      </c>
      <c r="G454" t="s">
        <v>791</v>
      </c>
      <c r="H454" t="s">
        <v>792</v>
      </c>
      <c r="I454" t="s">
        <v>15</v>
      </c>
      <c r="J454" s="5">
        <f>WEEKDAY(Table1_2[[#This Row],[Transaction date]])</f>
        <v>3</v>
      </c>
      <c r="K454"/>
    </row>
    <row r="455" spans="1:11" x14ac:dyDescent="0.45">
      <c r="A455" s="3">
        <v>39838</v>
      </c>
      <c r="B455" s="2">
        <v>0.4513888888888889</v>
      </c>
      <c r="C455" t="s">
        <v>1737</v>
      </c>
      <c r="D455" t="s">
        <v>10</v>
      </c>
      <c r="E455">
        <v>1200</v>
      </c>
      <c r="F455" t="s">
        <v>16</v>
      </c>
      <c r="G455" t="s">
        <v>793</v>
      </c>
      <c r="H455" t="s">
        <v>306</v>
      </c>
      <c r="I455" t="s">
        <v>15</v>
      </c>
      <c r="J455" s="5">
        <f>WEEKDAY(Table1_2[[#This Row],[Transaction date]])</f>
        <v>1</v>
      </c>
      <c r="K455"/>
    </row>
    <row r="456" spans="1:11" x14ac:dyDescent="0.45">
      <c r="A456" s="3">
        <v>39827</v>
      </c>
      <c r="B456" s="2">
        <v>0.35972222222222222</v>
      </c>
      <c r="C456" t="s">
        <v>1737</v>
      </c>
      <c r="D456" t="s">
        <v>10</v>
      </c>
      <c r="E456">
        <v>1200</v>
      </c>
      <c r="F456" t="s">
        <v>11</v>
      </c>
      <c r="G456" t="s">
        <v>794</v>
      </c>
      <c r="H456" t="s">
        <v>795</v>
      </c>
      <c r="I456" t="s">
        <v>15</v>
      </c>
      <c r="J456" s="5">
        <f>WEEKDAY(Table1_2[[#This Row],[Transaction date]])</f>
        <v>4</v>
      </c>
      <c r="K456"/>
    </row>
    <row r="457" spans="1:11" x14ac:dyDescent="0.45">
      <c r="A457" s="3">
        <v>39820</v>
      </c>
      <c r="B457" s="2">
        <v>0.26041666666666669</v>
      </c>
      <c r="C457" t="s">
        <v>1737</v>
      </c>
      <c r="D457" t="s">
        <v>10</v>
      </c>
      <c r="E457">
        <v>1200</v>
      </c>
      <c r="F457" t="s">
        <v>16</v>
      </c>
      <c r="G457" t="s">
        <v>796</v>
      </c>
      <c r="H457" t="s">
        <v>797</v>
      </c>
      <c r="I457" t="s">
        <v>15</v>
      </c>
      <c r="J457" s="5">
        <f>WEEKDAY(Table1_2[[#This Row],[Transaction date]])</f>
        <v>4</v>
      </c>
      <c r="K457"/>
    </row>
    <row r="458" spans="1:11" x14ac:dyDescent="0.45">
      <c r="A458" s="3">
        <v>39816</v>
      </c>
      <c r="B458" s="2">
        <v>0.38819444444444445</v>
      </c>
      <c r="C458" t="s">
        <v>1737</v>
      </c>
      <c r="D458" t="s">
        <v>10</v>
      </c>
      <c r="E458">
        <v>1200</v>
      </c>
      <c r="F458" t="s">
        <v>11</v>
      </c>
      <c r="G458" t="s">
        <v>798</v>
      </c>
      <c r="H458" t="s">
        <v>799</v>
      </c>
      <c r="I458" t="s">
        <v>15</v>
      </c>
      <c r="J458" s="5">
        <f>WEEKDAY(Table1_2[[#This Row],[Transaction date]])</f>
        <v>7</v>
      </c>
      <c r="K458"/>
    </row>
    <row r="459" spans="1:11" x14ac:dyDescent="0.45">
      <c r="A459" s="3">
        <v>39842</v>
      </c>
      <c r="B459" s="2">
        <v>5.9027777777777776E-2</v>
      </c>
      <c r="C459" t="s">
        <v>1737</v>
      </c>
      <c r="D459" t="s">
        <v>10</v>
      </c>
      <c r="E459">
        <v>1200</v>
      </c>
      <c r="F459" t="s">
        <v>16</v>
      </c>
      <c r="G459" t="s">
        <v>800</v>
      </c>
      <c r="H459" t="s">
        <v>801</v>
      </c>
      <c r="I459" t="s">
        <v>15</v>
      </c>
      <c r="J459" s="5">
        <f>WEEKDAY(Table1_2[[#This Row],[Transaction date]])</f>
        <v>5</v>
      </c>
      <c r="K459"/>
    </row>
    <row r="460" spans="1:11" x14ac:dyDescent="0.45">
      <c r="A460" s="3">
        <v>39836</v>
      </c>
      <c r="B460" s="2">
        <v>0.41944444444444445</v>
      </c>
      <c r="C460" t="s">
        <v>1737</v>
      </c>
      <c r="D460" t="s">
        <v>10</v>
      </c>
      <c r="E460">
        <v>1200</v>
      </c>
      <c r="F460" t="s">
        <v>16</v>
      </c>
      <c r="G460" t="s">
        <v>802</v>
      </c>
      <c r="H460" t="s">
        <v>803</v>
      </c>
      <c r="I460" t="s">
        <v>15</v>
      </c>
      <c r="J460" s="5">
        <f>WEEKDAY(Table1_2[[#This Row],[Transaction date]])</f>
        <v>6</v>
      </c>
      <c r="K460"/>
    </row>
    <row r="461" spans="1:11" x14ac:dyDescent="0.45">
      <c r="A461" s="3">
        <v>39841</v>
      </c>
      <c r="B461" s="2">
        <v>0.47152777777777777</v>
      </c>
      <c r="C461" t="s">
        <v>1737</v>
      </c>
      <c r="D461" t="s">
        <v>10</v>
      </c>
      <c r="E461">
        <v>1200</v>
      </c>
      <c r="F461" t="s">
        <v>11</v>
      </c>
      <c r="G461" t="s">
        <v>804</v>
      </c>
      <c r="H461" t="s">
        <v>801</v>
      </c>
      <c r="I461" t="s">
        <v>15</v>
      </c>
      <c r="J461" s="5">
        <f>WEEKDAY(Table1_2[[#This Row],[Transaction date]])</f>
        <v>4</v>
      </c>
      <c r="K461"/>
    </row>
    <row r="462" spans="1:11" x14ac:dyDescent="0.45">
      <c r="A462" s="3">
        <v>39820</v>
      </c>
      <c r="B462" s="2">
        <v>0.24166666666666667</v>
      </c>
      <c r="C462" t="s">
        <v>1737</v>
      </c>
      <c r="D462" t="s">
        <v>10</v>
      </c>
      <c r="E462">
        <v>1200</v>
      </c>
      <c r="F462" t="s">
        <v>16</v>
      </c>
      <c r="G462" t="s">
        <v>805</v>
      </c>
      <c r="H462" t="s">
        <v>806</v>
      </c>
      <c r="I462" t="s">
        <v>15</v>
      </c>
      <c r="J462" s="5">
        <f>WEEKDAY(Table1_2[[#This Row],[Transaction date]])</f>
        <v>4</v>
      </c>
      <c r="K462"/>
    </row>
    <row r="463" spans="1:11" x14ac:dyDescent="0.45">
      <c r="A463" s="3">
        <v>39814</v>
      </c>
      <c r="B463" s="2">
        <v>0.18333333333333332</v>
      </c>
      <c r="C463" t="s">
        <v>1737</v>
      </c>
      <c r="D463" t="s">
        <v>230</v>
      </c>
      <c r="E463">
        <v>100000</v>
      </c>
      <c r="F463" t="s">
        <v>63</v>
      </c>
      <c r="G463" t="s">
        <v>807</v>
      </c>
      <c r="H463" t="s">
        <v>808</v>
      </c>
      <c r="I463" t="s">
        <v>15</v>
      </c>
      <c r="J463" s="5">
        <f>WEEKDAY(Table1_2[[#This Row],[Transaction date]])</f>
        <v>5</v>
      </c>
      <c r="K463"/>
    </row>
    <row r="464" spans="1:11" x14ac:dyDescent="0.45">
      <c r="A464" s="3">
        <v>39825</v>
      </c>
      <c r="B464" s="2">
        <v>0.39583333333333331</v>
      </c>
      <c r="C464" t="s">
        <v>1737</v>
      </c>
      <c r="D464" t="s">
        <v>10</v>
      </c>
      <c r="E464">
        <v>1200</v>
      </c>
      <c r="F464" t="s">
        <v>11</v>
      </c>
      <c r="G464" t="s">
        <v>809</v>
      </c>
      <c r="H464" t="s">
        <v>810</v>
      </c>
      <c r="I464" t="s">
        <v>15</v>
      </c>
      <c r="J464" s="5">
        <f>WEEKDAY(Table1_2[[#This Row],[Transaction date]])</f>
        <v>2</v>
      </c>
      <c r="K464"/>
    </row>
    <row r="465" spans="1:11" x14ac:dyDescent="0.45">
      <c r="A465" s="3">
        <v>39815</v>
      </c>
      <c r="B465" s="2">
        <v>0.26180555555555557</v>
      </c>
      <c r="C465" t="s">
        <v>1737</v>
      </c>
      <c r="D465" t="s">
        <v>10</v>
      </c>
      <c r="E465">
        <v>1200</v>
      </c>
      <c r="F465" t="s">
        <v>16</v>
      </c>
      <c r="G465" t="s">
        <v>811</v>
      </c>
      <c r="H465" t="s">
        <v>812</v>
      </c>
      <c r="I465" t="s">
        <v>814</v>
      </c>
      <c r="J465" s="5">
        <f>WEEKDAY(Table1_2[[#This Row],[Transaction date]])</f>
        <v>6</v>
      </c>
      <c r="K465"/>
    </row>
    <row r="466" spans="1:11" x14ac:dyDescent="0.45">
      <c r="A466" s="3">
        <v>39819</v>
      </c>
      <c r="B466" s="2">
        <v>0.32291666666666669</v>
      </c>
      <c r="C466" t="s">
        <v>1737</v>
      </c>
      <c r="D466" t="s">
        <v>20</v>
      </c>
      <c r="E466">
        <v>100000</v>
      </c>
      <c r="F466" t="s">
        <v>11</v>
      </c>
      <c r="G466" t="s">
        <v>815</v>
      </c>
      <c r="H466" t="s">
        <v>816</v>
      </c>
      <c r="I466" t="s">
        <v>814</v>
      </c>
      <c r="J466" s="5">
        <f>WEEKDAY(Table1_2[[#This Row],[Transaction date]])</f>
        <v>3</v>
      </c>
      <c r="K466"/>
    </row>
    <row r="467" spans="1:11" x14ac:dyDescent="0.45">
      <c r="A467" s="3">
        <v>39819</v>
      </c>
      <c r="B467" s="2">
        <v>0.53888888888888886</v>
      </c>
      <c r="C467" t="s">
        <v>1738</v>
      </c>
      <c r="D467" t="s">
        <v>10</v>
      </c>
      <c r="E467">
        <v>1200</v>
      </c>
      <c r="F467" t="s">
        <v>11</v>
      </c>
      <c r="G467" t="s">
        <v>817</v>
      </c>
      <c r="H467" t="s">
        <v>818</v>
      </c>
      <c r="I467" t="s">
        <v>814</v>
      </c>
      <c r="J467" s="5">
        <f>WEEKDAY(Table1_2[[#This Row],[Transaction date]])</f>
        <v>3</v>
      </c>
      <c r="K467"/>
    </row>
    <row r="468" spans="1:11" x14ac:dyDescent="0.45">
      <c r="A468" s="3">
        <v>39815</v>
      </c>
      <c r="B468" s="2">
        <v>0.12291666666666666</v>
      </c>
      <c r="C468" t="s">
        <v>1737</v>
      </c>
      <c r="D468" t="s">
        <v>10</v>
      </c>
      <c r="E468">
        <v>1200</v>
      </c>
      <c r="F468" t="s">
        <v>11</v>
      </c>
      <c r="G468" t="s">
        <v>819</v>
      </c>
      <c r="H468" t="s">
        <v>816</v>
      </c>
      <c r="I468" t="s">
        <v>814</v>
      </c>
      <c r="J468" s="5">
        <f>WEEKDAY(Table1_2[[#This Row],[Transaction date]])</f>
        <v>6</v>
      </c>
      <c r="K468"/>
    </row>
    <row r="469" spans="1:11" x14ac:dyDescent="0.45">
      <c r="A469" s="3">
        <v>39822</v>
      </c>
      <c r="B469" s="2">
        <v>0.16527777777777777</v>
      </c>
      <c r="C469" t="s">
        <v>1737</v>
      </c>
      <c r="D469" t="s">
        <v>10</v>
      </c>
      <c r="E469">
        <v>1200</v>
      </c>
      <c r="F469" t="s">
        <v>16</v>
      </c>
      <c r="G469" t="s">
        <v>820</v>
      </c>
      <c r="H469" t="s">
        <v>821</v>
      </c>
      <c r="I469" t="s">
        <v>814</v>
      </c>
      <c r="J469" s="5">
        <f>WEEKDAY(Table1_2[[#This Row],[Transaction date]])</f>
        <v>6</v>
      </c>
      <c r="K469"/>
    </row>
    <row r="470" spans="1:11" x14ac:dyDescent="0.45">
      <c r="A470" s="3">
        <v>39815</v>
      </c>
      <c r="B470" s="2">
        <v>0.25486111111111109</v>
      </c>
      <c r="C470" t="s">
        <v>1737</v>
      </c>
      <c r="D470" t="s">
        <v>10</v>
      </c>
      <c r="E470">
        <v>1200</v>
      </c>
      <c r="F470" t="s">
        <v>11</v>
      </c>
      <c r="G470" t="s">
        <v>307</v>
      </c>
      <c r="H470" t="s">
        <v>822</v>
      </c>
      <c r="I470" t="s">
        <v>814</v>
      </c>
      <c r="J470" s="5">
        <f>WEEKDAY(Table1_2[[#This Row],[Transaction date]])</f>
        <v>6</v>
      </c>
      <c r="K470"/>
    </row>
    <row r="471" spans="1:11" x14ac:dyDescent="0.45">
      <c r="A471" s="3">
        <v>39817</v>
      </c>
      <c r="B471" s="2">
        <v>8.0555555555555561E-2</v>
      </c>
      <c r="C471" t="s">
        <v>1737</v>
      </c>
      <c r="D471" t="s">
        <v>10</v>
      </c>
      <c r="E471">
        <v>1200</v>
      </c>
      <c r="F471" t="s">
        <v>16</v>
      </c>
      <c r="G471" t="s">
        <v>823</v>
      </c>
      <c r="H471" t="s">
        <v>824</v>
      </c>
      <c r="I471" t="s">
        <v>814</v>
      </c>
      <c r="J471" s="5">
        <f>WEEKDAY(Table1_2[[#This Row],[Transaction date]])</f>
        <v>1</v>
      </c>
      <c r="K471"/>
    </row>
    <row r="472" spans="1:11" x14ac:dyDescent="0.45">
      <c r="A472" s="3">
        <v>39825</v>
      </c>
      <c r="B472" s="2">
        <v>0.22083333333333333</v>
      </c>
      <c r="C472" t="s">
        <v>1737</v>
      </c>
      <c r="D472" t="s">
        <v>10</v>
      </c>
      <c r="E472">
        <v>1200</v>
      </c>
      <c r="F472" t="s">
        <v>16</v>
      </c>
      <c r="G472" t="s">
        <v>825</v>
      </c>
      <c r="H472" t="s">
        <v>826</v>
      </c>
      <c r="I472" t="s">
        <v>814</v>
      </c>
      <c r="J472" s="5">
        <f>WEEKDAY(Table1_2[[#This Row],[Transaction date]])</f>
        <v>2</v>
      </c>
      <c r="K472"/>
    </row>
    <row r="473" spans="1:11" x14ac:dyDescent="0.45">
      <c r="A473" s="3">
        <v>39824</v>
      </c>
      <c r="B473" s="2">
        <v>0.44305555555555554</v>
      </c>
      <c r="C473" t="s">
        <v>1737</v>
      </c>
      <c r="D473" t="s">
        <v>10</v>
      </c>
      <c r="E473">
        <v>1200</v>
      </c>
      <c r="F473" t="s">
        <v>16</v>
      </c>
      <c r="G473" t="s">
        <v>827</v>
      </c>
      <c r="H473" t="s">
        <v>828</v>
      </c>
      <c r="I473" t="s">
        <v>814</v>
      </c>
      <c r="J473" s="5">
        <f>WEEKDAY(Table1_2[[#This Row],[Transaction date]])</f>
        <v>1</v>
      </c>
      <c r="K473"/>
    </row>
    <row r="474" spans="1:11" x14ac:dyDescent="0.45">
      <c r="A474" s="3">
        <v>39823</v>
      </c>
      <c r="B474" s="2">
        <v>8.5416666666666669E-2</v>
      </c>
      <c r="C474" t="s">
        <v>1737</v>
      </c>
      <c r="D474" t="s">
        <v>10</v>
      </c>
      <c r="E474">
        <v>1200</v>
      </c>
      <c r="F474" t="s">
        <v>16</v>
      </c>
      <c r="G474" t="s">
        <v>802</v>
      </c>
      <c r="H474" t="s">
        <v>830</v>
      </c>
      <c r="I474" t="s">
        <v>814</v>
      </c>
      <c r="J474" s="5">
        <f>WEEKDAY(Table1_2[[#This Row],[Transaction date]])</f>
        <v>7</v>
      </c>
      <c r="K474"/>
    </row>
    <row r="475" spans="1:11" x14ac:dyDescent="0.45">
      <c r="A475" s="3">
        <v>39821</v>
      </c>
      <c r="B475" s="2">
        <v>0.30972222222222223</v>
      </c>
      <c r="C475" t="s">
        <v>1737</v>
      </c>
      <c r="D475" t="s">
        <v>10</v>
      </c>
      <c r="E475">
        <v>1200</v>
      </c>
      <c r="F475" t="s">
        <v>16</v>
      </c>
      <c r="G475" t="s">
        <v>831</v>
      </c>
      <c r="H475" t="s">
        <v>832</v>
      </c>
      <c r="I475" t="s">
        <v>814</v>
      </c>
      <c r="J475" s="5">
        <f>WEEKDAY(Table1_2[[#This Row],[Transaction date]])</f>
        <v>5</v>
      </c>
      <c r="K475"/>
    </row>
    <row r="476" spans="1:11" x14ac:dyDescent="0.45">
      <c r="A476" s="3">
        <v>39828</v>
      </c>
      <c r="B476" s="2">
        <v>0.43333333333333335</v>
      </c>
      <c r="C476" t="s">
        <v>1737</v>
      </c>
      <c r="D476" t="s">
        <v>10</v>
      </c>
      <c r="E476">
        <v>1200</v>
      </c>
      <c r="F476" t="s">
        <v>11</v>
      </c>
      <c r="G476" t="s">
        <v>833</v>
      </c>
      <c r="H476" t="s">
        <v>834</v>
      </c>
      <c r="I476" t="s">
        <v>814</v>
      </c>
      <c r="J476" s="5">
        <f>WEEKDAY(Table1_2[[#This Row],[Transaction date]])</f>
        <v>5</v>
      </c>
      <c r="K476"/>
    </row>
    <row r="477" spans="1:11" x14ac:dyDescent="0.45">
      <c r="A477" s="3">
        <v>39822</v>
      </c>
      <c r="B477" s="2">
        <v>0.14722222222222223</v>
      </c>
      <c r="C477" t="s">
        <v>1737</v>
      </c>
      <c r="D477" t="s">
        <v>10</v>
      </c>
      <c r="E477">
        <v>1200</v>
      </c>
      <c r="F477" t="s">
        <v>16</v>
      </c>
      <c r="G477" t="s">
        <v>81</v>
      </c>
      <c r="H477" t="s">
        <v>835</v>
      </c>
      <c r="I477" t="s">
        <v>814</v>
      </c>
      <c r="J477" s="5">
        <f>WEEKDAY(Table1_2[[#This Row],[Transaction date]])</f>
        <v>6</v>
      </c>
      <c r="K477"/>
    </row>
    <row r="478" spans="1:11" x14ac:dyDescent="0.45">
      <c r="A478" s="3">
        <v>39831</v>
      </c>
      <c r="B478" s="2">
        <v>0.48194444444444445</v>
      </c>
      <c r="C478" t="s">
        <v>1737</v>
      </c>
      <c r="D478" t="s">
        <v>20</v>
      </c>
      <c r="E478">
        <v>100000</v>
      </c>
      <c r="F478" t="s">
        <v>11</v>
      </c>
      <c r="G478" t="s">
        <v>787</v>
      </c>
      <c r="H478" t="s">
        <v>836</v>
      </c>
      <c r="I478" t="s">
        <v>814</v>
      </c>
      <c r="J478" s="5">
        <f>WEEKDAY(Table1_2[[#This Row],[Transaction date]])</f>
        <v>1</v>
      </c>
      <c r="K478"/>
    </row>
    <row r="479" spans="1:11" x14ac:dyDescent="0.45">
      <c r="A479" s="3">
        <v>39831</v>
      </c>
      <c r="B479" s="2">
        <v>0.19305555555555556</v>
      </c>
      <c r="C479" t="s">
        <v>1737</v>
      </c>
      <c r="D479" t="s">
        <v>10</v>
      </c>
      <c r="E479">
        <v>1200</v>
      </c>
      <c r="F479" t="s">
        <v>11</v>
      </c>
      <c r="G479" t="s">
        <v>322</v>
      </c>
      <c r="H479" t="s">
        <v>837</v>
      </c>
      <c r="I479" t="s">
        <v>814</v>
      </c>
      <c r="J479" s="5">
        <f>WEEKDAY(Table1_2[[#This Row],[Transaction date]])</f>
        <v>1</v>
      </c>
      <c r="K479"/>
    </row>
    <row r="480" spans="1:11" x14ac:dyDescent="0.45">
      <c r="A480" s="3">
        <v>39832</v>
      </c>
      <c r="B480" s="2">
        <v>0.46666666666666667</v>
      </c>
      <c r="C480" t="s">
        <v>1737</v>
      </c>
      <c r="D480" t="s">
        <v>10</v>
      </c>
      <c r="E480">
        <v>1200</v>
      </c>
      <c r="F480" t="s">
        <v>11</v>
      </c>
      <c r="G480" t="s">
        <v>133</v>
      </c>
      <c r="H480" t="s">
        <v>838</v>
      </c>
      <c r="I480" t="s">
        <v>814</v>
      </c>
      <c r="J480" s="5">
        <f>WEEKDAY(Table1_2[[#This Row],[Transaction date]])</f>
        <v>2</v>
      </c>
      <c r="K480"/>
    </row>
    <row r="481" spans="1:11" x14ac:dyDescent="0.45">
      <c r="A481" s="3">
        <v>39833</v>
      </c>
      <c r="B481" s="2">
        <v>0.13263888888888889</v>
      </c>
      <c r="C481" t="s">
        <v>1737</v>
      </c>
      <c r="D481" t="s">
        <v>10</v>
      </c>
      <c r="E481">
        <v>1200</v>
      </c>
      <c r="F481" t="s">
        <v>11</v>
      </c>
      <c r="G481" t="s">
        <v>840</v>
      </c>
      <c r="H481" t="s">
        <v>841</v>
      </c>
      <c r="I481" t="s">
        <v>814</v>
      </c>
      <c r="J481" s="5">
        <f>WEEKDAY(Table1_2[[#This Row],[Transaction date]])</f>
        <v>3</v>
      </c>
      <c r="K481"/>
    </row>
    <row r="482" spans="1:11" x14ac:dyDescent="0.45">
      <c r="A482" s="3">
        <v>39833</v>
      </c>
      <c r="B482" s="2">
        <v>0.24305555555555555</v>
      </c>
      <c r="C482" t="s">
        <v>1737</v>
      </c>
      <c r="D482" t="s">
        <v>10</v>
      </c>
      <c r="E482">
        <v>1200</v>
      </c>
      <c r="F482" t="s">
        <v>11</v>
      </c>
      <c r="G482" t="s">
        <v>626</v>
      </c>
      <c r="H482" t="s">
        <v>842</v>
      </c>
      <c r="I482" t="s">
        <v>814</v>
      </c>
      <c r="J482" s="5">
        <f>WEEKDAY(Table1_2[[#This Row],[Transaction date]])</f>
        <v>3</v>
      </c>
      <c r="K482"/>
    </row>
    <row r="483" spans="1:11" x14ac:dyDescent="0.45">
      <c r="A483" s="3">
        <v>39816</v>
      </c>
      <c r="B483" s="2">
        <v>0.35347222222222224</v>
      </c>
      <c r="C483" t="s">
        <v>1737</v>
      </c>
      <c r="D483" t="s">
        <v>10</v>
      </c>
      <c r="E483">
        <v>1200</v>
      </c>
      <c r="F483" t="s">
        <v>11</v>
      </c>
      <c r="G483" t="s">
        <v>843</v>
      </c>
      <c r="H483" t="s">
        <v>844</v>
      </c>
      <c r="I483" t="s">
        <v>814</v>
      </c>
      <c r="J483" s="5">
        <f>WEEKDAY(Table1_2[[#This Row],[Transaction date]])</f>
        <v>7</v>
      </c>
      <c r="K483"/>
    </row>
    <row r="484" spans="1:11" x14ac:dyDescent="0.45">
      <c r="A484" s="3">
        <v>39834</v>
      </c>
      <c r="B484" s="2">
        <v>9.375E-2</v>
      </c>
      <c r="C484" t="s">
        <v>1737</v>
      </c>
      <c r="D484" t="s">
        <v>10</v>
      </c>
      <c r="E484">
        <v>1200</v>
      </c>
      <c r="F484" t="s">
        <v>11</v>
      </c>
      <c r="G484" t="s">
        <v>802</v>
      </c>
      <c r="H484" t="s">
        <v>816</v>
      </c>
      <c r="I484" t="s">
        <v>814</v>
      </c>
      <c r="J484" s="5">
        <f>WEEKDAY(Table1_2[[#This Row],[Transaction date]])</f>
        <v>4</v>
      </c>
      <c r="K484"/>
    </row>
    <row r="485" spans="1:11" x14ac:dyDescent="0.45">
      <c r="A485" s="3">
        <v>39819</v>
      </c>
      <c r="B485" s="2">
        <v>0.17916666666666667</v>
      </c>
      <c r="C485" t="s">
        <v>1737</v>
      </c>
      <c r="D485" t="s">
        <v>10</v>
      </c>
      <c r="E485">
        <v>1200</v>
      </c>
      <c r="F485" t="s">
        <v>11</v>
      </c>
      <c r="G485" t="s">
        <v>845</v>
      </c>
      <c r="H485" t="s">
        <v>846</v>
      </c>
      <c r="I485" t="s">
        <v>814</v>
      </c>
      <c r="J485" s="5">
        <f>WEEKDAY(Table1_2[[#This Row],[Transaction date]])</f>
        <v>3</v>
      </c>
      <c r="K485"/>
    </row>
    <row r="486" spans="1:11" x14ac:dyDescent="0.45">
      <c r="A486" s="3">
        <v>39827</v>
      </c>
      <c r="B486" s="2">
        <v>0.13125000000000001</v>
      </c>
      <c r="C486" t="s">
        <v>1737</v>
      </c>
      <c r="D486" t="s">
        <v>10</v>
      </c>
      <c r="E486">
        <v>1200</v>
      </c>
      <c r="F486" t="s">
        <v>16</v>
      </c>
      <c r="G486" t="s">
        <v>88</v>
      </c>
      <c r="H486" t="s">
        <v>847</v>
      </c>
      <c r="I486" t="s">
        <v>814</v>
      </c>
      <c r="J486" s="5">
        <f>WEEKDAY(Table1_2[[#This Row],[Transaction date]])</f>
        <v>4</v>
      </c>
      <c r="K486"/>
    </row>
    <row r="487" spans="1:11" x14ac:dyDescent="0.45">
      <c r="A487" s="3">
        <v>39837</v>
      </c>
      <c r="B487" s="2">
        <v>0.37569444444444444</v>
      </c>
      <c r="C487" t="s">
        <v>1737</v>
      </c>
      <c r="D487" t="s">
        <v>20</v>
      </c>
      <c r="E487">
        <v>100000</v>
      </c>
      <c r="F487" t="s">
        <v>11</v>
      </c>
      <c r="G487" t="s">
        <v>464</v>
      </c>
      <c r="H487" t="s">
        <v>848</v>
      </c>
      <c r="I487" t="s">
        <v>814</v>
      </c>
      <c r="J487" s="5">
        <f>WEEKDAY(Table1_2[[#This Row],[Transaction date]])</f>
        <v>7</v>
      </c>
      <c r="K487"/>
    </row>
    <row r="488" spans="1:11" x14ac:dyDescent="0.45">
      <c r="A488" s="3">
        <v>39824</v>
      </c>
      <c r="B488" s="2">
        <v>0.2986111111111111</v>
      </c>
      <c r="C488" t="s">
        <v>1737</v>
      </c>
      <c r="D488" t="s">
        <v>20</v>
      </c>
      <c r="E488">
        <v>100000</v>
      </c>
      <c r="F488" t="s">
        <v>11</v>
      </c>
      <c r="G488" t="s">
        <v>849</v>
      </c>
      <c r="H488" t="s">
        <v>850</v>
      </c>
      <c r="I488" t="s">
        <v>814</v>
      </c>
      <c r="J488" s="5">
        <f>WEEKDAY(Table1_2[[#This Row],[Transaction date]])</f>
        <v>1</v>
      </c>
      <c r="K488"/>
    </row>
    <row r="489" spans="1:11" x14ac:dyDescent="0.45">
      <c r="A489" s="3">
        <v>39824</v>
      </c>
      <c r="B489" s="2">
        <v>0.16597222222222222</v>
      </c>
      <c r="C489" t="s">
        <v>1737</v>
      </c>
      <c r="D489" t="s">
        <v>10</v>
      </c>
      <c r="E489">
        <v>1200</v>
      </c>
      <c r="F489" t="s">
        <v>11</v>
      </c>
      <c r="G489" t="s">
        <v>851</v>
      </c>
      <c r="H489" t="s">
        <v>852</v>
      </c>
      <c r="I489" t="s">
        <v>814</v>
      </c>
      <c r="J489" s="5">
        <f>WEEKDAY(Table1_2[[#This Row],[Transaction date]])</f>
        <v>1</v>
      </c>
      <c r="K489"/>
    </row>
    <row r="490" spans="1:11" x14ac:dyDescent="0.45">
      <c r="A490" s="3">
        <v>39814</v>
      </c>
      <c r="B490" s="2">
        <v>0.38958333333333334</v>
      </c>
      <c r="C490" t="s">
        <v>1737</v>
      </c>
      <c r="D490" t="s">
        <v>10</v>
      </c>
      <c r="E490">
        <v>1200</v>
      </c>
      <c r="F490" t="s">
        <v>16</v>
      </c>
      <c r="G490" t="s">
        <v>853</v>
      </c>
      <c r="H490" t="s">
        <v>854</v>
      </c>
      <c r="I490" t="s">
        <v>814</v>
      </c>
      <c r="J490" s="5">
        <f>WEEKDAY(Table1_2[[#This Row],[Transaction date]])</f>
        <v>5</v>
      </c>
      <c r="K490"/>
    </row>
    <row r="491" spans="1:11" x14ac:dyDescent="0.45">
      <c r="A491" s="3">
        <v>39824</v>
      </c>
      <c r="B491" s="2">
        <v>0.48333333333333334</v>
      </c>
      <c r="C491" t="s">
        <v>1737</v>
      </c>
      <c r="D491" t="s">
        <v>10</v>
      </c>
      <c r="E491">
        <v>1200</v>
      </c>
      <c r="F491" t="s">
        <v>16</v>
      </c>
      <c r="G491" t="s">
        <v>855</v>
      </c>
      <c r="H491" t="s">
        <v>816</v>
      </c>
      <c r="I491" t="s">
        <v>814</v>
      </c>
      <c r="J491" s="5">
        <f>WEEKDAY(Table1_2[[#This Row],[Transaction date]])</f>
        <v>1</v>
      </c>
      <c r="K491"/>
    </row>
    <row r="492" spans="1:11" x14ac:dyDescent="0.45">
      <c r="A492" s="3">
        <v>39820</v>
      </c>
      <c r="B492" s="2">
        <v>0.19791666666666666</v>
      </c>
      <c r="C492" t="s">
        <v>1737</v>
      </c>
      <c r="D492" t="s">
        <v>10</v>
      </c>
      <c r="E492">
        <v>1200</v>
      </c>
      <c r="F492" t="s">
        <v>63</v>
      </c>
      <c r="G492" t="s">
        <v>817</v>
      </c>
      <c r="H492" t="s">
        <v>816</v>
      </c>
      <c r="I492" t="s">
        <v>814</v>
      </c>
      <c r="J492" s="5">
        <f>WEEKDAY(Table1_2[[#This Row],[Transaction date]])</f>
        <v>4</v>
      </c>
      <c r="K492"/>
    </row>
    <row r="493" spans="1:11" x14ac:dyDescent="0.45">
      <c r="A493" s="3">
        <v>39839</v>
      </c>
      <c r="B493" s="2">
        <v>0.37361111111111112</v>
      </c>
      <c r="C493" t="s">
        <v>1737</v>
      </c>
      <c r="D493" t="s">
        <v>10</v>
      </c>
      <c r="E493">
        <v>1200</v>
      </c>
      <c r="F493" t="s">
        <v>16</v>
      </c>
      <c r="G493" t="s">
        <v>856</v>
      </c>
      <c r="H493" t="s">
        <v>816</v>
      </c>
      <c r="I493" t="s">
        <v>814</v>
      </c>
      <c r="J493" s="5">
        <f>WEEKDAY(Table1_2[[#This Row],[Transaction date]])</f>
        <v>2</v>
      </c>
      <c r="K493"/>
    </row>
    <row r="494" spans="1:11" x14ac:dyDescent="0.45">
      <c r="A494" s="3">
        <v>39818</v>
      </c>
      <c r="B494" s="2">
        <v>0.23125000000000001</v>
      </c>
      <c r="C494" t="s">
        <v>1737</v>
      </c>
      <c r="D494" t="s">
        <v>10</v>
      </c>
      <c r="E494">
        <v>1200</v>
      </c>
      <c r="F494" t="s">
        <v>16</v>
      </c>
      <c r="G494" t="s">
        <v>454</v>
      </c>
      <c r="H494" t="s">
        <v>816</v>
      </c>
      <c r="I494" t="s">
        <v>814</v>
      </c>
      <c r="J494" s="5">
        <f>WEEKDAY(Table1_2[[#This Row],[Transaction date]])</f>
        <v>2</v>
      </c>
      <c r="K494"/>
    </row>
    <row r="495" spans="1:11" x14ac:dyDescent="0.45">
      <c r="A495" s="3">
        <v>39840</v>
      </c>
      <c r="B495" s="2">
        <v>0.21527777777777779</v>
      </c>
      <c r="C495" t="s">
        <v>1737</v>
      </c>
      <c r="D495" t="s">
        <v>10</v>
      </c>
      <c r="E495">
        <v>1200</v>
      </c>
      <c r="F495" t="s">
        <v>11</v>
      </c>
      <c r="G495" t="s">
        <v>857</v>
      </c>
      <c r="H495" t="s">
        <v>858</v>
      </c>
      <c r="I495" t="s">
        <v>814</v>
      </c>
      <c r="J495" s="5">
        <f>WEEKDAY(Table1_2[[#This Row],[Transaction date]])</f>
        <v>3</v>
      </c>
      <c r="K495"/>
    </row>
    <row r="496" spans="1:11" x14ac:dyDescent="0.45">
      <c r="A496" s="3">
        <v>39815</v>
      </c>
      <c r="B496" s="2">
        <v>0.13750000000000001</v>
      </c>
      <c r="C496" t="s">
        <v>1737</v>
      </c>
      <c r="D496" t="s">
        <v>10</v>
      </c>
      <c r="E496">
        <v>1200</v>
      </c>
      <c r="F496" t="s">
        <v>16</v>
      </c>
      <c r="G496" t="s">
        <v>646</v>
      </c>
      <c r="H496" t="s">
        <v>859</v>
      </c>
      <c r="I496" t="s">
        <v>814</v>
      </c>
      <c r="J496" s="5">
        <f>WEEKDAY(Table1_2[[#This Row],[Transaction date]])</f>
        <v>6</v>
      </c>
      <c r="K496"/>
    </row>
    <row r="497" spans="1:11" x14ac:dyDescent="0.45">
      <c r="A497" s="3">
        <v>39841</v>
      </c>
      <c r="B497" s="2">
        <v>0.29652777777777778</v>
      </c>
      <c r="C497" t="s">
        <v>1737</v>
      </c>
      <c r="D497" t="s">
        <v>10</v>
      </c>
      <c r="E497">
        <v>1200</v>
      </c>
      <c r="F497" t="s">
        <v>11</v>
      </c>
      <c r="G497" t="s">
        <v>802</v>
      </c>
      <c r="H497" t="s">
        <v>860</v>
      </c>
      <c r="I497" t="s">
        <v>814</v>
      </c>
      <c r="J497" s="5">
        <f>WEEKDAY(Table1_2[[#This Row],[Transaction date]])</f>
        <v>4</v>
      </c>
      <c r="K497"/>
    </row>
    <row r="498" spans="1:11" x14ac:dyDescent="0.45">
      <c r="A498" s="3">
        <v>39837</v>
      </c>
      <c r="B498" s="2">
        <v>0.1673611111111111</v>
      </c>
      <c r="C498" t="s">
        <v>1737</v>
      </c>
      <c r="D498" t="s">
        <v>10</v>
      </c>
      <c r="E498">
        <v>1200</v>
      </c>
      <c r="F498" t="s">
        <v>11</v>
      </c>
      <c r="G498" t="s">
        <v>861</v>
      </c>
      <c r="H498" t="s">
        <v>862</v>
      </c>
      <c r="I498" t="s">
        <v>814</v>
      </c>
      <c r="J498" s="5">
        <f>WEEKDAY(Table1_2[[#This Row],[Transaction date]])</f>
        <v>7</v>
      </c>
      <c r="K498"/>
    </row>
    <row r="499" spans="1:11" x14ac:dyDescent="0.45">
      <c r="A499" s="3">
        <v>39815</v>
      </c>
      <c r="B499" s="2">
        <v>0.21805555555555556</v>
      </c>
      <c r="C499" t="s">
        <v>1737</v>
      </c>
      <c r="D499" t="s">
        <v>10</v>
      </c>
      <c r="E499">
        <v>1200</v>
      </c>
      <c r="F499" t="s">
        <v>11</v>
      </c>
      <c r="G499" t="s">
        <v>863</v>
      </c>
      <c r="H499" t="s">
        <v>864</v>
      </c>
      <c r="I499" t="s">
        <v>814</v>
      </c>
      <c r="J499" s="5">
        <f>WEEKDAY(Table1_2[[#This Row],[Transaction date]])</f>
        <v>6</v>
      </c>
      <c r="K499"/>
    </row>
    <row r="500" spans="1:11" x14ac:dyDescent="0.45">
      <c r="A500" s="3">
        <v>39826</v>
      </c>
      <c r="B500" s="2">
        <v>0.34722222222222221</v>
      </c>
      <c r="C500" t="s">
        <v>1737</v>
      </c>
      <c r="D500" t="s">
        <v>10</v>
      </c>
      <c r="E500">
        <v>1200</v>
      </c>
      <c r="F500" t="s">
        <v>16</v>
      </c>
      <c r="G500" t="s">
        <v>865</v>
      </c>
      <c r="H500" t="s">
        <v>866</v>
      </c>
      <c r="I500" t="s">
        <v>814</v>
      </c>
      <c r="J500" s="5">
        <f>WEEKDAY(Table1_2[[#This Row],[Transaction date]])</f>
        <v>3</v>
      </c>
      <c r="K500"/>
    </row>
    <row r="501" spans="1:11" x14ac:dyDescent="0.45">
      <c r="A501" s="3">
        <v>39826</v>
      </c>
      <c r="B501" s="2">
        <v>0.47986111111111113</v>
      </c>
      <c r="C501" t="s">
        <v>1737</v>
      </c>
      <c r="D501" t="s">
        <v>10</v>
      </c>
      <c r="E501">
        <v>1200</v>
      </c>
      <c r="F501" t="s">
        <v>11</v>
      </c>
      <c r="G501" t="s">
        <v>867</v>
      </c>
      <c r="H501" t="s">
        <v>868</v>
      </c>
      <c r="I501" t="s">
        <v>814</v>
      </c>
      <c r="J501" s="5">
        <f>WEEKDAY(Table1_2[[#This Row],[Transaction date]])</f>
        <v>3</v>
      </c>
      <c r="K501"/>
    </row>
    <row r="502" spans="1:11" x14ac:dyDescent="0.45">
      <c r="A502" s="3">
        <v>39818</v>
      </c>
      <c r="B502" s="2">
        <v>0.47291666666666665</v>
      </c>
      <c r="C502" t="s">
        <v>1737</v>
      </c>
      <c r="D502" t="s">
        <v>10</v>
      </c>
      <c r="E502">
        <v>1200</v>
      </c>
      <c r="F502" t="s">
        <v>11</v>
      </c>
      <c r="G502" t="s">
        <v>869</v>
      </c>
      <c r="H502" t="s">
        <v>870</v>
      </c>
      <c r="I502" t="s">
        <v>814</v>
      </c>
      <c r="J502" s="5">
        <f>WEEKDAY(Table1_2[[#This Row],[Transaction date]])</f>
        <v>2</v>
      </c>
      <c r="K502"/>
    </row>
    <row r="503" spans="1:11" x14ac:dyDescent="0.45">
      <c r="A503" s="3">
        <v>39844</v>
      </c>
      <c r="B503" s="2">
        <v>0.38333333333333336</v>
      </c>
      <c r="C503" t="s">
        <v>1737</v>
      </c>
      <c r="D503" t="s">
        <v>10</v>
      </c>
      <c r="E503">
        <v>1200</v>
      </c>
      <c r="F503" t="s">
        <v>11</v>
      </c>
      <c r="G503" t="s">
        <v>871</v>
      </c>
      <c r="H503" t="s">
        <v>872</v>
      </c>
      <c r="I503" t="s">
        <v>814</v>
      </c>
      <c r="J503" s="5">
        <f>WEEKDAY(Table1_2[[#This Row],[Transaction date]])</f>
        <v>7</v>
      </c>
      <c r="K503"/>
    </row>
    <row r="504" spans="1:11" x14ac:dyDescent="0.45">
      <c r="A504" s="3">
        <v>39844</v>
      </c>
      <c r="B504" s="2">
        <v>0.375</v>
      </c>
      <c r="C504" t="s">
        <v>1737</v>
      </c>
      <c r="D504" t="s">
        <v>10</v>
      </c>
      <c r="E504">
        <v>1200</v>
      </c>
      <c r="F504" t="s">
        <v>11</v>
      </c>
      <c r="G504" t="s">
        <v>873</v>
      </c>
      <c r="H504" t="s">
        <v>816</v>
      </c>
      <c r="I504" t="s">
        <v>814</v>
      </c>
      <c r="J504" s="5">
        <f>WEEKDAY(Table1_2[[#This Row],[Transaction date]])</f>
        <v>7</v>
      </c>
      <c r="K504"/>
    </row>
    <row r="505" spans="1:11" x14ac:dyDescent="0.45">
      <c r="A505" s="3">
        <v>39835</v>
      </c>
      <c r="B505" s="2">
        <v>0.52222222222222225</v>
      </c>
      <c r="C505" t="s">
        <v>1738</v>
      </c>
      <c r="D505" t="s">
        <v>10</v>
      </c>
      <c r="E505">
        <v>1200</v>
      </c>
      <c r="F505" t="s">
        <v>16</v>
      </c>
      <c r="G505" t="s">
        <v>874</v>
      </c>
      <c r="H505" t="s">
        <v>816</v>
      </c>
      <c r="I505" t="s">
        <v>814</v>
      </c>
      <c r="J505" s="5">
        <f>WEEKDAY(Table1_2[[#This Row],[Transaction date]])</f>
        <v>5</v>
      </c>
      <c r="K505"/>
    </row>
    <row r="506" spans="1:11" x14ac:dyDescent="0.45">
      <c r="A506" s="3">
        <v>39839</v>
      </c>
      <c r="B506" s="2">
        <v>0.20347222222222222</v>
      </c>
      <c r="C506" t="s">
        <v>1737</v>
      </c>
      <c r="D506" t="s">
        <v>10</v>
      </c>
      <c r="E506">
        <v>1200</v>
      </c>
      <c r="F506" t="s">
        <v>11</v>
      </c>
      <c r="G506" t="s">
        <v>875</v>
      </c>
      <c r="H506" t="s">
        <v>816</v>
      </c>
      <c r="I506" t="s">
        <v>814</v>
      </c>
      <c r="J506" s="5">
        <f>WEEKDAY(Table1_2[[#This Row],[Transaction date]])</f>
        <v>2</v>
      </c>
      <c r="K506"/>
    </row>
    <row r="507" spans="1:11" x14ac:dyDescent="0.45">
      <c r="A507" s="3">
        <v>39822</v>
      </c>
      <c r="B507" s="2">
        <v>0.15138888888888888</v>
      </c>
      <c r="C507" t="s">
        <v>1737</v>
      </c>
      <c r="D507" t="s">
        <v>10</v>
      </c>
      <c r="E507">
        <v>1200</v>
      </c>
      <c r="F507" t="s">
        <v>11</v>
      </c>
      <c r="G507" t="s">
        <v>876</v>
      </c>
      <c r="H507" t="s">
        <v>877</v>
      </c>
      <c r="I507" t="s">
        <v>814</v>
      </c>
      <c r="J507" s="5">
        <f>WEEKDAY(Table1_2[[#This Row],[Transaction date]])</f>
        <v>6</v>
      </c>
      <c r="K507"/>
    </row>
    <row r="508" spans="1:11" x14ac:dyDescent="0.45">
      <c r="A508" s="3">
        <v>39818</v>
      </c>
      <c r="B508" s="2">
        <v>4.6527777777777779E-2</v>
      </c>
      <c r="C508" t="s">
        <v>1737</v>
      </c>
      <c r="D508" t="s">
        <v>10</v>
      </c>
      <c r="E508">
        <v>1200</v>
      </c>
      <c r="F508" t="s">
        <v>11</v>
      </c>
      <c r="G508" t="s">
        <v>231</v>
      </c>
      <c r="H508" t="s">
        <v>878</v>
      </c>
      <c r="I508" t="s">
        <v>814</v>
      </c>
      <c r="J508" s="5">
        <f>WEEKDAY(Table1_2[[#This Row],[Transaction date]])</f>
        <v>2</v>
      </c>
      <c r="K508"/>
    </row>
    <row r="509" spans="1:11" x14ac:dyDescent="0.45">
      <c r="A509" s="3">
        <v>39828</v>
      </c>
      <c r="B509" s="2">
        <v>0.14305555555555555</v>
      </c>
      <c r="C509" t="s">
        <v>1737</v>
      </c>
      <c r="D509" t="s">
        <v>10</v>
      </c>
      <c r="E509">
        <v>1200</v>
      </c>
      <c r="F509" t="s">
        <v>11</v>
      </c>
      <c r="G509" t="s">
        <v>419</v>
      </c>
      <c r="H509" t="s">
        <v>879</v>
      </c>
      <c r="I509" t="s">
        <v>814</v>
      </c>
      <c r="J509" s="5">
        <f>WEEKDAY(Table1_2[[#This Row],[Transaction date]])</f>
        <v>5</v>
      </c>
      <c r="K509"/>
    </row>
    <row r="510" spans="1:11" x14ac:dyDescent="0.45">
      <c r="A510" s="3">
        <v>39821</v>
      </c>
      <c r="B510" s="2">
        <v>0.34097222222222223</v>
      </c>
      <c r="C510" t="s">
        <v>1737</v>
      </c>
      <c r="D510" t="s">
        <v>10</v>
      </c>
      <c r="E510">
        <v>1200</v>
      </c>
      <c r="F510" t="s">
        <v>16</v>
      </c>
      <c r="G510" t="s">
        <v>547</v>
      </c>
      <c r="H510" t="s">
        <v>880</v>
      </c>
      <c r="I510" t="s">
        <v>814</v>
      </c>
      <c r="J510" s="5">
        <f>WEEKDAY(Table1_2[[#This Row],[Transaction date]])</f>
        <v>5</v>
      </c>
      <c r="K510"/>
    </row>
    <row r="511" spans="1:11" x14ac:dyDescent="0.45">
      <c r="A511" s="3">
        <v>39837</v>
      </c>
      <c r="B511" s="2">
        <v>0.43263888888888891</v>
      </c>
      <c r="C511" t="s">
        <v>1737</v>
      </c>
      <c r="D511" t="s">
        <v>10</v>
      </c>
      <c r="E511">
        <v>1200</v>
      </c>
      <c r="F511" t="s">
        <v>11</v>
      </c>
      <c r="G511" t="s">
        <v>881</v>
      </c>
      <c r="H511" t="s">
        <v>834</v>
      </c>
      <c r="I511" t="s">
        <v>814</v>
      </c>
      <c r="J511" s="5">
        <f>WEEKDAY(Table1_2[[#This Row],[Transaction date]])</f>
        <v>7</v>
      </c>
      <c r="K511"/>
    </row>
    <row r="512" spans="1:11" x14ac:dyDescent="0.45">
      <c r="A512" s="3">
        <v>39814</v>
      </c>
      <c r="B512" s="2">
        <v>0.16666666666666666</v>
      </c>
      <c r="C512" t="s">
        <v>1737</v>
      </c>
      <c r="D512" t="s">
        <v>10</v>
      </c>
      <c r="E512">
        <v>1200</v>
      </c>
      <c r="F512" t="s">
        <v>11</v>
      </c>
      <c r="G512" t="s">
        <v>882</v>
      </c>
      <c r="H512" t="s">
        <v>879</v>
      </c>
      <c r="I512" t="s">
        <v>814</v>
      </c>
      <c r="J512" s="5">
        <f>WEEKDAY(Table1_2[[#This Row],[Transaction date]])</f>
        <v>5</v>
      </c>
      <c r="K512"/>
    </row>
    <row r="513" spans="1:11" x14ac:dyDescent="0.45">
      <c r="A513" s="3">
        <v>39829</v>
      </c>
      <c r="B513" s="2">
        <v>0.53263888888888888</v>
      </c>
      <c r="C513" t="s">
        <v>1738</v>
      </c>
      <c r="D513" t="s">
        <v>10</v>
      </c>
      <c r="E513">
        <v>1200</v>
      </c>
      <c r="F513" t="s">
        <v>11</v>
      </c>
      <c r="G513" t="s">
        <v>883</v>
      </c>
      <c r="H513" t="s">
        <v>816</v>
      </c>
      <c r="I513" t="s">
        <v>814</v>
      </c>
      <c r="J513" s="5">
        <f>WEEKDAY(Table1_2[[#This Row],[Transaction date]])</f>
        <v>6</v>
      </c>
      <c r="K513"/>
    </row>
    <row r="514" spans="1:11" x14ac:dyDescent="0.45">
      <c r="A514" s="3">
        <v>39815</v>
      </c>
      <c r="B514" s="2">
        <v>0.32430555555555557</v>
      </c>
      <c r="C514" t="s">
        <v>1737</v>
      </c>
      <c r="D514" t="s">
        <v>10</v>
      </c>
      <c r="E514">
        <v>1200</v>
      </c>
      <c r="F514" t="s">
        <v>16</v>
      </c>
      <c r="G514" t="s">
        <v>884</v>
      </c>
      <c r="H514" t="s">
        <v>816</v>
      </c>
      <c r="I514" t="s">
        <v>814</v>
      </c>
      <c r="J514" s="5">
        <f>WEEKDAY(Table1_2[[#This Row],[Transaction date]])</f>
        <v>6</v>
      </c>
      <c r="K514"/>
    </row>
    <row r="515" spans="1:11" x14ac:dyDescent="0.45">
      <c r="A515" s="3">
        <v>39823</v>
      </c>
      <c r="B515" s="2">
        <v>0.34236111111111112</v>
      </c>
      <c r="C515" t="s">
        <v>1737</v>
      </c>
      <c r="D515" t="s">
        <v>10</v>
      </c>
      <c r="E515">
        <v>1200</v>
      </c>
      <c r="F515" t="s">
        <v>16</v>
      </c>
      <c r="G515" t="s">
        <v>387</v>
      </c>
      <c r="H515" t="s">
        <v>846</v>
      </c>
      <c r="I515" t="s">
        <v>814</v>
      </c>
      <c r="J515" s="5">
        <f>WEEKDAY(Table1_2[[#This Row],[Transaction date]])</f>
        <v>7</v>
      </c>
      <c r="K515"/>
    </row>
    <row r="516" spans="1:11" x14ac:dyDescent="0.45">
      <c r="A516" s="3">
        <v>39840</v>
      </c>
      <c r="B516" s="2">
        <v>0.10555555555555556</v>
      </c>
      <c r="C516" t="s">
        <v>1737</v>
      </c>
      <c r="D516" t="s">
        <v>10</v>
      </c>
      <c r="E516">
        <v>1200</v>
      </c>
      <c r="F516" t="s">
        <v>11</v>
      </c>
      <c r="G516" t="s">
        <v>885</v>
      </c>
      <c r="H516" t="s">
        <v>886</v>
      </c>
      <c r="I516" t="s">
        <v>814</v>
      </c>
      <c r="J516" s="5">
        <f>WEEKDAY(Table1_2[[#This Row],[Transaction date]])</f>
        <v>3</v>
      </c>
      <c r="K516"/>
    </row>
    <row r="517" spans="1:11" x14ac:dyDescent="0.45">
      <c r="A517" s="3">
        <v>39831</v>
      </c>
      <c r="B517" s="2">
        <v>6.6666666666666666E-2</v>
      </c>
      <c r="C517" t="s">
        <v>1737</v>
      </c>
      <c r="D517" t="s">
        <v>10</v>
      </c>
      <c r="E517">
        <v>1200</v>
      </c>
      <c r="F517" t="s">
        <v>63</v>
      </c>
      <c r="G517" t="s">
        <v>887</v>
      </c>
      <c r="H517" t="s">
        <v>816</v>
      </c>
      <c r="I517" t="s">
        <v>814</v>
      </c>
      <c r="J517" s="5">
        <f>WEEKDAY(Table1_2[[#This Row],[Transaction date]])</f>
        <v>1</v>
      </c>
      <c r="K517"/>
    </row>
    <row r="518" spans="1:11" x14ac:dyDescent="0.45">
      <c r="A518" s="3">
        <v>39831</v>
      </c>
      <c r="B518" s="2">
        <v>0.48749999999999999</v>
      </c>
      <c r="C518" t="s">
        <v>1737</v>
      </c>
      <c r="D518" t="s">
        <v>10</v>
      </c>
      <c r="E518">
        <v>1200</v>
      </c>
      <c r="F518" t="s">
        <v>11</v>
      </c>
      <c r="G518" t="s">
        <v>888</v>
      </c>
      <c r="H518" t="s">
        <v>889</v>
      </c>
      <c r="I518" t="s">
        <v>814</v>
      </c>
      <c r="J518" s="5">
        <f>WEEKDAY(Table1_2[[#This Row],[Transaction date]])</f>
        <v>1</v>
      </c>
      <c r="K518"/>
    </row>
    <row r="519" spans="1:11" x14ac:dyDescent="0.45">
      <c r="A519" s="3">
        <v>39843</v>
      </c>
      <c r="B519" s="2">
        <v>0.49722222222222223</v>
      </c>
      <c r="C519" t="s">
        <v>1737</v>
      </c>
      <c r="D519" t="s">
        <v>10</v>
      </c>
      <c r="E519">
        <v>1200</v>
      </c>
      <c r="F519" t="s">
        <v>16</v>
      </c>
      <c r="G519" t="s">
        <v>444</v>
      </c>
      <c r="H519" t="s">
        <v>890</v>
      </c>
      <c r="I519" t="s">
        <v>814</v>
      </c>
      <c r="J519" s="5">
        <f>WEEKDAY(Table1_2[[#This Row],[Transaction date]])</f>
        <v>6</v>
      </c>
      <c r="K519"/>
    </row>
    <row r="520" spans="1:11" x14ac:dyDescent="0.45">
      <c r="A520" s="3">
        <v>39827</v>
      </c>
      <c r="B520" s="2">
        <v>6.1111111111111109E-2</v>
      </c>
      <c r="C520" t="s">
        <v>1737</v>
      </c>
      <c r="D520" t="s">
        <v>10</v>
      </c>
      <c r="E520">
        <v>1200</v>
      </c>
      <c r="F520" t="s">
        <v>16</v>
      </c>
      <c r="G520" t="s">
        <v>815</v>
      </c>
      <c r="H520" t="s">
        <v>844</v>
      </c>
      <c r="I520" t="s">
        <v>814</v>
      </c>
      <c r="J520" s="5">
        <f>WEEKDAY(Table1_2[[#This Row],[Transaction date]])</f>
        <v>4</v>
      </c>
      <c r="K520"/>
    </row>
    <row r="521" spans="1:11" x14ac:dyDescent="0.45">
      <c r="A521" s="3">
        <v>39818</v>
      </c>
      <c r="B521" s="2">
        <v>0.14097222222222222</v>
      </c>
      <c r="C521" t="s">
        <v>1737</v>
      </c>
      <c r="D521" t="s">
        <v>10</v>
      </c>
      <c r="E521">
        <v>1200</v>
      </c>
      <c r="F521" t="s">
        <v>11</v>
      </c>
      <c r="G521" t="s">
        <v>891</v>
      </c>
      <c r="H521" t="s">
        <v>892</v>
      </c>
      <c r="I521" t="s">
        <v>814</v>
      </c>
      <c r="J521" s="5">
        <f>WEEKDAY(Table1_2[[#This Row],[Transaction date]])</f>
        <v>2</v>
      </c>
      <c r="K521"/>
    </row>
    <row r="522" spans="1:11" x14ac:dyDescent="0.45">
      <c r="A522" s="3">
        <v>39837</v>
      </c>
      <c r="B522" s="2">
        <v>0.30416666666666664</v>
      </c>
      <c r="C522" t="s">
        <v>1737</v>
      </c>
      <c r="D522" t="s">
        <v>20</v>
      </c>
      <c r="E522">
        <v>100000</v>
      </c>
      <c r="F522" t="s">
        <v>11</v>
      </c>
      <c r="G522" t="s">
        <v>450</v>
      </c>
      <c r="H522" t="s">
        <v>848</v>
      </c>
      <c r="I522" t="s">
        <v>814</v>
      </c>
      <c r="J522" s="5">
        <f>WEEKDAY(Table1_2[[#This Row],[Transaction date]])</f>
        <v>7</v>
      </c>
      <c r="K522"/>
    </row>
    <row r="523" spans="1:11" x14ac:dyDescent="0.45">
      <c r="A523" s="3">
        <v>39827</v>
      </c>
      <c r="B523" s="2">
        <v>0.5229166666666667</v>
      </c>
      <c r="C523" t="s">
        <v>1738</v>
      </c>
      <c r="D523" t="s">
        <v>10</v>
      </c>
      <c r="E523">
        <v>1200</v>
      </c>
      <c r="F523" t="s">
        <v>11</v>
      </c>
      <c r="G523" t="s">
        <v>893</v>
      </c>
      <c r="H523" t="s">
        <v>894</v>
      </c>
      <c r="I523" t="s">
        <v>814</v>
      </c>
      <c r="J523" s="5">
        <f>WEEKDAY(Table1_2[[#This Row],[Transaction date]])</f>
        <v>4</v>
      </c>
      <c r="K523"/>
    </row>
    <row r="524" spans="1:11" x14ac:dyDescent="0.45">
      <c r="A524" s="3">
        <v>39814</v>
      </c>
      <c r="B524" s="2">
        <v>0.52916666666666667</v>
      </c>
      <c r="C524" t="s">
        <v>1738</v>
      </c>
      <c r="D524" t="s">
        <v>10</v>
      </c>
      <c r="E524">
        <v>1200</v>
      </c>
      <c r="F524" t="s">
        <v>11</v>
      </c>
      <c r="G524" t="s">
        <v>895</v>
      </c>
      <c r="H524" t="s">
        <v>896</v>
      </c>
      <c r="I524" t="s">
        <v>814</v>
      </c>
      <c r="J524" s="5">
        <f>WEEKDAY(Table1_2[[#This Row],[Transaction date]])</f>
        <v>5</v>
      </c>
      <c r="K524"/>
    </row>
    <row r="525" spans="1:11" x14ac:dyDescent="0.45">
      <c r="A525" s="3">
        <v>39828</v>
      </c>
      <c r="B525" s="2">
        <v>0.21597222222222223</v>
      </c>
      <c r="C525" t="s">
        <v>1737</v>
      </c>
      <c r="D525" t="s">
        <v>20</v>
      </c>
      <c r="E525">
        <v>100000</v>
      </c>
      <c r="F525" t="s">
        <v>11</v>
      </c>
      <c r="G525" t="s">
        <v>446</v>
      </c>
      <c r="H525" t="s">
        <v>816</v>
      </c>
      <c r="I525" t="s">
        <v>814</v>
      </c>
      <c r="J525" s="5">
        <f>WEEKDAY(Table1_2[[#This Row],[Transaction date]])</f>
        <v>5</v>
      </c>
      <c r="K525"/>
    </row>
    <row r="526" spans="1:11" x14ac:dyDescent="0.45">
      <c r="A526" s="3">
        <v>39832</v>
      </c>
      <c r="B526" s="2">
        <v>0.42569444444444443</v>
      </c>
      <c r="C526" t="s">
        <v>1737</v>
      </c>
      <c r="D526" t="s">
        <v>20</v>
      </c>
      <c r="E526">
        <v>100000</v>
      </c>
      <c r="F526" t="s">
        <v>16</v>
      </c>
      <c r="G526" t="s">
        <v>897</v>
      </c>
      <c r="H526" t="s">
        <v>816</v>
      </c>
      <c r="I526" t="s">
        <v>814</v>
      </c>
      <c r="J526" s="5">
        <f>WEEKDAY(Table1_2[[#This Row],[Transaction date]])</f>
        <v>2</v>
      </c>
      <c r="K526"/>
    </row>
    <row r="527" spans="1:11" x14ac:dyDescent="0.45">
      <c r="A527" s="3">
        <v>39821</v>
      </c>
      <c r="B527" s="2">
        <v>0.1451388888888889</v>
      </c>
      <c r="C527" t="s">
        <v>1737</v>
      </c>
      <c r="D527" t="s">
        <v>10</v>
      </c>
      <c r="E527">
        <v>1200</v>
      </c>
      <c r="F527" t="s">
        <v>11</v>
      </c>
      <c r="G527" t="s">
        <v>588</v>
      </c>
      <c r="H527" t="s">
        <v>898</v>
      </c>
      <c r="I527" t="s">
        <v>814</v>
      </c>
      <c r="J527" s="5">
        <f>WEEKDAY(Table1_2[[#This Row],[Transaction date]])</f>
        <v>5</v>
      </c>
      <c r="K527"/>
    </row>
    <row r="528" spans="1:11" x14ac:dyDescent="0.45">
      <c r="A528" s="3">
        <v>39820</v>
      </c>
      <c r="B528" s="2">
        <v>6.1111111111111109E-2</v>
      </c>
      <c r="C528" t="s">
        <v>1737</v>
      </c>
      <c r="D528" t="s">
        <v>10</v>
      </c>
      <c r="E528">
        <v>1200</v>
      </c>
      <c r="F528" t="s">
        <v>11</v>
      </c>
      <c r="G528" t="s">
        <v>674</v>
      </c>
      <c r="H528" t="s">
        <v>899</v>
      </c>
      <c r="I528" t="s">
        <v>814</v>
      </c>
      <c r="J528" s="5">
        <f>WEEKDAY(Table1_2[[#This Row],[Transaction date]])</f>
        <v>4</v>
      </c>
      <c r="K528"/>
    </row>
    <row r="529" spans="1:11" x14ac:dyDescent="0.45">
      <c r="A529" s="3">
        <v>39815</v>
      </c>
      <c r="B529" s="2">
        <v>9.3055555555555558E-2</v>
      </c>
      <c r="C529" t="s">
        <v>1737</v>
      </c>
      <c r="D529" t="s">
        <v>10</v>
      </c>
      <c r="E529">
        <v>1200</v>
      </c>
      <c r="F529" t="s">
        <v>16</v>
      </c>
      <c r="G529" t="s">
        <v>900</v>
      </c>
      <c r="H529" t="s">
        <v>872</v>
      </c>
      <c r="I529" t="s">
        <v>814</v>
      </c>
      <c r="J529" s="5">
        <f>WEEKDAY(Table1_2[[#This Row],[Transaction date]])</f>
        <v>6</v>
      </c>
      <c r="K529"/>
    </row>
    <row r="530" spans="1:11" x14ac:dyDescent="0.45">
      <c r="A530" s="3">
        <v>39841</v>
      </c>
      <c r="B530" s="2">
        <v>0.17847222222222223</v>
      </c>
      <c r="C530" t="s">
        <v>1737</v>
      </c>
      <c r="D530" t="s">
        <v>10</v>
      </c>
      <c r="E530">
        <v>1200</v>
      </c>
      <c r="F530" t="s">
        <v>16</v>
      </c>
      <c r="G530" t="s">
        <v>901</v>
      </c>
      <c r="H530" t="s">
        <v>902</v>
      </c>
      <c r="I530" t="s">
        <v>814</v>
      </c>
      <c r="J530" s="5">
        <f>WEEKDAY(Table1_2[[#This Row],[Transaction date]])</f>
        <v>4</v>
      </c>
      <c r="K530"/>
    </row>
    <row r="531" spans="1:11" x14ac:dyDescent="0.45">
      <c r="A531" s="3">
        <v>39817</v>
      </c>
      <c r="B531" s="2">
        <v>0.53680555555555554</v>
      </c>
      <c r="C531" t="s">
        <v>1738</v>
      </c>
      <c r="D531" t="s">
        <v>10</v>
      </c>
      <c r="E531">
        <v>1200</v>
      </c>
      <c r="F531" t="s">
        <v>16</v>
      </c>
      <c r="G531" t="s">
        <v>903</v>
      </c>
      <c r="H531" t="s">
        <v>904</v>
      </c>
      <c r="I531" t="s">
        <v>814</v>
      </c>
      <c r="J531" s="5">
        <f>WEEKDAY(Table1_2[[#This Row],[Transaction date]])</f>
        <v>1</v>
      </c>
      <c r="K531"/>
    </row>
    <row r="532" spans="1:11" x14ac:dyDescent="0.45">
      <c r="A532" s="3">
        <v>39821</v>
      </c>
      <c r="B532" s="2">
        <v>0.11527777777777778</v>
      </c>
      <c r="C532" t="s">
        <v>1737</v>
      </c>
      <c r="D532" t="s">
        <v>10</v>
      </c>
      <c r="E532">
        <v>1200</v>
      </c>
      <c r="F532" t="s">
        <v>16</v>
      </c>
      <c r="G532" t="s">
        <v>905</v>
      </c>
      <c r="H532" t="s">
        <v>906</v>
      </c>
      <c r="I532" t="s">
        <v>814</v>
      </c>
      <c r="J532" s="5">
        <f>WEEKDAY(Table1_2[[#This Row],[Transaction date]])</f>
        <v>5</v>
      </c>
      <c r="K532"/>
    </row>
    <row r="533" spans="1:11" x14ac:dyDescent="0.45">
      <c r="A533" s="3">
        <v>39817</v>
      </c>
      <c r="B533" s="2">
        <v>0.1701388888888889</v>
      </c>
      <c r="C533" t="s">
        <v>1737</v>
      </c>
      <c r="D533" t="s">
        <v>10</v>
      </c>
      <c r="E533">
        <v>1200</v>
      </c>
      <c r="F533" t="s">
        <v>16</v>
      </c>
      <c r="G533" t="s">
        <v>907</v>
      </c>
      <c r="H533" t="s">
        <v>908</v>
      </c>
      <c r="I533" t="s">
        <v>814</v>
      </c>
      <c r="J533" s="5">
        <f>WEEKDAY(Table1_2[[#This Row],[Transaction date]])</f>
        <v>1</v>
      </c>
      <c r="K533"/>
    </row>
    <row r="534" spans="1:11" x14ac:dyDescent="0.45">
      <c r="A534" s="3">
        <v>39832</v>
      </c>
      <c r="B534" s="2">
        <v>0.28472222222222221</v>
      </c>
      <c r="C534" t="s">
        <v>1737</v>
      </c>
      <c r="D534" t="s">
        <v>10</v>
      </c>
      <c r="E534">
        <v>1200</v>
      </c>
      <c r="F534" t="s">
        <v>11</v>
      </c>
      <c r="G534" t="s">
        <v>909</v>
      </c>
      <c r="H534" t="s">
        <v>910</v>
      </c>
      <c r="I534" t="s">
        <v>814</v>
      </c>
      <c r="J534" s="5">
        <f>WEEKDAY(Table1_2[[#This Row],[Transaction date]])</f>
        <v>2</v>
      </c>
      <c r="K534"/>
    </row>
    <row r="535" spans="1:11" x14ac:dyDescent="0.45">
      <c r="A535" s="3">
        <v>39826</v>
      </c>
      <c r="B535" s="2">
        <v>6.6666666666666666E-2</v>
      </c>
      <c r="C535" t="s">
        <v>1737</v>
      </c>
      <c r="D535" t="s">
        <v>10</v>
      </c>
      <c r="E535">
        <v>1200</v>
      </c>
      <c r="F535" t="s">
        <v>11</v>
      </c>
      <c r="G535" t="s">
        <v>911</v>
      </c>
      <c r="H535" t="s">
        <v>816</v>
      </c>
      <c r="I535" t="s">
        <v>814</v>
      </c>
      <c r="J535" s="5">
        <f>WEEKDAY(Table1_2[[#This Row],[Transaction date]])</f>
        <v>3</v>
      </c>
      <c r="K535"/>
    </row>
    <row r="536" spans="1:11" x14ac:dyDescent="0.45">
      <c r="A536" s="3">
        <v>39833</v>
      </c>
      <c r="B536" s="2">
        <v>0.24513888888888888</v>
      </c>
      <c r="C536" t="s">
        <v>1737</v>
      </c>
      <c r="D536" t="s">
        <v>10</v>
      </c>
      <c r="E536">
        <v>1200</v>
      </c>
      <c r="F536" t="s">
        <v>16</v>
      </c>
      <c r="G536" t="s">
        <v>912</v>
      </c>
      <c r="H536" t="s">
        <v>894</v>
      </c>
      <c r="I536" t="s">
        <v>814</v>
      </c>
      <c r="J536" s="5">
        <f>WEEKDAY(Table1_2[[#This Row],[Transaction date]])</f>
        <v>3</v>
      </c>
      <c r="K536"/>
    </row>
    <row r="537" spans="1:11" x14ac:dyDescent="0.45">
      <c r="A537" s="3">
        <v>39822</v>
      </c>
      <c r="B537" s="2">
        <v>0.12152777777777778</v>
      </c>
      <c r="C537" t="s">
        <v>1737</v>
      </c>
      <c r="D537" t="s">
        <v>10</v>
      </c>
      <c r="E537">
        <v>1200</v>
      </c>
      <c r="F537" t="s">
        <v>11</v>
      </c>
      <c r="G537" t="s">
        <v>606</v>
      </c>
      <c r="H537" t="s">
        <v>913</v>
      </c>
      <c r="I537" t="s">
        <v>814</v>
      </c>
      <c r="J537" s="5">
        <f>WEEKDAY(Table1_2[[#This Row],[Transaction date]])</f>
        <v>6</v>
      </c>
      <c r="K537"/>
    </row>
    <row r="538" spans="1:11" x14ac:dyDescent="0.45">
      <c r="A538" s="3">
        <v>39840</v>
      </c>
      <c r="B538" s="2">
        <v>0.13819444444444445</v>
      </c>
      <c r="C538" t="s">
        <v>1737</v>
      </c>
      <c r="D538" t="s">
        <v>10</v>
      </c>
      <c r="E538">
        <v>1200</v>
      </c>
      <c r="F538" t="s">
        <v>16</v>
      </c>
      <c r="G538" t="s">
        <v>914</v>
      </c>
      <c r="H538" t="s">
        <v>915</v>
      </c>
      <c r="I538" t="s">
        <v>814</v>
      </c>
      <c r="J538" s="5">
        <f>WEEKDAY(Table1_2[[#This Row],[Transaction date]])</f>
        <v>3</v>
      </c>
      <c r="K538"/>
    </row>
    <row r="539" spans="1:11" x14ac:dyDescent="0.45">
      <c r="A539" s="3">
        <v>39835</v>
      </c>
      <c r="B539" s="2">
        <v>0.23541666666666666</v>
      </c>
      <c r="C539" t="s">
        <v>1737</v>
      </c>
      <c r="D539" t="s">
        <v>20</v>
      </c>
      <c r="E539">
        <v>100000</v>
      </c>
      <c r="F539" t="s">
        <v>11</v>
      </c>
      <c r="G539" t="s">
        <v>916</v>
      </c>
      <c r="H539" t="s">
        <v>917</v>
      </c>
      <c r="I539" t="s">
        <v>814</v>
      </c>
      <c r="J539" s="5">
        <f>WEEKDAY(Table1_2[[#This Row],[Transaction date]])</f>
        <v>5</v>
      </c>
      <c r="K539"/>
    </row>
    <row r="540" spans="1:11" x14ac:dyDescent="0.45">
      <c r="A540" s="3">
        <v>39835</v>
      </c>
      <c r="B540" s="2">
        <v>0.40833333333333333</v>
      </c>
      <c r="C540" t="s">
        <v>1737</v>
      </c>
      <c r="D540" t="s">
        <v>20</v>
      </c>
      <c r="E540">
        <v>100000</v>
      </c>
      <c r="F540" t="s">
        <v>16</v>
      </c>
      <c r="G540" t="s">
        <v>919</v>
      </c>
      <c r="H540" t="s">
        <v>920</v>
      </c>
      <c r="I540" t="s">
        <v>814</v>
      </c>
      <c r="J540" s="5">
        <f>WEEKDAY(Table1_2[[#This Row],[Transaction date]])</f>
        <v>5</v>
      </c>
      <c r="K540"/>
    </row>
    <row r="541" spans="1:11" x14ac:dyDescent="0.45">
      <c r="A541" s="3">
        <v>39815</v>
      </c>
      <c r="B541" s="2">
        <v>0.29375000000000001</v>
      </c>
      <c r="C541" t="s">
        <v>1737</v>
      </c>
      <c r="D541" t="s">
        <v>10</v>
      </c>
      <c r="E541">
        <v>1200</v>
      </c>
      <c r="F541" t="s">
        <v>11</v>
      </c>
      <c r="G541" t="s">
        <v>921</v>
      </c>
      <c r="H541" t="s">
        <v>816</v>
      </c>
      <c r="I541" t="s">
        <v>814</v>
      </c>
      <c r="J541" s="5">
        <f>WEEKDAY(Table1_2[[#This Row],[Transaction date]])</f>
        <v>6</v>
      </c>
      <c r="K541"/>
    </row>
    <row r="542" spans="1:11" x14ac:dyDescent="0.45">
      <c r="A542" s="3">
        <v>39815</v>
      </c>
      <c r="B542" s="2">
        <v>0.23125000000000001</v>
      </c>
      <c r="C542" t="s">
        <v>1737</v>
      </c>
      <c r="D542" t="s">
        <v>10</v>
      </c>
      <c r="E542">
        <v>1200</v>
      </c>
      <c r="F542" t="s">
        <v>11</v>
      </c>
      <c r="G542" t="s">
        <v>922</v>
      </c>
      <c r="H542" t="s">
        <v>838</v>
      </c>
      <c r="I542" t="s">
        <v>814</v>
      </c>
      <c r="J542" s="5">
        <f>WEEKDAY(Table1_2[[#This Row],[Transaction date]])</f>
        <v>6</v>
      </c>
      <c r="K542"/>
    </row>
    <row r="543" spans="1:11" x14ac:dyDescent="0.45">
      <c r="A543" s="3">
        <v>39838</v>
      </c>
      <c r="B543" s="2">
        <v>0.31180555555555556</v>
      </c>
      <c r="C543" t="s">
        <v>1737</v>
      </c>
      <c r="D543" t="s">
        <v>10</v>
      </c>
      <c r="E543">
        <v>1200</v>
      </c>
      <c r="F543" t="s">
        <v>16</v>
      </c>
      <c r="G543" t="s">
        <v>923</v>
      </c>
      <c r="H543" t="s">
        <v>924</v>
      </c>
      <c r="I543" t="s">
        <v>814</v>
      </c>
      <c r="J543" s="5">
        <f>WEEKDAY(Table1_2[[#This Row],[Transaction date]])</f>
        <v>1</v>
      </c>
      <c r="K543"/>
    </row>
    <row r="544" spans="1:11" x14ac:dyDescent="0.45">
      <c r="A544" s="3">
        <v>39842</v>
      </c>
      <c r="B544" s="2">
        <v>0.49166666666666664</v>
      </c>
      <c r="C544" t="s">
        <v>1737</v>
      </c>
      <c r="D544" t="s">
        <v>10</v>
      </c>
      <c r="E544">
        <v>1200</v>
      </c>
      <c r="F544" t="s">
        <v>11</v>
      </c>
      <c r="G544" t="s">
        <v>538</v>
      </c>
      <c r="H544" t="s">
        <v>925</v>
      </c>
      <c r="I544" t="s">
        <v>814</v>
      </c>
      <c r="J544" s="5">
        <f>WEEKDAY(Table1_2[[#This Row],[Transaction date]])</f>
        <v>5</v>
      </c>
      <c r="K544"/>
    </row>
    <row r="545" spans="1:11" x14ac:dyDescent="0.45">
      <c r="A545" s="3">
        <v>39824</v>
      </c>
      <c r="B545" s="2">
        <v>0.19027777777777777</v>
      </c>
      <c r="C545" t="s">
        <v>1737</v>
      </c>
      <c r="D545" t="s">
        <v>10</v>
      </c>
      <c r="E545">
        <v>1200</v>
      </c>
      <c r="F545" t="s">
        <v>11</v>
      </c>
      <c r="G545" t="s">
        <v>926</v>
      </c>
      <c r="H545" t="s">
        <v>927</v>
      </c>
      <c r="I545" t="s">
        <v>814</v>
      </c>
      <c r="J545" s="5">
        <f>WEEKDAY(Table1_2[[#This Row],[Transaction date]])</f>
        <v>1</v>
      </c>
      <c r="K545"/>
    </row>
    <row r="546" spans="1:11" x14ac:dyDescent="0.45">
      <c r="A546" s="3">
        <v>39830</v>
      </c>
      <c r="B546" s="2">
        <v>0.27708333333333335</v>
      </c>
      <c r="C546" t="s">
        <v>1737</v>
      </c>
      <c r="D546" t="s">
        <v>10</v>
      </c>
      <c r="E546">
        <v>1200</v>
      </c>
      <c r="F546" t="s">
        <v>16</v>
      </c>
      <c r="G546" t="s">
        <v>928</v>
      </c>
      <c r="H546" t="s">
        <v>519</v>
      </c>
      <c r="I546" t="s">
        <v>814</v>
      </c>
      <c r="J546" s="5">
        <f>WEEKDAY(Table1_2[[#This Row],[Transaction date]])</f>
        <v>7</v>
      </c>
      <c r="K546"/>
    </row>
    <row r="547" spans="1:11" x14ac:dyDescent="0.45">
      <c r="A547" s="3">
        <v>39838</v>
      </c>
      <c r="B547" s="2">
        <v>0.36666666666666664</v>
      </c>
      <c r="C547" t="s">
        <v>1737</v>
      </c>
      <c r="D547" t="s">
        <v>10</v>
      </c>
      <c r="E547">
        <v>1200</v>
      </c>
      <c r="F547" t="s">
        <v>16</v>
      </c>
      <c r="G547" t="s">
        <v>929</v>
      </c>
      <c r="H547" t="s">
        <v>894</v>
      </c>
      <c r="I547" t="s">
        <v>814</v>
      </c>
      <c r="J547" s="5">
        <f>WEEKDAY(Table1_2[[#This Row],[Transaction date]])</f>
        <v>1</v>
      </c>
      <c r="K547"/>
    </row>
    <row r="548" spans="1:11" x14ac:dyDescent="0.45">
      <c r="A548" s="3">
        <v>39837</v>
      </c>
      <c r="B548" s="2">
        <v>6.805555555555555E-2</v>
      </c>
      <c r="C548" t="s">
        <v>1737</v>
      </c>
      <c r="D548" t="s">
        <v>10</v>
      </c>
      <c r="E548">
        <v>1200</v>
      </c>
      <c r="F548" t="s">
        <v>16</v>
      </c>
      <c r="G548" t="s">
        <v>253</v>
      </c>
      <c r="H548" t="s">
        <v>930</v>
      </c>
      <c r="I548" t="s">
        <v>814</v>
      </c>
      <c r="J548" s="5">
        <f>WEEKDAY(Table1_2[[#This Row],[Transaction date]])</f>
        <v>7</v>
      </c>
      <c r="K548"/>
    </row>
    <row r="549" spans="1:11" x14ac:dyDescent="0.45">
      <c r="A549" s="3">
        <v>39825</v>
      </c>
      <c r="B549" s="2">
        <v>7.013888888888889E-2</v>
      </c>
      <c r="C549" t="s">
        <v>1737</v>
      </c>
      <c r="D549" t="s">
        <v>10</v>
      </c>
      <c r="E549">
        <v>1200</v>
      </c>
      <c r="F549" t="s">
        <v>63</v>
      </c>
      <c r="G549" t="s">
        <v>931</v>
      </c>
      <c r="H549" t="s">
        <v>932</v>
      </c>
      <c r="I549" t="s">
        <v>814</v>
      </c>
      <c r="J549" s="5">
        <f>WEEKDAY(Table1_2[[#This Row],[Transaction date]])</f>
        <v>2</v>
      </c>
      <c r="K549"/>
    </row>
    <row r="550" spans="1:11" x14ac:dyDescent="0.45">
      <c r="A550" s="3">
        <v>39844</v>
      </c>
      <c r="B550" s="2">
        <v>0.30069444444444443</v>
      </c>
      <c r="C550" t="s">
        <v>1737</v>
      </c>
      <c r="D550" t="s">
        <v>10</v>
      </c>
      <c r="E550">
        <v>1200</v>
      </c>
      <c r="F550" t="s">
        <v>63</v>
      </c>
      <c r="G550" t="s">
        <v>36</v>
      </c>
      <c r="H550" t="s">
        <v>816</v>
      </c>
      <c r="I550" t="s">
        <v>814</v>
      </c>
      <c r="J550" s="5">
        <f>WEEKDAY(Table1_2[[#This Row],[Transaction date]])</f>
        <v>7</v>
      </c>
      <c r="K550"/>
    </row>
    <row r="551" spans="1:11" x14ac:dyDescent="0.45">
      <c r="A551" s="3">
        <v>39834</v>
      </c>
      <c r="B551" s="2">
        <v>8.819444444444445E-2</v>
      </c>
      <c r="C551" t="s">
        <v>1737</v>
      </c>
      <c r="D551" t="s">
        <v>10</v>
      </c>
      <c r="E551">
        <v>1200</v>
      </c>
      <c r="F551" t="s">
        <v>16</v>
      </c>
      <c r="G551" t="s">
        <v>933</v>
      </c>
      <c r="H551" t="s">
        <v>934</v>
      </c>
      <c r="I551" t="s">
        <v>814</v>
      </c>
      <c r="J551" s="5">
        <f>WEEKDAY(Table1_2[[#This Row],[Transaction date]])</f>
        <v>4</v>
      </c>
      <c r="K551"/>
    </row>
    <row r="552" spans="1:11" x14ac:dyDescent="0.45">
      <c r="A552" s="3">
        <v>39817</v>
      </c>
      <c r="B552" s="2">
        <v>0.10208333333333333</v>
      </c>
      <c r="C552" t="s">
        <v>1737</v>
      </c>
      <c r="D552" t="s">
        <v>10</v>
      </c>
      <c r="E552">
        <v>1200</v>
      </c>
      <c r="F552" t="s">
        <v>11</v>
      </c>
      <c r="G552" t="s">
        <v>935</v>
      </c>
      <c r="H552" t="s">
        <v>936</v>
      </c>
      <c r="I552" t="s">
        <v>814</v>
      </c>
      <c r="J552" s="5">
        <f>WEEKDAY(Table1_2[[#This Row],[Transaction date]])</f>
        <v>1</v>
      </c>
      <c r="K552"/>
    </row>
    <row r="553" spans="1:11" x14ac:dyDescent="0.45">
      <c r="A553" s="3">
        <v>39818</v>
      </c>
      <c r="B553" s="2">
        <v>0.13541666666666666</v>
      </c>
      <c r="C553" t="s">
        <v>1737</v>
      </c>
      <c r="D553" t="s">
        <v>10</v>
      </c>
      <c r="E553">
        <v>1200</v>
      </c>
      <c r="F553" t="s">
        <v>63</v>
      </c>
      <c r="G553" t="s">
        <v>143</v>
      </c>
      <c r="H553" t="s">
        <v>937</v>
      </c>
      <c r="I553" t="s">
        <v>814</v>
      </c>
      <c r="J553" s="5">
        <f>WEEKDAY(Table1_2[[#This Row],[Transaction date]])</f>
        <v>2</v>
      </c>
      <c r="K553"/>
    </row>
    <row r="554" spans="1:11" x14ac:dyDescent="0.45">
      <c r="A554" s="3">
        <v>39838</v>
      </c>
      <c r="B554" s="2">
        <v>0.39374999999999999</v>
      </c>
      <c r="C554" t="s">
        <v>1737</v>
      </c>
      <c r="D554" t="s">
        <v>10</v>
      </c>
      <c r="E554">
        <v>1200</v>
      </c>
      <c r="F554" t="s">
        <v>11</v>
      </c>
      <c r="G554" t="s">
        <v>938</v>
      </c>
      <c r="H554" t="s">
        <v>816</v>
      </c>
      <c r="I554" t="s">
        <v>814</v>
      </c>
      <c r="J554" s="5">
        <f>WEEKDAY(Table1_2[[#This Row],[Transaction date]])</f>
        <v>1</v>
      </c>
      <c r="K554"/>
    </row>
    <row r="555" spans="1:11" x14ac:dyDescent="0.45">
      <c r="A555" s="3">
        <v>39820</v>
      </c>
      <c r="B555" s="2">
        <v>0.41249999999999998</v>
      </c>
      <c r="C555" t="s">
        <v>1737</v>
      </c>
      <c r="D555" t="s">
        <v>10</v>
      </c>
      <c r="E555">
        <v>1200</v>
      </c>
      <c r="F555" t="s">
        <v>11</v>
      </c>
      <c r="G555" t="s">
        <v>755</v>
      </c>
      <c r="H555" t="s">
        <v>937</v>
      </c>
      <c r="I555" t="s">
        <v>814</v>
      </c>
      <c r="J555" s="5">
        <f>WEEKDAY(Table1_2[[#This Row],[Transaction date]])</f>
        <v>4</v>
      </c>
      <c r="K555"/>
    </row>
    <row r="556" spans="1:11" x14ac:dyDescent="0.45">
      <c r="A556" s="3">
        <v>39828</v>
      </c>
      <c r="B556" s="2">
        <v>0.48958333333333331</v>
      </c>
      <c r="C556" t="s">
        <v>1737</v>
      </c>
      <c r="D556" t="s">
        <v>10</v>
      </c>
      <c r="E556">
        <v>1200</v>
      </c>
      <c r="F556" t="s">
        <v>16</v>
      </c>
      <c r="G556" t="s">
        <v>308</v>
      </c>
      <c r="H556" t="s">
        <v>908</v>
      </c>
      <c r="I556" t="s">
        <v>814</v>
      </c>
      <c r="J556" s="5">
        <f>WEEKDAY(Table1_2[[#This Row],[Transaction date]])</f>
        <v>5</v>
      </c>
      <c r="K556"/>
    </row>
    <row r="557" spans="1:11" x14ac:dyDescent="0.45">
      <c r="A557" s="3">
        <v>39832</v>
      </c>
      <c r="B557" s="2">
        <v>0.24722222222222223</v>
      </c>
      <c r="C557" t="s">
        <v>1737</v>
      </c>
      <c r="D557" t="s">
        <v>10</v>
      </c>
      <c r="E557">
        <v>1200</v>
      </c>
      <c r="F557" t="s">
        <v>11</v>
      </c>
      <c r="G557" t="s">
        <v>726</v>
      </c>
      <c r="H557" t="s">
        <v>846</v>
      </c>
      <c r="I557" t="s">
        <v>814</v>
      </c>
      <c r="J557" s="5">
        <f>WEEKDAY(Table1_2[[#This Row],[Transaction date]])</f>
        <v>2</v>
      </c>
      <c r="K557"/>
    </row>
    <row r="558" spans="1:11" x14ac:dyDescent="0.45">
      <c r="A558" s="3">
        <v>39817</v>
      </c>
      <c r="B558" s="2">
        <v>0.39444444444444443</v>
      </c>
      <c r="C558" t="s">
        <v>1737</v>
      </c>
      <c r="D558" t="s">
        <v>10</v>
      </c>
      <c r="E558">
        <v>1200</v>
      </c>
      <c r="F558" t="s">
        <v>11</v>
      </c>
      <c r="G558" t="s">
        <v>939</v>
      </c>
      <c r="H558" t="s">
        <v>940</v>
      </c>
      <c r="I558" t="s">
        <v>814</v>
      </c>
      <c r="J558" s="5">
        <f>WEEKDAY(Table1_2[[#This Row],[Transaction date]])</f>
        <v>1</v>
      </c>
      <c r="K558"/>
    </row>
    <row r="559" spans="1:11" x14ac:dyDescent="0.45">
      <c r="A559" s="3">
        <v>39815</v>
      </c>
      <c r="B559" s="2">
        <v>0.19027777777777777</v>
      </c>
      <c r="C559" t="s">
        <v>1737</v>
      </c>
      <c r="D559" t="s">
        <v>10</v>
      </c>
      <c r="E559">
        <v>1200</v>
      </c>
      <c r="F559" t="s">
        <v>11</v>
      </c>
      <c r="G559" t="s">
        <v>941</v>
      </c>
      <c r="H559" t="s">
        <v>942</v>
      </c>
      <c r="I559" t="s">
        <v>814</v>
      </c>
      <c r="J559" s="5">
        <f>WEEKDAY(Table1_2[[#This Row],[Transaction date]])</f>
        <v>6</v>
      </c>
      <c r="K559"/>
    </row>
    <row r="560" spans="1:11" x14ac:dyDescent="0.45">
      <c r="A560" s="3">
        <v>39840</v>
      </c>
      <c r="B560" s="2">
        <v>0.12291666666666666</v>
      </c>
      <c r="C560" t="s">
        <v>1737</v>
      </c>
      <c r="D560" t="s">
        <v>10</v>
      </c>
      <c r="E560">
        <v>1200</v>
      </c>
      <c r="F560" t="s">
        <v>11</v>
      </c>
      <c r="G560" t="s">
        <v>278</v>
      </c>
      <c r="H560" t="s">
        <v>943</v>
      </c>
      <c r="I560" t="s">
        <v>814</v>
      </c>
      <c r="J560" s="5">
        <f>WEEKDAY(Table1_2[[#This Row],[Transaction date]])</f>
        <v>3</v>
      </c>
      <c r="K560"/>
    </row>
    <row r="561" spans="1:11" x14ac:dyDescent="0.45">
      <c r="A561" s="3">
        <v>39832</v>
      </c>
      <c r="B561" s="2">
        <v>0.2048611111111111</v>
      </c>
      <c r="C561" t="s">
        <v>1737</v>
      </c>
      <c r="D561" t="s">
        <v>10</v>
      </c>
      <c r="E561">
        <v>1200</v>
      </c>
      <c r="F561" t="s">
        <v>11</v>
      </c>
      <c r="G561" t="s">
        <v>944</v>
      </c>
      <c r="H561" t="s">
        <v>945</v>
      </c>
      <c r="I561" t="s">
        <v>814</v>
      </c>
      <c r="J561" s="5">
        <f>WEEKDAY(Table1_2[[#This Row],[Transaction date]])</f>
        <v>2</v>
      </c>
      <c r="K561"/>
    </row>
    <row r="562" spans="1:11" x14ac:dyDescent="0.45">
      <c r="A562" s="3">
        <v>39833</v>
      </c>
      <c r="B562" s="2">
        <v>0.44583333333333336</v>
      </c>
      <c r="C562" t="s">
        <v>1737</v>
      </c>
      <c r="D562" t="s">
        <v>20</v>
      </c>
      <c r="E562">
        <v>100000</v>
      </c>
      <c r="F562" t="s">
        <v>16</v>
      </c>
      <c r="G562" t="s">
        <v>946</v>
      </c>
      <c r="H562" t="s">
        <v>947</v>
      </c>
      <c r="I562" t="s">
        <v>814</v>
      </c>
      <c r="J562" s="5">
        <f>WEEKDAY(Table1_2[[#This Row],[Transaction date]])</f>
        <v>3</v>
      </c>
      <c r="K562"/>
    </row>
    <row r="563" spans="1:11" x14ac:dyDescent="0.45">
      <c r="A563" s="3">
        <v>39835</v>
      </c>
      <c r="B563" s="2">
        <v>0.10069444444444445</v>
      </c>
      <c r="C563" t="s">
        <v>1737</v>
      </c>
      <c r="D563" t="s">
        <v>10</v>
      </c>
      <c r="E563">
        <v>1200</v>
      </c>
      <c r="F563" t="s">
        <v>11</v>
      </c>
      <c r="G563" t="s">
        <v>948</v>
      </c>
      <c r="H563" t="s">
        <v>949</v>
      </c>
      <c r="I563" t="s">
        <v>814</v>
      </c>
      <c r="J563" s="5">
        <f>WEEKDAY(Table1_2[[#This Row],[Transaction date]])</f>
        <v>5</v>
      </c>
      <c r="K563"/>
    </row>
    <row r="564" spans="1:11" x14ac:dyDescent="0.45">
      <c r="A564" s="3">
        <v>39821</v>
      </c>
      <c r="B564" s="2">
        <v>0.49652777777777779</v>
      </c>
      <c r="C564" t="s">
        <v>1737</v>
      </c>
      <c r="D564" t="s">
        <v>10</v>
      </c>
      <c r="E564">
        <v>1200</v>
      </c>
      <c r="F564" t="s">
        <v>16</v>
      </c>
      <c r="G564" t="s">
        <v>950</v>
      </c>
      <c r="H564" t="s">
        <v>951</v>
      </c>
      <c r="I564" t="s">
        <v>814</v>
      </c>
      <c r="J564" s="5">
        <f>WEEKDAY(Table1_2[[#This Row],[Transaction date]])</f>
        <v>5</v>
      </c>
      <c r="K564"/>
    </row>
    <row r="565" spans="1:11" x14ac:dyDescent="0.45">
      <c r="A565" s="3">
        <v>39827</v>
      </c>
      <c r="B565" s="2">
        <v>0.47152777777777777</v>
      </c>
      <c r="C565" t="s">
        <v>1737</v>
      </c>
      <c r="D565" t="s">
        <v>10</v>
      </c>
      <c r="E565">
        <v>1200</v>
      </c>
      <c r="F565" t="s">
        <v>11</v>
      </c>
      <c r="G565" t="s">
        <v>260</v>
      </c>
      <c r="H565" t="s">
        <v>952</v>
      </c>
      <c r="I565" t="s">
        <v>954</v>
      </c>
      <c r="J565" s="5">
        <f>WEEKDAY(Table1_2[[#This Row],[Transaction date]])</f>
        <v>4</v>
      </c>
      <c r="K565"/>
    </row>
    <row r="566" spans="1:11" x14ac:dyDescent="0.45">
      <c r="A566" s="3">
        <v>39830</v>
      </c>
      <c r="B566" s="2">
        <v>0.40902777777777777</v>
      </c>
      <c r="C566" t="s">
        <v>1737</v>
      </c>
      <c r="D566" t="s">
        <v>10</v>
      </c>
      <c r="E566">
        <v>1200</v>
      </c>
      <c r="F566" t="s">
        <v>16</v>
      </c>
      <c r="G566" t="s">
        <v>955</v>
      </c>
      <c r="H566" t="s">
        <v>956</v>
      </c>
      <c r="I566" t="s">
        <v>954</v>
      </c>
      <c r="J566" s="5">
        <f>WEEKDAY(Table1_2[[#This Row],[Transaction date]])</f>
        <v>7</v>
      </c>
      <c r="K566"/>
    </row>
    <row r="567" spans="1:11" x14ac:dyDescent="0.45">
      <c r="A567" s="3">
        <v>39823</v>
      </c>
      <c r="B567" s="2">
        <v>0.3298611111111111</v>
      </c>
      <c r="C567" t="s">
        <v>1737</v>
      </c>
      <c r="D567" t="s">
        <v>10</v>
      </c>
      <c r="E567">
        <v>1200</v>
      </c>
      <c r="F567" t="s">
        <v>11</v>
      </c>
      <c r="G567" t="s">
        <v>418</v>
      </c>
      <c r="H567" t="s">
        <v>952</v>
      </c>
      <c r="I567" t="s">
        <v>954</v>
      </c>
      <c r="J567" s="5">
        <f>WEEKDAY(Table1_2[[#This Row],[Transaction date]])</f>
        <v>7</v>
      </c>
      <c r="K567"/>
    </row>
    <row r="568" spans="1:11" x14ac:dyDescent="0.45">
      <c r="A568" s="3">
        <v>39838</v>
      </c>
      <c r="B568" s="2">
        <v>0.11527777777777778</v>
      </c>
      <c r="C568" t="s">
        <v>1737</v>
      </c>
      <c r="D568" t="s">
        <v>20</v>
      </c>
      <c r="E568">
        <v>100000</v>
      </c>
      <c r="F568" t="s">
        <v>11</v>
      </c>
      <c r="G568" t="s">
        <v>55</v>
      </c>
      <c r="H568" t="s">
        <v>958</v>
      </c>
      <c r="I568" t="s">
        <v>954</v>
      </c>
      <c r="J568" s="5">
        <f>WEEKDAY(Table1_2[[#This Row],[Transaction date]])</f>
        <v>1</v>
      </c>
      <c r="K568"/>
    </row>
    <row r="569" spans="1:11" x14ac:dyDescent="0.45">
      <c r="A569" s="3">
        <v>39830</v>
      </c>
      <c r="B569" s="2">
        <v>0.36527777777777776</v>
      </c>
      <c r="C569" t="s">
        <v>1737</v>
      </c>
      <c r="D569" t="s">
        <v>20</v>
      </c>
      <c r="E569">
        <v>100000</v>
      </c>
      <c r="F569" t="s">
        <v>11</v>
      </c>
      <c r="G569" t="s">
        <v>959</v>
      </c>
      <c r="H569" t="s">
        <v>958</v>
      </c>
      <c r="I569" t="s">
        <v>954</v>
      </c>
      <c r="J569" s="5">
        <f>WEEKDAY(Table1_2[[#This Row],[Transaction date]])</f>
        <v>7</v>
      </c>
      <c r="K569"/>
    </row>
    <row r="570" spans="1:11" x14ac:dyDescent="0.45">
      <c r="A570" s="3">
        <v>39833</v>
      </c>
      <c r="B570" s="2">
        <v>0.33958333333333335</v>
      </c>
      <c r="C570" t="s">
        <v>1737</v>
      </c>
      <c r="D570" t="s">
        <v>10</v>
      </c>
      <c r="E570">
        <v>1200</v>
      </c>
      <c r="F570" t="s">
        <v>11</v>
      </c>
      <c r="G570" t="s">
        <v>960</v>
      </c>
      <c r="H570" t="s">
        <v>958</v>
      </c>
      <c r="I570" t="s">
        <v>954</v>
      </c>
      <c r="J570" s="5">
        <f>WEEKDAY(Table1_2[[#This Row],[Transaction date]])</f>
        <v>3</v>
      </c>
      <c r="K570"/>
    </row>
    <row r="571" spans="1:11" x14ac:dyDescent="0.45">
      <c r="A571" s="3">
        <v>39824</v>
      </c>
      <c r="B571" s="2">
        <v>0.28541666666666665</v>
      </c>
      <c r="C571" t="s">
        <v>1737</v>
      </c>
      <c r="D571" t="s">
        <v>10</v>
      </c>
      <c r="E571">
        <v>1200</v>
      </c>
      <c r="F571" t="s">
        <v>11</v>
      </c>
      <c r="G571" t="s">
        <v>961</v>
      </c>
      <c r="H571" t="s">
        <v>962</v>
      </c>
      <c r="I571" t="s">
        <v>964</v>
      </c>
      <c r="J571" s="5">
        <f>WEEKDAY(Table1_2[[#This Row],[Transaction date]])</f>
        <v>1</v>
      </c>
      <c r="K571"/>
    </row>
    <row r="572" spans="1:11" x14ac:dyDescent="0.45">
      <c r="A572" s="3">
        <v>39815</v>
      </c>
      <c r="B572" s="2">
        <v>0.53472222222222221</v>
      </c>
      <c r="C572" t="s">
        <v>1738</v>
      </c>
      <c r="D572" t="s">
        <v>10</v>
      </c>
      <c r="E572">
        <v>1200</v>
      </c>
      <c r="F572" t="s">
        <v>11</v>
      </c>
      <c r="G572" t="s">
        <v>965</v>
      </c>
      <c r="H572" t="s">
        <v>966</v>
      </c>
      <c r="I572" t="s">
        <v>968</v>
      </c>
      <c r="J572" s="5">
        <f>WEEKDAY(Table1_2[[#This Row],[Transaction date]])</f>
        <v>6</v>
      </c>
      <c r="K572"/>
    </row>
    <row r="573" spans="1:11" x14ac:dyDescent="0.45">
      <c r="A573" s="3">
        <v>39816</v>
      </c>
      <c r="B573" s="2">
        <v>0.41249999999999998</v>
      </c>
      <c r="C573" t="s">
        <v>1737</v>
      </c>
      <c r="D573" t="s">
        <v>10</v>
      </c>
      <c r="E573">
        <v>1200</v>
      </c>
      <c r="F573" t="s">
        <v>11</v>
      </c>
      <c r="G573" t="s">
        <v>75</v>
      </c>
      <c r="H573" t="s">
        <v>969</v>
      </c>
      <c r="I573" t="s">
        <v>968</v>
      </c>
      <c r="J573" s="5">
        <f>WEEKDAY(Table1_2[[#This Row],[Transaction date]])</f>
        <v>7</v>
      </c>
      <c r="K573"/>
    </row>
    <row r="574" spans="1:11" x14ac:dyDescent="0.45">
      <c r="A574" s="3">
        <v>39821</v>
      </c>
      <c r="B574" s="2">
        <v>0.45833333333333331</v>
      </c>
      <c r="C574" t="s">
        <v>1737</v>
      </c>
      <c r="D574" t="s">
        <v>10</v>
      </c>
      <c r="E574">
        <v>1200</v>
      </c>
      <c r="F574" t="s">
        <v>11</v>
      </c>
      <c r="G574" t="s">
        <v>970</v>
      </c>
      <c r="H574" t="s">
        <v>971</v>
      </c>
      <c r="I574" t="s">
        <v>968</v>
      </c>
      <c r="J574" s="5">
        <f>WEEKDAY(Table1_2[[#This Row],[Transaction date]])</f>
        <v>5</v>
      </c>
      <c r="K574"/>
    </row>
    <row r="575" spans="1:11" x14ac:dyDescent="0.45">
      <c r="A575" s="3">
        <v>39835</v>
      </c>
      <c r="B575" s="2">
        <v>9.4444444444444442E-2</v>
      </c>
      <c r="C575" t="s">
        <v>1737</v>
      </c>
      <c r="D575" t="s">
        <v>10</v>
      </c>
      <c r="E575">
        <v>1200</v>
      </c>
      <c r="F575" t="s">
        <v>11</v>
      </c>
      <c r="G575" t="s">
        <v>972</v>
      </c>
      <c r="H575" t="s">
        <v>973</v>
      </c>
      <c r="I575" t="s">
        <v>968</v>
      </c>
      <c r="J575" s="5">
        <f>WEEKDAY(Table1_2[[#This Row],[Transaction date]])</f>
        <v>5</v>
      </c>
      <c r="K575"/>
    </row>
    <row r="576" spans="1:11" x14ac:dyDescent="0.45">
      <c r="A576" s="3">
        <v>39834</v>
      </c>
      <c r="B576" s="2">
        <v>0.52638888888888891</v>
      </c>
      <c r="C576" t="s">
        <v>1738</v>
      </c>
      <c r="D576" t="s">
        <v>10</v>
      </c>
      <c r="E576">
        <v>1200</v>
      </c>
      <c r="F576" t="s">
        <v>11</v>
      </c>
      <c r="G576" t="s">
        <v>974</v>
      </c>
      <c r="H576" t="s">
        <v>967</v>
      </c>
      <c r="I576" t="s">
        <v>968</v>
      </c>
      <c r="J576" s="5">
        <f>WEEKDAY(Table1_2[[#This Row],[Transaction date]])</f>
        <v>4</v>
      </c>
      <c r="K576"/>
    </row>
    <row r="577" spans="1:11" x14ac:dyDescent="0.45">
      <c r="A577" s="3">
        <v>39820</v>
      </c>
      <c r="B577" s="2">
        <v>5.486111111111111E-2</v>
      </c>
      <c r="C577" t="s">
        <v>1737</v>
      </c>
      <c r="D577" t="s">
        <v>10</v>
      </c>
      <c r="E577">
        <v>1200</v>
      </c>
      <c r="F577" t="s">
        <v>11</v>
      </c>
      <c r="G577" t="s">
        <v>975</v>
      </c>
      <c r="H577" t="s">
        <v>976</v>
      </c>
      <c r="I577" t="s">
        <v>968</v>
      </c>
      <c r="J577" s="5">
        <f>WEEKDAY(Table1_2[[#This Row],[Transaction date]])</f>
        <v>4</v>
      </c>
      <c r="K577"/>
    </row>
    <row r="578" spans="1:11" x14ac:dyDescent="0.45">
      <c r="A578" s="3">
        <v>39840</v>
      </c>
      <c r="B578" s="2">
        <v>0.25416666666666665</v>
      </c>
      <c r="C578" t="s">
        <v>1737</v>
      </c>
      <c r="D578" t="s">
        <v>10</v>
      </c>
      <c r="E578">
        <v>1200</v>
      </c>
      <c r="F578" t="s">
        <v>11</v>
      </c>
      <c r="G578" t="s">
        <v>977</v>
      </c>
      <c r="H578" t="s">
        <v>978</v>
      </c>
      <c r="I578" t="s">
        <v>980</v>
      </c>
      <c r="J578" s="5">
        <f>WEEKDAY(Table1_2[[#This Row],[Transaction date]])</f>
        <v>3</v>
      </c>
      <c r="K578"/>
    </row>
    <row r="579" spans="1:11" x14ac:dyDescent="0.45">
      <c r="A579" s="3">
        <v>39828</v>
      </c>
      <c r="B579" s="2">
        <v>0.375</v>
      </c>
      <c r="C579" t="s">
        <v>1737</v>
      </c>
      <c r="D579" t="s">
        <v>10</v>
      </c>
      <c r="E579">
        <v>1200</v>
      </c>
      <c r="F579" t="s">
        <v>11</v>
      </c>
      <c r="G579" t="s">
        <v>981</v>
      </c>
      <c r="H579" t="s">
        <v>982</v>
      </c>
      <c r="I579" t="s">
        <v>980</v>
      </c>
      <c r="J579" s="5">
        <f>WEEKDAY(Table1_2[[#This Row],[Transaction date]])</f>
        <v>5</v>
      </c>
      <c r="K579"/>
    </row>
    <row r="580" spans="1:11" x14ac:dyDescent="0.45">
      <c r="A580" s="3">
        <v>39821</v>
      </c>
      <c r="B580" s="2">
        <v>0.31180555555555556</v>
      </c>
      <c r="C580" t="s">
        <v>1737</v>
      </c>
      <c r="D580" t="s">
        <v>20</v>
      </c>
      <c r="E580">
        <v>100000</v>
      </c>
      <c r="F580" t="s">
        <v>16</v>
      </c>
      <c r="G580" t="s">
        <v>984</v>
      </c>
      <c r="H580" t="s">
        <v>985</v>
      </c>
      <c r="I580" t="s">
        <v>987</v>
      </c>
      <c r="J580" s="5">
        <f>WEEKDAY(Table1_2[[#This Row],[Transaction date]])</f>
        <v>5</v>
      </c>
      <c r="K580"/>
    </row>
    <row r="581" spans="1:11" x14ac:dyDescent="0.45">
      <c r="A581" s="3">
        <v>39837</v>
      </c>
      <c r="B581" s="2">
        <v>0.47291666666666665</v>
      </c>
      <c r="C581" t="s">
        <v>1737</v>
      </c>
      <c r="D581" t="s">
        <v>10</v>
      </c>
      <c r="E581">
        <v>1200</v>
      </c>
      <c r="F581" t="s">
        <v>11</v>
      </c>
      <c r="G581" t="s">
        <v>988</v>
      </c>
      <c r="H581" t="s">
        <v>989</v>
      </c>
      <c r="I581" t="s">
        <v>987</v>
      </c>
      <c r="J581" s="5">
        <f>WEEKDAY(Table1_2[[#This Row],[Transaction date]])</f>
        <v>7</v>
      </c>
      <c r="K581"/>
    </row>
    <row r="582" spans="1:11" x14ac:dyDescent="0.45">
      <c r="A582" s="3">
        <v>39821</v>
      </c>
      <c r="B582" s="2">
        <v>8.2638888888888887E-2</v>
      </c>
      <c r="C582" t="s">
        <v>1737</v>
      </c>
      <c r="D582" t="s">
        <v>10</v>
      </c>
      <c r="E582">
        <v>1200</v>
      </c>
      <c r="F582" t="s">
        <v>16</v>
      </c>
      <c r="G582" t="s">
        <v>990</v>
      </c>
      <c r="H582" t="s">
        <v>991</v>
      </c>
      <c r="I582" t="s">
        <v>993</v>
      </c>
      <c r="J582" s="5">
        <f>WEEKDAY(Table1_2[[#This Row],[Transaction date]])</f>
        <v>5</v>
      </c>
      <c r="K582"/>
    </row>
    <row r="583" spans="1:11" x14ac:dyDescent="0.45">
      <c r="A583" s="3">
        <v>39820</v>
      </c>
      <c r="B583" s="2">
        <v>0.5083333333333333</v>
      </c>
      <c r="C583" t="s">
        <v>1738</v>
      </c>
      <c r="D583" t="s">
        <v>20</v>
      </c>
      <c r="E583">
        <v>100000</v>
      </c>
      <c r="F583" t="s">
        <v>16</v>
      </c>
      <c r="G583" t="s">
        <v>994</v>
      </c>
      <c r="H583" t="s">
        <v>995</v>
      </c>
      <c r="I583" t="s">
        <v>993</v>
      </c>
      <c r="J583" s="5">
        <f>WEEKDAY(Table1_2[[#This Row],[Transaction date]])</f>
        <v>4</v>
      </c>
      <c r="K583"/>
    </row>
    <row r="584" spans="1:11" x14ac:dyDescent="0.45">
      <c r="A584" s="3">
        <v>39818</v>
      </c>
      <c r="B584" s="2">
        <v>7.7777777777777779E-2</v>
      </c>
      <c r="C584" t="s">
        <v>1737</v>
      </c>
      <c r="D584" t="s">
        <v>10</v>
      </c>
      <c r="E584">
        <v>1200</v>
      </c>
      <c r="F584" t="s">
        <v>16</v>
      </c>
      <c r="G584" t="s">
        <v>722</v>
      </c>
      <c r="H584" t="s">
        <v>997</v>
      </c>
      <c r="I584" t="s">
        <v>993</v>
      </c>
      <c r="J584" s="5">
        <f>WEEKDAY(Table1_2[[#This Row],[Transaction date]])</f>
        <v>2</v>
      </c>
      <c r="K584"/>
    </row>
    <row r="585" spans="1:11" x14ac:dyDescent="0.45">
      <c r="A585" s="3">
        <v>39831</v>
      </c>
      <c r="B585" s="2">
        <v>0.27083333333333331</v>
      </c>
      <c r="C585" t="s">
        <v>1737</v>
      </c>
      <c r="D585" t="s">
        <v>10</v>
      </c>
      <c r="E585">
        <v>1200</v>
      </c>
      <c r="F585" t="s">
        <v>11</v>
      </c>
      <c r="G585" t="s">
        <v>998</v>
      </c>
      <c r="H585" t="s">
        <v>999</v>
      </c>
      <c r="I585" t="s">
        <v>993</v>
      </c>
      <c r="J585" s="5">
        <f>WEEKDAY(Table1_2[[#This Row],[Transaction date]])</f>
        <v>1</v>
      </c>
      <c r="K585"/>
    </row>
    <row r="586" spans="1:11" x14ac:dyDescent="0.45">
      <c r="A586" s="3">
        <v>39827</v>
      </c>
      <c r="B586" s="2">
        <v>0.22222222222222221</v>
      </c>
      <c r="C586" t="s">
        <v>1737</v>
      </c>
      <c r="D586" t="s">
        <v>20</v>
      </c>
      <c r="E586">
        <v>100000</v>
      </c>
      <c r="F586" t="s">
        <v>11</v>
      </c>
      <c r="G586" t="s">
        <v>716</v>
      </c>
      <c r="H586" t="s">
        <v>1001</v>
      </c>
      <c r="I586" t="s">
        <v>993</v>
      </c>
      <c r="J586" s="5">
        <f>WEEKDAY(Table1_2[[#This Row],[Transaction date]])</f>
        <v>4</v>
      </c>
      <c r="K586"/>
    </row>
    <row r="587" spans="1:11" x14ac:dyDescent="0.45">
      <c r="A587" s="3">
        <v>39818</v>
      </c>
      <c r="B587" s="2">
        <v>0.30972222222222223</v>
      </c>
      <c r="C587" t="s">
        <v>1737</v>
      </c>
      <c r="D587" t="s">
        <v>10</v>
      </c>
      <c r="E587">
        <v>1200</v>
      </c>
      <c r="F587" t="s">
        <v>11</v>
      </c>
      <c r="G587" t="s">
        <v>1003</v>
      </c>
      <c r="H587" t="s">
        <v>1004</v>
      </c>
      <c r="I587" t="s">
        <v>993</v>
      </c>
      <c r="J587" s="5">
        <f>WEEKDAY(Table1_2[[#This Row],[Transaction date]])</f>
        <v>2</v>
      </c>
      <c r="K587"/>
    </row>
    <row r="588" spans="1:11" x14ac:dyDescent="0.45">
      <c r="A588" s="3">
        <v>39814</v>
      </c>
      <c r="B588" s="2">
        <v>0.51736111111111116</v>
      </c>
      <c r="C588" t="s">
        <v>1738</v>
      </c>
      <c r="D588" t="s">
        <v>20</v>
      </c>
      <c r="E588">
        <v>100000</v>
      </c>
      <c r="F588" t="s">
        <v>16</v>
      </c>
      <c r="G588" t="s">
        <v>1006</v>
      </c>
      <c r="H588" t="s">
        <v>1007</v>
      </c>
      <c r="I588" t="s">
        <v>993</v>
      </c>
      <c r="J588" s="5">
        <f>WEEKDAY(Table1_2[[#This Row],[Transaction date]])</f>
        <v>5</v>
      </c>
      <c r="K588"/>
    </row>
    <row r="589" spans="1:11" x14ac:dyDescent="0.45">
      <c r="A589" s="3">
        <v>39825</v>
      </c>
      <c r="B589" s="2">
        <v>0.4201388888888889</v>
      </c>
      <c r="C589" t="s">
        <v>1737</v>
      </c>
      <c r="D589" t="s">
        <v>20</v>
      </c>
      <c r="E589">
        <v>100000</v>
      </c>
      <c r="F589" t="s">
        <v>63</v>
      </c>
      <c r="G589" t="s">
        <v>807</v>
      </c>
      <c r="H589" t="s">
        <v>1008</v>
      </c>
      <c r="I589" t="s">
        <v>993</v>
      </c>
      <c r="J589" s="5">
        <f>WEEKDAY(Table1_2[[#This Row],[Transaction date]])</f>
        <v>2</v>
      </c>
      <c r="K589"/>
    </row>
    <row r="590" spans="1:11" x14ac:dyDescent="0.45">
      <c r="A590" s="3">
        <v>39818</v>
      </c>
      <c r="B590" s="2">
        <v>0.3527777777777778</v>
      </c>
      <c r="C590" t="s">
        <v>1737</v>
      </c>
      <c r="D590" t="s">
        <v>10</v>
      </c>
      <c r="E590">
        <v>1200</v>
      </c>
      <c r="F590" t="s">
        <v>11</v>
      </c>
      <c r="G590" t="s">
        <v>1010</v>
      </c>
      <c r="H590" t="s">
        <v>1011</v>
      </c>
      <c r="I590" t="s">
        <v>993</v>
      </c>
      <c r="J590" s="5">
        <f>WEEKDAY(Table1_2[[#This Row],[Transaction date]])</f>
        <v>2</v>
      </c>
      <c r="K590"/>
    </row>
    <row r="591" spans="1:11" x14ac:dyDescent="0.45">
      <c r="A591" s="3">
        <v>39838</v>
      </c>
      <c r="B591" s="2">
        <v>0.36805555555555558</v>
      </c>
      <c r="C591" t="s">
        <v>1737</v>
      </c>
      <c r="D591" t="s">
        <v>10</v>
      </c>
      <c r="E591">
        <v>1200</v>
      </c>
      <c r="F591" t="s">
        <v>16</v>
      </c>
      <c r="G591" t="s">
        <v>1012</v>
      </c>
      <c r="H591" t="s">
        <v>1005</v>
      </c>
      <c r="I591" t="s">
        <v>993</v>
      </c>
      <c r="J591" s="5">
        <f>WEEKDAY(Table1_2[[#This Row],[Transaction date]])</f>
        <v>1</v>
      </c>
      <c r="K591"/>
    </row>
    <row r="592" spans="1:11" x14ac:dyDescent="0.45">
      <c r="A592" s="3">
        <v>39818</v>
      </c>
      <c r="B592" s="2">
        <v>0.32430555555555557</v>
      </c>
      <c r="C592" t="s">
        <v>1737</v>
      </c>
      <c r="D592" t="s">
        <v>10</v>
      </c>
      <c r="E592">
        <v>1200</v>
      </c>
      <c r="F592" t="s">
        <v>63</v>
      </c>
      <c r="G592" t="s">
        <v>529</v>
      </c>
      <c r="H592" t="s">
        <v>1013</v>
      </c>
      <c r="I592" t="s">
        <v>993</v>
      </c>
      <c r="J592" s="5">
        <f>WEEKDAY(Table1_2[[#This Row],[Transaction date]])</f>
        <v>2</v>
      </c>
      <c r="K592"/>
    </row>
    <row r="593" spans="1:11" x14ac:dyDescent="0.45">
      <c r="A593" s="3">
        <v>39820</v>
      </c>
      <c r="B593" s="2">
        <v>4.2361111111111113E-2</v>
      </c>
      <c r="C593" t="s">
        <v>1737</v>
      </c>
      <c r="D593" t="s">
        <v>20</v>
      </c>
      <c r="E593">
        <v>100000</v>
      </c>
      <c r="F593" t="s">
        <v>11</v>
      </c>
      <c r="G593" t="s">
        <v>656</v>
      </c>
      <c r="H593" t="s">
        <v>1014</v>
      </c>
      <c r="I593" t="s">
        <v>993</v>
      </c>
      <c r="J593" s="5">
        <f>WEEKDAY(Table1_2[[#This Row],[Transaction date]])</f>
        <v>4</v>
      </c>
      <c r="K593"/>
    </row>
    <row r="594" spans="1:11" x14ac:dyDescent="0.45">
      <c r="A594" s="3">
        <v>39837</v>
      </c>
      <c r="B594" s="2">
        <v>7.9166666666666663E-2</v>
      </c>
      <c r="C594" t="s">
        <v>1737</v>
      </c>
      <c r="D594" t="s">
        <v>20</v>
      </c>
      <c r="E594">
        <v>100000</v>
      </c>
      <c r="F594" t="s">
        <v>16</v>
      </c>
      <c r="G594" t="s">
        <v>1015</v>
      </c>
      <c r="H594" t="s">
        <v>1016</v>
      </c>
      <c r="I594" t="s">
        <v>993</v>
      </c>
      <c r="J594" s="5">
        <f>WEEKDAY(Table1_2[[#This Row],[Transaction date]])</f>
        <v>7</v>
      </c>
      <c r="K594"/>
    </row>
    <row r="595" spans="1:11" x14ac:dyDescent="0.45">
      <c r="A595" s="3">
        <v>39827</v>
      </c>
      <c r="B595" s="2">
        <v>0.53819444444444442</v>
      </c>
      <c r="C595" t="s">
        <v>1738</v>
      </c>
      <c r="D595" t="s">
        <v>10</v>
      </c>
      <c r="E595">
        <v>1200</v>
      </c>
      <c r="F595" t="s">
        <v>11</v>
      </c>
      <c r="G595" t="s">
        <v>1017</v>
      </c>
      <c r="H595" t="s">
        <v>1018</v>
      </c>
      <c r="I595" t="s">
        <v>993</v>
      </c>
      <c r="J595" s="5">
        <f>WEEKDAY(Table1_2[[#This Row],[Transaction date]])</f>
        <v>4</v>
      </c>
      <c r="K595"/>
    </row>
    <row r="596" spans="1:11" x14ac:dyDescent="0.45">
      <c r="A596" s="3">
        <v>39840</v>
      </c>
      <c r="B596" s="2">
        <v>4.7222222222222221E-2</v>
      </c>
      <c r="C596" t="s">
        <v>1737</v>
      </c>
      <c r="D596" t="s">
        <v>10</v>
      </c>
      <c r="E596">
        <v>1200</v>
      </c>
      <c r="F596" t="s">
        <v>16</v>
      </c>
      <c r="G596" t="s">
        <v>133</v>
      </c>
      <c r="H596" t="s">
        <v>992</v>
      </c>
      <c r="I596" t="s">
        <v>993</v>
      </c>
      <c r="J596" s="5">
        <f>WEEKDAY(Table1_2[[#This Row],[Transaction date]])</f>
        <v>3</v>
      </c>
      <c r="K596"/>
    </row>
    <row r="597" spans="1:11" x14ac:dyDescent="0.45">
      <c r="A597" s="3">
        <v>39816</v>
      </c>
      <c r="B597" s="2">
        <v>6.5972222222222224E-2</v>
      </c>
      <c r="C597" t="s">
        <v>1737</v>
      </c>
      <c r="D597" t="s">
        <v>10</v>
      </c>
      <c r="E597">
        <v>1200</v>
      </c>
      <c r="F597" t="s">
        <v>16</v>
      </c>
      <c r="G597" t="s">
        <v>1019</v>
      </c>
      <c r="H597" t="s">
        <v>1020</v>
      </c>
      <c r="I597" t="s">
        <v>993</v>
      </c>
      <c r="J597" s="5">
        <f>WEEKDAY(Table1_2[[#This Row],[Transaction date]])</f>
        <v>7</v>
      </c>
      <c r="K597"/>
    </row>
    <row r="598" spans="1:11" x14ac:dyDescent="0.45">
      <c r="A598" s="3">
        <v>39826</v>
      </c>
      <c r="B598" s="2">
        <v>0.11388888888888889</v>
      </c>
      <c r="C598" t="s">
        <v>1737</v>
      </c>
      <c r="D598" t="s">
        <v>20</v>
      </c>
      <c r="E598">
        <v>100000</v>
      </c>
      <c r="F598" t="s">
        <v>11</v>
      </c>
      <c r="G598" t="s">
        <v>1021</v>
      </c>
      <c r="H598" t="s">
        <v>1005</v>
      </c>
      <c r="I598" t="s">
        <v>993</v>
      </c>
      <c r="J598" s="5">
        <f>WEEKDAY(Table1_2[[#This Row],[Transaction date]])</f>
        <v>3</v>
      </c>
      <c r="K598"/>
    </row>
    <row r="599" spans="1:11" x14ac:dyDescent="0.45">
      <c r="A599" s="3">
        <v>39837</v>
      </c>
      <c r="B599" s="2">
        <v>0.39583333333333331</v>
      </c>
      <c r="C599" t="s">
        <v>1737</v>
      </c>
      <c r="D599" t="s">
        <v>10</v>
      </c>
      <c r="E599">
        <v>1200</v>
      </c>
      <c r="F599" t="s">
        <v>11</v>
      </c>
      <c r="G599" t="s">
        <v>81</v>
      </c>
      <c r="H599" t="s">
        <v>1022</v>
      </c>
      <c r="I599" t="s">
        <v>993</v>
      </c>
      <c r="J599" s="5">
        <f>WEEKDAY(Table1_2[[#This Row],[Transaction date]])</f>
        <v>7</v>
      </c>
      <c r="K599"/>
    </row>
    <row r="600" spans="1:11" x14ac:dyDescent="0.45">
      <c r="A600" s="3">
        <v>39841</v>
      </c>
      <c r="B600" s="2">
        <v>0.51527777777777772</v>
      </c>
      <c r="C600" t="s">
        <v>1738</v>
      </c>
      <c r="D600" t="s">
        <v>10</v>
      </c>
      <c r="E600">
        <v>1200</v>
      </c>
      <c r="F600" t="s">
        <v>11</v>
      </c>
      <c r="G600" t="s">
        <v>1023</v>
      </c>
      <c r="H600" t="s">
        <v>1024</v>
      </c>
      <c r="I600" t="s">
        <v>993</v>
      </c>
      <c r="J600" s="5">
        <f>WEEKDAY(Table1_2[[#This Row],[Transaction date]])</f>
        <v>4</v>
      </c>
      <c r="K600"/>
    </row>
    <row r="601" spans="1:11" x14ac:dyDescent="0.45">
      <c r="A601" s="3">
        <v>39834</v>
      </c>
      <c r="B601" s="2">
        <v>0.49444444444444446</v>
      </c>
      <c r="C601" t="s">
        <v>1737</v>
      </c>
      <c r="D601" t="s">
        <v>10</v>
      </c>
      <c r="E601">
        <v>1200</v>
      </c>
      <c r="F601" t="s">
        <v>11</v>
      </c>
      <c r="G601" t="s">
        <v>419</v>
      </c>
      <c r="H601" t="s">
        <v>1026</v>
      </c>
      <c r="I601" t="s">
        <v>993</v>
      </c>
      <c r="J601" s="5">
        <f>WEEKDAY(Table1_2[[#This Row],[Transaction date]])</f>
        <v>4</v>
      </c>
      <c r="K601"/>
    </row>
    <row r="602" spans="1:11" x14ac:dyDescent="0.45">
      <c r="A602" s="3">
        <v>39842</v>
      </c>
      <c r="B602" s="2">
        <v>4.2361111111111113E-2</v>
      </c>
      <c r="C602" t="s">
        <v>1737</v>
      </c>
      <c r="D602" t="s">
        <v>10</v>
      </c>
      <c r="E602">
        <v>1200</v>
      </c>
      <c r="F602" t="s">
        <v>16</v>
      </c>
      <c r="G602" t="s">
        <v>1027</v>
      </c>
      <c r="H602" t="s">
        <v>1028</v>
      </c>
      <c r="I602" t="s">
        <v>993</v>
      </c>
      <c r="J602" s="5">
        <f>WEEKDAY(Table1_2[[#This Row],[Transaction date]])</f>
        <v>5</v>
      </c>
      <c r="K602"/>
    </row>
    <row r="603" spans="1:11" x14ac:dyDescent="0.45">
      <c r="A603" s="3">
        <v>39840</v>
      </c>
      <c r="B603" s="2">
        <v>0.15625</v>
      </c>
      <c r="C603" t="s">
        <v>1737</v>
      </c>
      <c r="D603" t="s">
        <v>20</v>
      </c>
      <c r="E603">
        <v>100000</v>
      </c>
      <c r="F603" t="s">
        <v>11</v>
      </c>
      <c r="G603" t="s">
        <v>1029</v>
      </c>
      <c r="H603" t="s">
        <v>1030</v>
      </c>
      <c r="I603" t="s">
        <v>993</v>
      </c>
      <c r="J603" s="5">
        <f>WEEKDAY(Table1_2[[#This Row],[Transaction date]])</f>
        <v>3</v>
      </c>
      <c r="K603"/>
    </row>
    <row r="604" spans="1:11" x14ac:dyDescent="0.45">
      <c r="A604" s="3">
        <v>39825</v>
      </c>
      <c r="B604" s="2">
        <v>0.47291666666666665</v>
      </c>
      <c r="C604" t="s">
        <v>1737</v>
      </c>
      <c r="D604" t="s">
        <v>10</v>
      </c>
      <c r="E604">
        <v>1200</v>
      </c>
      <c r="F604" t="s">
        <v>16</v>
      </c>
      <c r="G604" t="s">
        <v>1031</v>
      </c>
      <c r="H604" t="s">
        <v>1032</v>
      </c>
      <c r="I604" t="s">
        <v>993</v>
      </c>
      <c r="J604" s="5">
        <f>WEEKDAY(Table1_2[[#This Row],[Transaction date]])</f>
        <v>2</v>
      </c>
      <c r="K604"/>
    </row>
    <row r="605" spans="1:11" x14ac:dyDescent="0.45">
      <c r="A605" s="3">
        <v>39834</v>
      </c>
      <c r="B605" s="2">
        <v>0.49722222222222223</v>
      </c>
      <c r="C605" t="s">
        <v>1737</v>
      </c>
      <c r="D605" t="s">
        <v>10</v>
      </c>
      <c r="E605">
        <v>1200</v>
      </c>
      <c r="F605" t="s">
        <v>11</v>
      </c>
      <c r="G605" t="s">
        <v>1033</v>
      </c>
      <c r="H605" t="s">
        <v>1034</v>
      </c>
      <c r="I605" t="s">
        <v>993</v>
      </c>
      <c r="J605" s="5">
        <f>WEEKDAY(Table1_2[[#This Row],[Transaction date]])</f>
        <v>4</v>
      </c>
      <c r="K605"/>
    </row>
    <row r="606" spans="1:11" x14ac:dyDescent="0.45">
      <c r="A606" s="3">
        <v>39843</v>
      </c>
      <c r="B606" s="2">
        <v>0.26250000000000001</v>
      </c>
      <c r="C606" t="s">
        <v>1737</v>
      </c>
      <c r="D606" t="s">
        <v>20</v>
      </c>
      <c r="E606">
        <v>100000</v>
      </c>
      <c r="F606" t="s">
        <v>16</v>
      </c>
      <c r="G606" t="s">
        <v>911</v>
      </c>
      <c r="H606" t="s">
        <v>1035</v>
      </c>
      <c r="I606" t="s">
        <v>993</v>
      </c>
      <c r="J606" s="5">
        <f>WEEKDAY(Table1_2[[#This Row],[Transaction date]])</f>
        <v>6</v>
      </c>
      <c r="K606"/>
    </row>
    <row r="607" spans="1:11" x14ac:dyDescent="0.45">
      <c r="A607" s="3">
        <v>39834</v>
      </c>
      <c r="B607" s="2">
        <v>9.7222222222222224E-2</v>
      </c>
      <c r="C607" t="s">
        <v>1737</v>
      </c>
      <c r="D607" t="s">
        <v>20</v>
      </c>
      <c r="E607">
        <v>100000</v>
      </c>
      <c r="F607" t="s">
        <v>11</v>
      </c>
      <c r="G607" t="s">
        <v>133</v>
      </c>
      <c r="H607" t="s">
        <v>1037</v>
      </c>
      <c r="I607" t="s">
        <v>993</v>
      </c>
      <c r="J607" s="5">
        <f>WEEKDAY(Table1_2[[#This Row],[Transaction date]])</f>
        <v>4</v>
      </c>
      <c r="K607"/>
    </row>
    <row r="608" spans="1:11" x14ac:dyDescent="0.45">
      <c r="A608" s="3">
        <v>39838</v>
      </c>
      <c r="B608" s="2">
        <v>7.6388888888888895E-2</v>
      </c>
      <c r="C608" t="s">
        <v>1737</v>
      </c>
      <c r="D608" t="s">
        <v>20</v>
      </c>
      <c r="E608">
        <v>100000</v>
      </c>
      <c r="F608" t="s">
        <v>11</v>
      </c>
      <c r="G608" t="s">
        <v>212</v>
      </c>
      <c r="H608" t="s">
        <v>995</v>
      </c>
      <c r="I608" t="s">
        <v>993</v>
      </c>
      <c r="J608" s="5">
        <f>WEEKDAY(Table1_2[[#This Row],[Transaction date]])</f>
        <v>1</v>
      </c>
      <c r="K608"/>
    </row>
    <row r="609" spans="1:11" x14ac:dyDescent="0.45">
      <c r="A609" s="3">
        <v>39843</v>
      </c>
      <c r="B609" s="2">
        <v>4.791666666666667E-2</v>
      </c>
      <c r="C609" t="s">
        <v>1737</v>
      </c>
      <c r="D609" t="s">
        <v>10</v>
      </c>
      <c r="E609">
        <v>1200</v>
      </c>
      <c r="F609" t="s">
        <v>16</v>
      </c>
      <c r="G609" t="s">
        <v>1038</v>
      </c>
      <c r="H609" t="s">
        <v>1039</v>
      </c>
      <c r="I609" t="s">
        <v>993</v>
      </c>
      <c r="J609" s="5">
        <f>WEEKDAY(Table1_2[[#This Row],[Transaction date]])</f>
        <v>6</v>
      </c>
      <c r="K609"/>
    </row>
    <row r="610" spans="1:11" x14ac:dyDescent="0.45">
      <c r="A610" s="3">
        <v>39821</v>
      </c>
      <c r="B610" s="2">
        <v>0.46805555555555556</v>
      </c>
      <c r="C610" t="s">
        <v>1737</v>
      </c>
      <c r="D610" t="s">
        <v>20</v>
      </c>
      <c r="E610">
        <v>100000</v>
      </c>
      <c r="F610" t="s">
        <v>11</v>
      </c>
      <c r="G610" t="s">
        <v>1040</v>
      </c>
      <c r="H610" t="s">
        <v>1041</v>
      </c>
      <c r="I610" t="s">
        <v>993</v>
      </c>
      <c r="J610" s="5">
        <f>WEEKDAY(Table1_2[[#This Row],[Transaction date]])</f>
        <v>5</v>
      </c>
      <c r="K610"/>
    </row>
    <row r="611" spans="1:11" x14ac:dyDescent="0.45">
      <c r="A611" s="3">
        <v>39843</v>
      </c>
      <c r="B611" s="2">
        <v>0.10833333333333334</v>
      </c>
      <c r="C611" t="s">
        <v>1737</v>
      </c>
      <c r="D611" t="s">
        <v>10</v>
      </c>
      <c r="E611">
        <v>1200</v>
      </c>
      <c r="F611" t="s">
        <v>11</v>
      </c>
      <c r="G611" t="s">
        <v>1042</v>
      </c>
      <c r="H611" t="s">
        <v>992</v>
      </c>
      <c r="I611" t="s">
        <v>993</v>
      </c>
      <c r="J611" s="5">
        <f>WEEKDAY(Table1_2[[#This Row],[Transaction date]])</f>
        <v>6</v>
      </c>
      <c r="K611"/>
    </row>
    <row r="612" spans="1:11" x14ac:dyDescent="0.45">
      <c r="A612" s="3">
        <v>39839</v>
      </c>
      <c r="B612" s="2">
        <v>0.27569444444444446</v>
      </c>
      <c r="C612" t="s">
        <v>1737</v>
      </c>
      <c r="D612" t="s">
        <v>10</v>
      </c>
      <c r="E612">
        <v>1200</v>
      </c>
      <c r="F612" t="s">
        <v>11</v>
      </c>
      <c r="G612" t="s">
        <v>1043</v>
      </c>
      <c r="H612" t="s">
        <v>1044</v>
      </c>
      <c r="I612" t="s">
        <v>993</v>
      </c>
      <c r="J612" s="5">
        <f>WEEKDAY(Table1_2[[#This Row],[Transaction date]])</f>
        <v>2</v>
      </c>
      <c r="K612"/>
    </row>
    <row r="613" spans="1:11" x14ac:dyDescent="0.45">
      <c r="A613" s="3">
        <v>39821</v>
      </c>
      <c r="B613" s="2">
        <v>0.11736111111111111</v>
      </c>
      <c r="C613" t="s">
        <v>1737</v>
      </c>
      <c r="D613" t="s">
        <v>20</v>
      </c>
      <c r="E613">
        <v>100000</v>
      </c>
      <c r="F613" t="s">
        <v>16</v>
      </c>
      <c r="G613" t="s">
        <v>508</v>
      </c>
      <c r="H613" t="s">
        <v>1045</v>
      </c>
      <c r="I613" t="s">
        <v>993</v>
      </c>
      <c r="J613" s="5">
        <f>WEEKDAY(Table1_2[[#This Row],[Transaction date]])</f>
        <v>5</v>
      </c>
      <c r="K613"/>
    </row>
    <row r="614" spans="1:11" x14ac:dyDescent="0.45">
      <c r="A614" s="3">
        <v>39829</v>
      </c>
      <c r="B614" s="2">
        <v>0.21666666666666667</v>
      </c>
      <c r="C614" t="s">
        <v>1737</v>
      </c>
      <c r="D614" t="s">
        <v>20</v>
      </c>
      <c r="E614">
        <v>100000</v>
      </c>
      <c r="F614" t="s">
        <v>11</v>
      </c>
      <c r="G614" t="s">
        <v>592</v>
      </c>
      <c r="H614" t="s">
        <v>1046</v>
      </c>
      <c r="I614" t="s">
        <v>993</v>
      </c>
      <c r="J614" s="5">
        <f>WEEKDAY(Table1_2[[#This Row],[Transaction date]])</f>
        <v>6</v>
      </c>
      <c r="K614"/>
    </row>
    <row r="615" spans="1:11" x14ac:dyDescent="0.45">
      <c r="A615" s="3">
        <v>39836</v>
      </c>
      <c r="B615" s="2">
        <v>0.24444444444444444</v>
      </c>
      <c r="C615" t="s">
        <v>1737</v>
      </c>
      <c r="D615" t="s">
        <v>10</v>
      </c>
      <c r="E615">
        <v>1200</v>
      </c>
      <c r="F615" t="s">
        <v>63</v>
      </c>
      <c r="G615" t="s">
        <v>1048</v>
      </c>
      <c r="H615" t="s">
        <v>1007</v>
      </c>
      <c r="I615" t="s">
        <v>993</v>
      </c>
      <c r="J615" s="5">
        <f>WEEKDAY(Table1_2[[#This Row],[Transaction date]])</f>
        <v>6</v>
      </c>
      <c r="K615"/>
    </row>
    <row r="616" spans="1:11" x14ac:dyDescent="0.45">
      <c r="A616" s="3">
        <v>39826</v>
      </c>
      <c r="B616" s="2">
        <v>0.39305555555555555</v>
      </c>
      <c r="C616" t="s">
        <v>1737</v>
      </c>
      <c r="D616" t="s">
        <v>10</v>
      </c>
      <c r="E616">
        <v>1200</v>
      </c>
      <c r="F616" t="s">
        <v>11</v>
      </c>
      <c r="G616" t="s">
        <v>1049</v>
      </c>
      <c r="H616" t="s">
        <v>1050</v>
      </c>
      <c r="I616" t="s">
        <v>993</v>
      </c>
      <c r="J616" s="5">
        <f>WEEKDAY(Table1_2[[#This Row],[Transaction date]])</f>
        <v>3</v>
      </c>
      <c r="K616"/>
    </row>
    <row r="617" spans="1:11" x14ac:dyDescent="0.45">
      <c r="A617" s="3">
        <v>39839</v>
      </c>
      <c r="B617" s="2">
        <v>7.013888888888889E-2</v>
      </c>
      <c r="C617" t="s">
        <v>1737</v>
      </c>
      <c r="D617" t="s">
        <v>10</v>
      </c>
      <c r="E617">
        <v>1200</v>
      </c>
      <c r="F617" t="s">
        <v>16</v>
      </c>
      <c r="G617" t="s">
        <v>1051</v>
      </c>
      <c r="H617" t="s">
        <v>1052</v>
      </c>
      <c r="I617" t="s">
        <v>993</v>
      </c>
      <c r="J617" s="5">
        <f>WEEKDAY(Table1_2[[#This Row],[Transaction date]])</f>
        <v>2</v>
      </c>
      <c r="K617"/>
    </row>
    <row r="618" spans="1:11" x14ac:dyDescent="0.45">
      <c r="A618" s="3">
        <v>39818</v>
      </c>
      <c r="B618" s="2">
        <v>0.52152777777777781</v>
      </c>
      <c r="C618" t="s">
        <v>1738</v>
      </c>
      <c r="D618" t="s">
        <v>10</v>
      </c>
      <c r="E618">
        <v>1200</v>
      </c>
      <c r="F618" t="s">
        <v>16</v>
      </c>
      <c r="G618" t="s">
        <v>1053</v>
      </c>
      <c r="H618" t="s">
        <v>1054</v>
      </c>
      <c r="I618" t="s">
        <v>1056</v>
      </c>
      <c r="J618" s="5">
        <f>WEEKDAY(Table1_2[[#This Row],[Transaction date]])</f>
        <v>2</v>
      </c>
      <c r="K618"/>
    </row>
    <row r="619" spans="1:11" x14ac:dyDescent="0.45">
      <c r="A619" s="3">
        <v>39816</v>
      </c>
      <c r="B619" s="2">
        <v>0.27847222222222223</v>
      </c>
      <c r="C619" t="s">
        <v>1737</v>
      </c>
      <c r="D619" t="s">
        <v>20</v>
      </c>
      <c r="E619">
        <v>100000</v>
      </c>
      <c r="F619" t="s">
        <v>11</v>
      </c>
      <c r="G619" t="s">
        <v>1057</v>
      </c>
      <c r="H619" t="s">
        <v>1058</v>
      </c>
      <c r="I619" t="s">
        <v>1056</v>
      </c>
      <c r="J619" s="5">
        <f>WEEKDAY(Table1_2[[#This Row],[Transaction date]])</f>
        <v>7</v>
      </c>
      <c r="K619"/>
    </row>
    <row r="620" spans="1:11" x14ac:dyDescent="0.45">
      <c r="A620" s="3">
        <v>39838</v>
      </c>
      <c r="B620" s="2">
        <v>0.26458333333333334</v>
      </c>
      <c r="C620" t="s">
        <v>1737</v>
      </c>
      <c r="D620" t="s">
        <v>10</v>
      </c>
      <c r="E620">
        <v>1200</v>
      </c>
      <c r="F620" t="s">
        <v>11</v>
      </c>
      <c r="G620" t="s">
        <v>1060</v>
      </c>
      <c r="H620" t="s">
        <v>1061</v>
      </c>
      <c r="I620" t="s">
        <v>1056</v>
      </c>
      <c r="J620" s="5">
        <f>WEEKDAY(Table1_2[[#This Row],[Transaction date]])</f>
        <v>1</v>
      </c>
      <c r="K620"/>
    </row>
    <row r="621" spans="1:11" x14ac:dyDescent="0.45">
      <c r="A621" s="3">
        <v>39841</v>
      </c>
      <c r="B621" s="2">
        <v>6.805555555555555E-2</v>
      </c>
      <c r="C621" t="s">
        <v>1737</v>
      </c>
      <c r="D621" t="s">
        <v>10</v>
      </c>
      <c r="E621">
        <v>1200</v>
      </c>
      <c r="F621" t="s">
        <v>16</v>
      </c>
      <c r="G621" t="s">
        <v>187</v>
      </c>
      <c r="H621" t="s">
        <v>1055</v>
      </c>
      <c r="I621" t="s">
        <v>1056</v>
      </c>
      <c r="J621" s="5">
        <f>WEEKDAY(Table1_2[[#This Row],[Transaction date]])</f>
        <v>4</v>
      </c>
      <c r="K621"/>
    </row>
    <row r="622" spans="1:11" x14ac:dyDescent="0.45">
      <c r="A622" s="3">
        <v>39825</v>
      </c>
      <c r="B622" s="2">
        <v>0.34236111111111112</v>
      </c>
      <c r="C622" t="s">
        <v>1737</v>
      </c>
      <c r="D622" t="s">
        <v>10</v>
      </c>
      <c r="E622">
        <v>1200</v>
      </c>
      <c r="F622" t="s">
        <v>63</v>
      </c>
      <c r="G622" t="s">
        <v>1063</v>
      </c>
      <c r="H622" t="s">
        <v>1064</v>
      </c>
      <c r="I622" t="s">
        <v>1056</v>
      </c>
      <c r="J622" s="5">
        <f>WEEKDAY(Table1_2[[#This Row],[Transaction date]])</f>
        <v>2</v>
      </c>
      <c r="K622"/>
    </row>
    <row r="623" spans="1:11" x14ac:dyDescent="0.45">
      <c r="A623" s="3">
        <v>39825</v>
      </c>
      <c r="B623" s="2">
        <v>0.51527777777777772</v>
      </c>
      <c r="C623" t="s">
        <v>1738</v>
      </c>
      <c r="D623" t="s">
        <v>10</v>
      </c>
      <c r="E623">
        <v>1200</v>
      </c>
      <c r="F623" t="s">
        <v>16</v>
      </c>
      <c r="G623" t="s">
        <v>1065</v>
      </c>
      <c r="H623" t="s">
        <v>1066</v>
      </c>
      <c r="I623" t="s">
        <v>1056</v>
      </c>
      <c r="J623" s="5">
        <f>WEEKDAY(Table1_2[[#This Row],[Transaction date]])</f>
        <v>2</v>
      </c>
      <c r="K623"/>
    </row>
    <row r="624" spans="1:11" x14ac:dyDescent="0.45">
      <c r="A624" s="3">
        <v>39840</v>
      </c>
      <c r="B624" s="2">
        <v>0.16319444444444445</v>
      </c>
      <c r="C624" t="s">
        <v>1737</v>
      </c>
      <c r="D624" t="s">
        <v>10</v>
      </c>
      <c r="E624">
        <v>1200</v>
      </c>
      <c r="F624" t="s">
        <v>63</v>
      </c>
      <c r="G624" t="s">
        <v>1068</v>
      </c>
      <c r="H624" t="s">
        <v>1069</v>
      </c>
      <c r="I624" t="s">
        <v>1056</v>
      </c>
      <c r="J624" s="5">
        <f>WEEKDAY(Table1_2[[#This Row],[Transaction date]])</f>
        <v>3</v>
      </c>
      <c r="K624"/>
    </row>
    <row r="625" spans="1:11" x14ac:dyDescent="0.45">
      <c r="A625" s="3">
        <v>39825</v>
      </c>
      <c r="B625" s="2">
        <v>0.50277777777777777</v>
      </c>
      <c r="C625" t="s">
        <v>1738</v>
      </c>
      <c r="D625" t="s">
        <v>10</v>
      </c>
      <c r="E625">
        <v>1200</v>
      </c>
      <c r="F625" t="s">
        <v>11</v>
      </c>
      <c r="G625" t="s">
        <v>1070</v>
      </c>
      <c r="H625" t="s">
        <v>1064</v>
      </c>
      <c r="I625" t="s">
        <v>1056</v>
      </c>
      <c r="J625" s="5">
        <f>WEEKDAY(Table1_2[[#This Row],[Transaction date]])</f>
        <v>2</v>
      </c>
      <c r="K625"/>
    </row>
    <row r="626" spans="1:11" x14ac:dyDescent="0.45">
      <c r="A626" s="3">
        <v>39832</v>
      </c>
      <c r="B626" s="2">
        <v>5.2083333333333336E-2</v>
      </c>
      <c r="C626" t="s">
        <v>1737</v>
      </c>
      <c r="D626" t="s">
        <v>10</v>
      </c>
      <c r="E626">
        <v>1200</v>
      </c>
      <c r="F626" t="s">
        <v>11</v>
      </c>
      <c r="G626" t="s">
        <v>775</v>
      </c>
      <c r="H626" t="s">
        <v>1071</v>
      </c>
      <c r="I626" t="s">
        <v>1056</v>
      </c>
      <c r="J626" s="5">
        <f>WEEKDAY(Table1_2[[#This Row],[Transaction date]])</f>
        <v>2</v>
      </c>
      <c r="K626"/>
    </row>
    <row r="627" spans="1:11" x14ac:dyDescent="0.45">
      <c r="A627" s="3">
        <v>39844</v>
      </c>
      <c r="B627" s="2">
        <v>0.46041666666666664</v>
      </c>
      <c r="C627" t="s">
        <v>1737</v>
      </c>
      <c r="D627" t="s">
        <v>10</v>
      </c>
      <c r="E627">
        <v>1200</v>
      </c>
      <c r="F627" t="s">
        <v>11</v>
      </c>
      <c r="G627" t="s">
        <v>1072</v>
      </c>
      <c r="H627" t="s">
        <v>1073</v>
      </c>
      <c r="I627" t="s">
        <v>1056</v>
      </c>
      <c r="J627" s="5">
        <f>WEEKDAY(Table1_2[[#This Row],[Transaction date]])</f>
        <v>7</v>
      </c>
      <c r="K627"/>
    </row>
    <row r="628" spans="1:11" x14ac:dyDescent="0.45">
      <c r="A628" s="3">
        <v>39836</v>
      </c>
      <c r="B628" s="2">
        <v>0.38124999999999998</v>
      </c>
      <c r="C628" t="s">
        <v>1737</v>
      </c>
      <c r="D628" t="s">
        <v>20</v>
      </c>
      <c r="E628">
        <v>100000</v>
      </c>
      <c r="F628" t="s">
        <v>63</v>
      </c>
      <c r="G628" t="s">
        <v>1074</v>
      </c>
      <c r="H628" t="s">
        <v>1075</v>
      </c>
      <c r="I628" t="s">
        <v>1056</v>
      </c>
      <c r="J628" s="5">
        <f>WEEKDAY(Table1_2[[#This Row],[Transaction date]])</f>
        <v>6</v>
      </c>
      <c r="K628"/>
    </row>
    <row r="629" spans="1:11" x14ac:dyDescent="0.45">
      <c r="A629" s="3">
        <v>39833</v>
      </c>
      <c r="B629" s="2">
        <v>0.11666666666666667</v>
      </c>
      <c r="C629" t="s">
        <v>1737</v>
      </c>
      <c r="D629" t="s">
        <v>20</v>
      </c>
      <c r="E629">
        <v>100000</v>
      </c>
      <c r="F629" t="s">
        <v>11</v>
      </c>
      <c r="G629" t="s">
        <v>600</v>
      </c>
      <c r="H629" t="s">
        <v>1076</v>
      </c>
      <c r="I629" t="s">
        <v>1056</v>
      </c>
      <c r="J629" s="5">
        <f>WEEKDAY(Table1_2[[#This Row],[Transaction date]])</f>
        <v>3</v>
      </c>
      <c r="K629"/>
    </row>
    <row r="630" spans="1:11" x14ac:dyDescent="0.45">
      <c r="A630" s="3">
        <v>39844</v>
      </c>
      <c r="B630" s="2">
        <v>0.2013888888888889</v>
      </c>
      <c r="C630" t="s">
        <v>1737</v>
      </c>
      <c r="D630" t="s">
        <v>10</v>
      </c>
      <c r="E630">
        <v>1200</v>
      </c>
      <c r="F630" t="s">
        <v>16</v>
      </c>
      <c r="G630" t="s">
        <v>1078</v>
      </c>
      <c r="H630" t="s">
        <v>1079</v>
      </c>
      <c r="I630" t="s">
        <v>1056</v>
      </c>
      <c r="J630" s="5">
        <f>WEEKDAY(Table1_2[[#This Row],[Transaction date]])</f>
        <v>7</v>
      </c>
      <c r="K630"/>
    </row>
    <row r="631" spans="1:11" x14ac:dyDescent="0.45">
      <c r="A631" s="3">
        <v>39825</v>
      </c>
      <c r="B631" s="2">
        <v>0.31111111111111112</v>
      </c>
      <c r="C631" t="s">
        <v>1737</v>
      </c>
      <c r="D631" t="s">
        <v>10</v>
      </c>
      <c r="E631">
        <v>1200</v>
      </c>
      <c r="F631" t="s">
        <v>63</v>
      </c>
      <c r="G631" t="s">
        <v>731</v>
      </c>
      <c r="H631" t="s">
        <v>1080</v>
      </c>
      <c r="I631" t="s">
        <v>1082</v>
      </c>
      <c r="J631" s="5">
        <f>WEEKDAY(Table1_2[[#This Row],[Transaction date]])</f>
        <v>2</v>
      </c>
      <c r="K631"/>
    </row>
    <row r="632" spans="1:11" x14ac:dyDescent="0.45">
      <c r="A632" s="3">
        <v>39826</v>
      </c>
      <c r="B632" s="2">
        <v>8.6805555555555552E-2</v>
      </c>
      <c r="C632" t="s">
        <v>1737</v>
      </c>
      <c r="D632" t="s">
        <v>10</v>
      </c>
      <c r="E632">
        <v>1200</v>
      </c>
      <c r="F632" t="s">
        <v>63</v>
      </c>
      <c r="G632" t="s">
        <v>1083</v>
      </c>
      <c r="H632" t="s">
        <v>1084</v>
      </c>
      <c r="I632" t="s">
        <v>1082</v>
      </c>
      <c r="J632" s="5">
        <f>WEEKDAY(Table1_2[[#This Row],[Transaction date]])</f>
        <v>3</v>
      </c>
      <c r="K632"/>
    </row>
    <row r="633" spans="1:11" x14ac:dyDescent="0.45">
      <c r="A633" s="3">
        <v>39840</v>
      </c>
      <c r="B633" s="2">
        <v>0.37569444444444444</v>
      </c>
      <c r="C633" t="s">
        <v>1737</v>
      </c>
      <c r="D633" t="s">
        <v>10</v>
      </c>
      <c r="E633">
        <v>1200</v>
      </c>
      <c r="F633" t="s">
        <v>11</v>
      </c>
      <c r="G633" t="s">
        <v>1086</v>
      </c>
      <c r="H633" t="s">
        <v>1084</v>
      </c>
      <c r="I633" t="s">
        <v>1082</v>
      </c>
      <c r="J633" s="5">
        <f>WEEKDAY(Table1_2[[#This Row],[Transaction date]])</f>
        <v>3</v>
      </c>
      <c r="K633"/>
    </row>
    <row r="634" spans="1:11" x14ac:dyDescent="0.45">
      <c r="A634" s="3">
        <v>39825</v>
      </c>
      <c r="B634" s="2">
        <v>0.46944444444444444</v>
      </c>
      <c r="C634" t="s">
        <v>1737</v>
      </c>
      <c r="D634" t="s">
        <v>10</v>
      </c>
      <c r="E634">
        <v>1200</v>
      </c>
      <c r="F634" t="s">
        <v>11</v>
      </c>
      <c r="G634" t="s">
        <v>592</v>
      </c>
      <c r="H634" t="s">
        <v>1087</v>
      </c>
      <c r="I634" t="s">
        <v>1082</v>
      </c>
      <c r="J634" s="5">
        <f>WEEKDAY(Table1_2[[#This Row],[Transaction date]])</f>
        <v>2</v>
      </c>
      <c r="K634"/>
    </row>
    <row r="635" spans="1:11" x14ac:dyDescent="0.45">
      <c r="A635" s="3">
        <v>39840</v>
      </c>
      <c r="B635" s="2">
        <v>0.4597222222222222</v>
      </c>
      <c r="C635" t="s">
        <v>1737</v>
      </c>
      <c r="D635" t="s">
        <v>10</v>
      </c>
      <c r="E635">
        <v>1200</v>
      </c>
      <c r="F635" t="s">
        <v>16</v>
      </c>
      <c r="G635" t="s">
        <v>1088</v>
      </c>
      <c r="H635" t="s">
        <v>1087</v>
      </c>
      <c r="I635" t="s">
        <v>1082</v>
      </c>
      <c r="J635" s="5">
        <f>WEEKDAY(Table1_2[[#This Row],[Transaction date]])</f>
        <v>3</v>
      </c>
      <c r="K635"/>
    </row>
    <row r="636" spans="1:11" x14ac:dyDescent="0.45">
      <c r="A636" s="3">
        <v>39815</v>
      </c>
      <c r="B636" s="2">
        <v>0.46250000000000002</v>
      </c>
      <c r="C636" t="s">
        <v>1737</v>
      </c>
      <c r="D636" t="s">
        <v>10</v>
      </c>
      <c r="E636">
        <v>1200</v>
      </c>
      <c r="F636" t="s">
        <v>16</v>
      </c>
      <c r="G636" t="s">
        <v>1089</v>
      </c>
      <c r="H636" t="s">
        <v>1090</v>
      </c>
      <c r="I636" t="s">
        <v>1082</v>
      </c>
      <c r="J636" s="5">
        <f>WEEKDAY(Table1_2[[#This Row],[Transaction date]])</f>
        <v>6</v>
      </c>
      <c r="K636"/>
    </row>
    <row r="637" spans="1:11" x14ac:dyDescent="0.45">
      <c r="A637" s="3">
        <v>39831</v>
      </c>
      <c r="B637" s="2">
        <v>0.46041666666666664</v>
      </c>
      <c r="C637" t="s">
        <v>1737</v>
      </c>
      <c r="D637" t="s">
        <v>20</v>
      </c>
      <c r="E637">
        <v>100000</v>
      </c>
      <c r="F637" t="s">
        <v>63</v>
      </c>
      <c r="G637" t="s">
        <v>1092</v>
      </c>
      <c r="H637" t="s">
        <v>1093</v>
      </c>
      <c r="I637" t="s">
        <v>1082</v>
      </c>
      <c r="J637" s="5">
        <f>WEEKDAY(Table1_2[[#This Row],[Transaction date]])</f>
        <v>1</v>
      </c>
      <c r="K637"/>
    </row>
    <row r="638" spans="1:11" x14ac:dyDescent="0.45">
      <c r="A638" s="3">
        <v>39827</v>
      </c>
      <c r="B638" s="2">
        <v>0.3125</v>
      </c>
      <c r="C638" t="s">
        <v>1737</v>
      </c>
      <c r="D638" t="s">
        <v>10</v>
      </c>
      <c r="E638">
        <v>1200</v>
      </c>
      <c r="F638" t="s">
        <v>11</v>
      </c>
      <c r="G638" t="s">
        <v>1094</v>
      </c>
      <c r="H638" t="s">
        <v>1095</v>
      </c>
      <c r="I638" t="s">
        <v>1082</v>
      </c>
      <c r="J638" s="5">
        <f>WEEKDAY(Table1_2[[#This Row],[Transaction date]])</f>
        <v>4</v>
      </c>
      <c r="K638"/>
    </row>
    <row r="639" spans="1:11" x14ac:dyDescent="0.45">
      <c r="A639" s="3">
        <v>39839</v>
      </c>
      <c r="B639" s="2">
        <v>5.1388888888888887E-2</v>
      </c>
      <c r="C639" t="s">
        <v>1737</v>
      </c>
      <c r="D639" t="s">
        <v>10</v>
      </c>
      <c r="E639">
        <v>1200</v>
      </c>
      <c r="F639" t="s">
        <v>11</v>
      </c>
      <c r="G639" t="s">
        <v>1097</v>
      </c>
      <c r="H639" t="s">
        <v>1098</v>
      </c>
      <c r="I639" t="s">
        <v>1082</v>
      </c>
      <c r="J639" s="5">
        <f>WEEKDAY(Table1_2[[#This Row],[Transaction date]])</f>
        <v>2</v>
      </c>
      <c r="K639"/>
    </row>
    <row r="640" spans="1:11" x14ac:dyDescent="0.45">
      <c r="A640" s="3">
        <v>39836</v>
      </c>
      <c r="B640" s="2">
        <v>0.39374999999999999</v>
      </c>
      <c r="C640" t="s">
        <v>1737</v>
      </c>
      <c r="D640" t="s">
        <v>10</v>
      </c>
      <c r="E640">
        <v>1200</v>
      </c>
      <c r="F640" t="s">
        <v>16</v>
      </c>
      <c r="G640" t="s">
        <v>1099</v>
      </c>
      <c r="H640" t="s">
        <v>1087</v>
      </c>
      <c r="I640" t="s">
        <v>1082</v>
      </c>
      <c r="J640" s="5">
        <f>WEEKDAY(Table1_2[[#This Row],[Transaction date]])</f>
        <v>6</v>
      </c>
      <c r="K640"/>
    </row>
    <row r="641" spans="1:11" x14ac:dyDescent="0.45">
      <c r="A641" s="3">
        <v>39822</v>
      </c>
      <c r="B641" s="2">
        <v>0.21875</v>
      </c>
      <c r="C641" t="s">
        <v>1737</v>
      </c>
      <c r="D641" t="s">
        <v>10</v>
      </c>
      <c r="E641">
        <v>1200</v>
      </c>
      <c r="F641" t="s">
        <v>11</v>
      </c>
      <c r="G641" t="s">
        <v>1100</v>
      </c>
      <c r="H641" t="s">
        <v>1101</v>
      </c>
      <c r="I641" t="s">
        <v>1082</v>
      </c>
      <c r="J641" s="5">
        <f>WEEKDAY(Table1_2[[#This Row],[Transaction date]])</f>
        <v>6</v>
      </c>
      <c r="K641"/>
    </row>
    <row r="642" spans="1:11" x14ac:dyDescent="0.45">
      <c r="A642" s="3">
        <v>39837</v>
      </c>
      <c r="B642" s="2">
        <v>0.5</v>
      </c>
      <c r="C642" t="s">
        <v>1738</v>
      </c>
      <c r="D642" t="s">
        <v>10</v>
      </c>
      <c r="E642">
        <v>1200</v>
      </c>
      <c r="F642" t="s">
        <v>11</v>
      </c>
      <c r="G642" t="s">
        <v>396</v>
      </c>
      <c r="H642" t="s">
        <v>1102</v>
      </c>
      <c r="I642" t="s">
        <v>1082</v>
      </c>
      <c r="J642" s="5">
        <f>WEEKDAY(Table1_2[[#This Row],[Transaction date]])</f>
        <v>7</v>
      </c>
      <c r="K642"/>
    </row>
    <row r="643" spans="1:11" x14ac:dyDescent="0.45">
      <c r="A643" s="3">
        <v>39817</v>
      </c>
      <c r="B643" s="2">
        <v>0.21666666666666667</v>
      </c>
      <c r="C643" t="s">
        <v>1737</v>
      </c>
      <c r="D643" t="s">
        <v>10</v>
      </c>
      <c r="E643">
        <v>1200</v>
      </c>
      <c r="F643" t="s">
        <v>11</v>
      </c>
      <c r="G643" t="s">
        <v>1103</v>
      </c>
      <c r="H643" t="s">
        <v>1104</v>
      </c>
      <c r="I643" t="s">
        <v>1106</v>
      </c>
      <c r="J643" s="5">
        <f>WEEKDAY(Table1_2[[#This Row],[Transaction date]])</f>
        <v>1</v>
      </c>
      <c r="K643"/>
    </row>
    <row r="644" spans="1:11" x14ac:dyDescent="0.45">
      <c r="A644" s="3">
        <v>39818</v>
      </c>
      <c r="B644" s="2">
        <v>0.1736111111111111</v>
      </c>
      <c r="C644" t="s">
        <v>1737</v>
      </c>
      <c r="D644" t="s">
        <v>10</v>
      </c>
      <c r="E644">
        <v>1200</v>
      </c>
      <c r="F644" t="s">
        <v>16</v>
      </c>
      <c r="G644" t="s">
        <v>533</v>
      </c>
      <c r="H644" t="s">
        <v>1107</v>
      </c>
      <c r="I644" t="s">
        <v>1109</v>
      </c>
      <c r="J644" s="5">
        <f>WEEKDAY(Table1_2[[#This Row],[Transaction date]])</f>
        <v>2</v>
      </c>
      <c r="K644"/>
    </row>
    <row r="645" spans="1:11" x14ac:dyDescent="0.45">
      <c r="A645" s="3">
        <v>39826</v>
      </c>
      <c r="B645" s="2">
        <v>7.7083333333333337E-2</v>
      </c>
      <c r="C645" t="s">
        <v>1737</v>
      </c>
      <c r="D645" t="s">
        <v>10</v>
      </c>
      <c r="E645">
        <v>1200</v>
      </c>
      <c r="F645" t="s">
        <v>11</v>
      </c>
      <c r="G645" t="s">
        <v>1110</v>
      </c>
      <c r="H645" t="s">
        <v>1111</v>
      </c>
      <c r="I645" t="s">
        <v>1109</v>
      </c>
      <c r="J645" s="5">
        <f>WEEKDAY(Table1_2[[#This Row],[Transaction date]])</f>
        <v>3</v>
      </c>
      <c r="K645"/>
    </row>
    <row r="646" spans="1:11" x14ac:dyDescent="0.45">
      <c r="A646" s="3">
        <v>39829</v>
      </c>
      <c r="B646" s="2">
        <v>0.41249999999999998</v>
      </c>
      <c r="C646" t="s">
        <v>1737</v>
      </c>
      <c r="D646" t="s">
        <v>10</v>
      </c>
      <c r="E646">
        <v>1200</v>
      </c>
      <c r="F646" t="s">
        <v>16</v>
      </c>
      <c r="G646" t="s">
        <v>1112</v>
      </c>
      <c r="H646" t="s">
        <v>1113</v>
      </c>
      <c r="I646" t="s">
        <v>1109</v>
      </c>
      <c r="J646" s="5">
        <f>WEEKDAY(Table1_2[[#This Row],[Transaction date]])</f>
        <v>6</v>
      </c>
      <c r="K646"/>
    </row>
    <row r="647" spans="1:11" x14ac:dyDescent="0.45">
      <c r="A647" s="3">
        <v>39838</v>
      </c>
      <c r="B647" s="2">
        <v>7.8472222222222221E-2</v>
      </c>
      <c r="C647" t="s">
        <v>1737</v>
      </c>
      <c r="D647" t="s">
        <v>230</v>
      </c>
      <c r="E647">
        <v>100000</v>
      </c>
      <c r="F647" t="s">
        <v>11</v>
      </c>
      <c r="G647" t="s">
        <v>600</v>
      </c>
      <c r="H647" t="s">
        <v>1115</v>
      </c>
      <c r="I647" t="s">
        <v>1109</v>
      </c>
      <c r="J647" s="5">
        <f>WEEKDAY(Table1_2[[#This Row],[Transaction date]])</f>
        <v>1</v>
      </c>
      <c r="K647"/>
    </row>
    <row r="648" spans="1:11" x14ac:dyDescent="0.45">
      <c r="A648" s="3">
        <v>39829</v>
      </c>
      <c r="B648" s="2">
        <v>0.2590277777777778</v>
      </c>
      <c r="C648" t="s">
        <v>1737</v>
      </c>
      <c r="D648" t="s">
        <v>10</v>
      </c>
      <c r="E648">
        <v>1200</v>
      </c>
      <c r="F648" t="s">
        <v>16</v>
      </c>
      <c r="G648" t="s">
        <v>1116</v>
      </c>
      <c r="H648" t="s">
        <v>1117</v>
      </c>
      <c r="I648" t="s">
        <v>1109</v>
      </c>
      <c r="J648" s="5">
        <f>WEEKDAY(Table1_2[[#This Row],[Transaction date]])</f>
        <v>6</v>
      </c>
      <c r="K648"/>
    </row>
    <row r="649" spans="1:11" x14ac:dyDescent="0.45">
      <c r="A649" s="3">
        <v>39839</v>
      </c>
      <c r="B649" s="2">
        <v>0.4777777777777778</v>
      </c>
      <c r="C649" t="s">
        <v>1737</v>
      </c>
      <c r="D649" t="s">
        <v>20</v>
      </c>
      <c r="E649">
        <v>100000</v>
      </c>
      <c r="F649" t="s">
        <v>63</v>
      </c>
      <c r="G649" t="s">
        <v>1118</v>
      </c>
      <c r="H649" t="s">
        <v>1119</v>
      </c>
      <c r="I649" t="s">
        <v>1121</v>
      </c>
      <c r="J649" s="5">
        <f>WEEKDAY(Table1_2[[#This Row],[Transaction date]])</f>
        <v>2</v>
      </c>
      <c r="K649"/>
    </row>
    <row r="650" spans="1:11" x14ac:dyDescent="0.45">
      <c r="A650" s="3">
        <v>39835</v>
      </c>
      <c r="B650" s="2">
        <v>0.46527777777777779</v>
      </c>
      <c r="C650" t="s">
        <v>1737</v>
      </c>
      <c r="D650" t="s">
        <v>10</v>
      </c>
      <c r="E650">
        <v>1200</v>
      </c>
      <c r="F650" t="s">
        <v>16</v>
      </c>
      <c r="G650" t="s">
        <v>1122</v>
      </c>
      <c r="H650" t="s">
        <v>1123</v>
      </c>
      <c r="I650" t="s">
        <v>1125</v>
      </c>
      <c r="J650" s="5">
        <f>WEEKDAY(Table1_2[[#This Row],[Transaction date]])</f>
        <v>5</v>
      </c>
      <c r="K650"/>
    </row>
    <row r="651" spans="1:11" x14ac:dyDescent="0.45">
      <c r="A651" s="3">
        <v>39821</v>
      </c>
      <c r="B651" s="2">
        <v>0.17708333333333334</v>
      </c>
      <c r="C651" t="s">
        <v>1737</v>
      </c>
      <c r="D651" t="s">
        <v>10</v>
      </c>
      <c r="E651">
        <v>1200</v>
      </c>
      <c r="F651" t="s">
        <v>11</v>
      </c>
      <c r="G651" t="s">
        <v>1126</v>
      </c>
      <c r="H651" t="s">
        <v>1127</v>
      </c>
      <c r="I651" t="s">
        <v>1129</v>
      </c>
      <c r="J651" s="5">
        <f>WEEKDAY(Table1_2[[#This Row],[Transaction date]])</f>
        <v>5</v>
      </c>
      <c r="K651"/>
    </row>
    <row r="652" spans="1:11" x14ac:dyDescent="0.45">
      <c r="A652" s="3">
        <v>39841</v>
      </c>
      <c r="B652" s="2">
        <v>8.9583333333333334E-2</v>
      </c>
      <c r="C652" t="s">
        <v>1737</v>
      </c>
      <c r="D652" t="s">
        <v>10</v>
      </c>
      <c r="E652">
        <v>1200</v>
      </c>
      <c r="F652" t="s">
        <v>11</v>
      </c>
      <c r="G652" t="s">
        <v>1130</v>
      </c>
      <c r="H652" t="s">
        <v>1131</v>
      </c>
      <c r="I652" t="s">
        <v>1129</v>
      </c>
      <c r="J652" s="5">
        <f>WEEKDAY(Table1_2[[#This Row],[Transaction date]])</f>
        <v>4</v>
      </c>
      <c r="K652"/>
    </row>
    <row r="653" spans="1:11" x14ac:dyDescent="0.45">
      <c r="A653" s="3">
        <v>39830</v>
      </c>
      <c r="B653" s="2">
        <v>0.16875000000000001</v>
      </c>
      <c r="C653" t="s">
        <v>1737</v>
      </c>
      <c r="D653" t="s">
        <v>10</v>
      </c>
      <c r="E653">
        <v>1200</v>
      </c>
      <c r="F653" t="s">
        <v>11</v>
      </c>
      <c r="G653" t="s">
        <v>50</v>
      </c>
      <c r="H653" t="s">
        <v>1133</v>
      </c>
      <c r="I653" t="s">
        <v>1135</v>
      </c>
      <c r="J653" s="5">
        <f>WEEKDAY(Table1_2[[#This Row],[Transaction date]])</f>
        <v>7</v>
      </c>
      <c r="K653"/>
    </row>
    <row r="654" spans="1:11" x14ac:dyDescent="0.45">
      <c r="A654" s="3">
        <v>39837</v>
      </c>
      <c r="B654" s="2">
        <v>0.36875000000000002</v>
      </c>
      <c r="C654" t="s">
        <v>1737</v>
      </c>
      <c r="D654" t="s">
        <v>10</v>
      </c>
      <c r="E654">
        <v>1200</v>
      </c>
      <c r="F654" t="s">
        <v>16</v>
      </c>
      <c r="G654" t="s">
        <v>448</v>
      </c>
      <c r="H654" t="s">
        <v>1136</v>
      </c>
      <c r="I654" t="s">
        <v>1135</v>
      </c>
      <c r="J654" s="5">
        <f>WEEKDAY(Table1_2[[#This Row],[Transaction date]])</f>
        <v>7</v>
      </c>
      <c r="K654"/>
    </row>
    <row r="655" spans="1:11" x14ac:dyDescent="0.45">
      <c r="A655" s="3">
        <v>39824</v>
      </c>
      <c r="B655" s="2">
        <v>0.48125000000000001</v>
      </c>
      <c r="C655" t="s">
        <v>1737</v>
      </c>
      <c r="D655" t="s">
        <v>10</v>
      </c>
      <c r="E655">
        <v>1200</v>
      </c>
      <c r="F655" t="s">
        <v>11</v>
      </c>
      <c r="G655" t="s">
        <v>1138</v>
      </c>
      <c r="H655" t="s">
        <v>1139</v>
      </c>
      <c r="I655" t="s">
        <v>1141</v>
      </c>
      <c r="J655" s="5">
        <f>WEEKDAY(Table1_2[[#This Row],[Transaction date]])</f>
        <v>1</v>
      </c>
      <c r="K655"/>
    </row>
    <row r="656" spans="1:11" x14ac:dyDescent="0.45">
      <c r="A656" s="3">
        <v>39821</v>
      </c>
      <c r="B656" s="2">
        <v>5.1388888888888887E-2</v>
      </c>
      <c r="C656" t="s">
        <v>1737</v>
      </c>
      <c r="D656" t="s">
        <v>10</v>
      </c>
      <c r="E656">
        <v>1200</v>
      </c>
      <c r="F656" t="s">
        <v>11</v>
      </c>
      <c r="G656" t="s">
        <v>1142</v>
      </c>
      <c r="H656" t="s">
        <v>1143</v>
      </c>
      <c r="I656" t="s">
        <v>1141</v>
      </c>
      <c r="J656" s="5">
        <f>WEEKDAY(Table1_2[[#This Row],[Transaction date]])</f>
        <v>5</v>
      </c>
      <c r="K656"/>
    </row>
    <row r="657" spans="1:11" x14ac:dyDescent="0.45">
      <c r="A657" s="3">
        <v>39820</v>
      </c>
      <c r="B657" s="2">
        <v>0.34791666666666665</v>
      </c>
      <c r="C657" t="s">
        <v>1737</v>
      </c>
      <c r="D657" t="s">
        <v>10</v>
      </c>
      <c r="E657">
        <v>1200</v>
      </c>
      <c r="F657" t="s">
        <v>11</v>
      </c>
      <c r="G657" t="s">
        <v>1144</v>
      </c>
      <c r="H657" t="s">
        <v>1145</v>
      </c>
      <c r="I657" t="s">
        <v>1141</v>
      </c>
      <c r="J657" s="5">
        <f>WEEKDAY(Table1_2[[#This Row],[Transaction date]])</f>
        <v>4</v>
      </c>
      <c r="K657"/>
    </row>
    <row r="658" spans="1:11" x14ac:dyDescent="0.45">
      <c r="A658" s="3">
        <v>39834</v>
      </c>
      <c r="B658" s="2">
        <v>0.48333333333333334</v>
      </c>
      <c r="C658" t="s">
        <v>1737</v>
      </c>
      <c r="D658" t="s">
        <v>10</v>
      </c>
      <c r="E658">
        <v>1200</v>
      </c>
      <c r="F658" t="s">
        <v>11</v>
      </c>
      <c r="G658" t="s">
        <v>1146</v>
      </c>
      <c r="H658" t="s">
        <v>1143</v>
      </c>
      <c r="I658" t="s">
        <v>1141</v>
      </c>
      <c r="J658" s="5">
        <f>WEEKDAY(Table1_2[[#This Row],[Transaction date]])</f>
        <v>4</v>
      </c>
      <c r="K658"/>
    </row>
    <row r="659" spans="1:11" x14ac:dyDescent="0.45">
      <c r="A659" s="3">
        <v>39814</v>
      </c>
      <c r="B659" s="2">
        <v>9.8611111111111108E-2</v>
      </c>
      <c r="C659" t="s">
        <v>1737</v>
      </c>
      <c r="D659" t="s">
        <v>10</v>
      </c>
      <c r="E659">
        <v>1200</v>
      </c>
      <c r="F659" t="s">
        <v>16</v>
      </c>
      <c r="G659" t="s">
        <v>1147</v>
      </c>
      <c r="H659" t="s">
        <v>1139</v>
      </c>
      <c r="I659" t="s">
        <v>1141</v>
      </c>
      <c r="J659" s="5">
        <f>WEEKDAY(Table1_2[[#This Row],[Transaction date]])</f>
        <v>5</v>
      </c>
      <c r="K659"/>
    </row>
    <row r="660" spans="1:11" x14ac:dyDescent="0.45">
      <c r="A660" s="3">
        <v>39823</v>
      </c>
      <c r="B660" s="2">
        <v>0.14444444444444443</v>
      </c>
      <c r="C660" t="s">
        <v>1737</v>
      </c>
      <c r="D660" t="s">
        <v>10</v>
      </c>
      <c r="E660">
        <v>1200</v>
      </c>
      <c r="F660" t="s">
        <v>11</v>
      </c>
      <c r="G660" t="s">
        <v>1148</v>
      </c>
      <c r="H660" t="s">
        <v>1149</v>
      </c>
      <c r="I660" t="s">
        <v>1141</v>
      </c>
      <c r="J660" s="5">
        <f>WEEKDAY(Table1_2[[#This Row],[Transaction date]])</f>
        <v>7</v>
      </c>
      <c r="K660"/>
    </row>
    <row r="661" spans="1:11" x14ac:dyDescent="0.45">
      <c r="A661" s="3">
        <v>39828</v>
      </c>
      <c r="B661" s="2">
        <v>0.45208333333333334</v>
      </c>
      <c r="C661" t="s">
        <v>1737</v>
      </c>
      <c r="D661" t="s">
        <v>10</v>
      </c>
      <c r="E661">
        <v>1200</v>
      </c>
      <c r="F661" t="s">
        <v>16</v>
      </c>
      <c r="G661" t="s">
        <v>1151</v>
      </c>
      <c r="H661" t="s">
        <v>1152</v>
      </c>
      <c r="I661" t="s">
        <v>1141</v>
      </c>
      <c r="J661" s="5">
        <f>WEEKDAY(Table1_2[[#This Row],[Transaction date]])</f>
        <v>5</v>
      </c>
      <c r="K661"/>
    </row>
    <row r="662" spans="1:11" x14ac:dyDescent="0.45">
      <c r="A662" s="3">
        <v>39824</v>
      </c>
      <c r="B662" s="2">
        <v>0.12222222222222222</v>
      </c>
      <c r="C662" t="s">
        <v>1737</v>
      </c>
      <c r="D662" t="s">
        <v>10</v>
      </c>
      <c r="E662">
        <v>1200</v>
      </c>
      <c r="F662" t="s">
        <v>11</v>
      </c>
      <c r="G662" t="s">
        <v>81</v>
      </c>
      <c r="H662" t="s">
        <v>1153</v>
      </c>
      <c r="I662" t="s">
        <v>1141</v>
      </c>
      <c r="J662" s="5">
        <f>WEEKDAY(Table1_2[[#This Row],[Transaction date]])</f>
        <v>1</v>
      </c>
      <c r="K662"/>
    </row>
    <row r="663" spans="1:11" x14ac:dyDescent="0.45">
      <c r="A663" s="3">
        <v>39822</v>
      </c>
      <c r="B663" s="2">
        <v>0.19097222222222221</v>
      </c>
      <c r="C663" t="s">
        <v>1737</v>
      </c>
      <c r="D663" t="s">
        <v>10</v>
      </c>
      <c r="E663">
        <v>1200</v>
      </c>
      <c r="F663" t="s">
        <v>16</v>
      </c>
      <c r="G663" t="s">
        <v>260</v>
      </c>
      <c r="H663" t="s">
        <v>1155</v>
      </c>
      <c r="I663" t="s">
        <v>1141</v>
      </c>
      <c r="J663" s="5">
        <f>WEEKDAY(Table1_2[[#This Row],[Transaction date]])</f>
        <v>6</v>
      </c>
      <c r="K663"/>
    </row>
    <row r="664" spans="1:11" x14ac:dyDescent="0.45">
      <c r="A664" s="3">
        <v>39819</v>
      </c>
      <c r="B664" s="2">
        <v>0.15208333333333332</v>
      </c>
      <c r="C664" t="s">
        <v>1737</v>
      </c>
      <c r="D664" t="s">
        <v>10</v>
      </c>
      <c r="E664">
        <v>1200</v>
      </c>
      <c r="F664" t="s">
        <v>11</v>
      </c>
      <c r="G664" t="s">
        <v>1156</v>
      </c>
      <c r="H664" t="s">
        <v>1157</v>
      </c>
      <c r="I664" t="s">
        <v>1141</v>
      </c>
      <c r="J664" s="5">
        <f>WEEKDAY(Table1_2[[#This Row],[Transaction date]])</f>
        <v>3</v>
      </c>
      <c r="K664"/>
    </row>
    <row r="665" spans="1:11" x14ac:dyDescent="0.45">
      <c r="A665" s="3">
        <v>39826</v>
      </c>
      <c r="B665" s="2">
        <v>0.38472222222222224</v>
      </c>
      <c r="C665" t="s">
        <v>1737</v>
      </c>
      <c r="D665" t="s">
        <v>10</v>
      </c>
      <c r="E665">
        <v>1200</v>
      </c>
      <c r="F665" t="s">
        <v>11</v>
      </c>
      <c r="G665" t="s">
        <v>1159</v>
      </c>
      <c r="H665" t="s">
        <v>1160</v>
      </c>
      <c r="I665" t="s">
        <v>1141</v>
      </c>
      <c r="J665" s="5">
        <f>WEEKDAY(Table1_2[[#This Row],[Transaction date]])</f>
        <v>3</v>
      </c>
      <c r="K665"/>
    </row>
    <row r="666" spans="1:11" x14ac:dyDescent="0.45">
      <c r="A666" s="3">
        <v>39841</v>
      </c>
      <c r="B666" s="2">
        <v>0.19097222222222221</v>
      </c>
      <c r="C666" t="s">
        <v>1737</v>
      </c>
      <c r="D666" t="s">
        <v>10</v>
      </c>
      <c r="E666">
        <v>1200</v>
      </c>
      <c r="F666" t="s">
        <v>16</v>
      </c>
      <c r="G666" t="s">
        <v>1161</v>
      </c>
      <c r="H666" t="s">
        <v>1143</v>
      </c>
      <c r="I666" t="s">
        <v>1141</v>
      </c>
      <c r="J666" s="5">
        <f>WEEKDAY(Table1_2[[#This Row],[Transaction date]])</f>
        <v>4</v>
      </c>
      <c r="K666"/>
    </row>
    <row r="667" spans="1:11" x14ac:dyDescent="0.45">
      <c r="A667" s="3">
        <v>39838</v>
      </c>
      <c r="B667" s="2">
        <v>0.34444444444444444</v>
      </c>
      <c r="C667" t="s">
        <v>1737</v>
      </c>
      <c r="D667" t="s">
        <v>20</v>
      </c>
      <c r="E667">
        <v>100000</v>
      </c>
      <c r="F667" t="s">
        <v>11</v>
      </c>
      <c r="G667" t="s">
        <v>914</v>
      </c>
      <c r="H667" t="s">
        <v>1143</v>
      </c>
      <c r="I667" t="s">
        <v>1141</v>
      </c>
      <c r="J667" s="5">
        <f>WEEKDAY(Table1_2[[#This Row],[Transaction date]])</f>
        <v>1</v>
      </c>
      <c r="K667"/>
    </row>
    <row r="668" spans="1:11" x14ac:dyDescent="0.45">
      <c r="A668" s="3">
        <v>39832</v>
      </c>
      <c r="B668" s="2">
        <v>0.44930555555555557</v>
      </c>
      <c r="C668" t="s">
        <v>1737</v>
      </c>
      <c r="D668" t="s">
        <v>10</v>
      </c>
      <c r="E668">
        <v>1200</v>
      </c>
      <c r="F668" t="s">
        <v>16</v>
      </c>
      <c r="G668" t="s">
        <v>199</v>
      </c>
      <c r="H668" t="s">
        <v>1162</v>
      </c>
      <c r="I668" t="s">
        <v>1141</v>
      </c>
      <c r="J668" s="5">
        <f>WEEKDAY(Table1_2[[#This Row],[Transaction date]])</f>
        <v>2</v>
      </c>
      <c r="K668"/>
    </row>
    <row r="669" spans="1:11" x14ac:dyDescent="0.45">
      <c r="A669" s="3">
        <v>39835</v>
      </c>
      <c r="B669" s="2">
        <v>0.53888888888888886</v>
      </c>
      <c r="C669" t="s">
        <v>1738</v>
      </c>
      <c r="D669" t="s">
        <v>10</v>
      </c>
      <c r="E669">
        <v>1200</v>
      </c>
      <c r="F669" t="s">
        <v>11</v>
      </c>
      <c r="G669" t="s">
        <v>1163</v>
      </c>
      <c r="H669" t="s">
        <v>1164</v>
      </c>
      <c r="I669" t="s">
        <v>1141</v>
      </c>
      <c r="J669" s="5">
        <f>WEEKDAY(Table1_2[[#This Row],[Transaction date]])</f>
        <v>5</v>
      </c>
      <c r="K669"/>
    </row>
    <row r="670" spans="1:11" x14ac:dyDescent="0.45">
      <c r="A670" s="3">
        <v>39815</v>
      </c>
      <c r="B670" s="2">
        <v>0.18124999999999999</v>
      </c>
      <c r="C670" t="s">
        <v>1737</v>
      </c>
      <c r="D670" t="s">
        <v>10</v>
      </c>
      <c r="E670">
        <v>1200</v>
      </c>
      <c r="F670" t="s">
        <v>11</v>
      </c>
      <c r="G670" t="s">
        <v>455</v>
      </c>
      <c r="H670" t="s">
        <v>1165</v>
      </c>
      <c r="I670" t="s">
        <v>1141</v>
      </c>
      <c r="J670" s="5">
        <f>WEEKDAY(Table1_2[[#This Row],[Transaction date]])</f>
        <v>6</v>
      </c>
      <c r="K670"/>
    </row>
    <row r="671" spans="1:11" x14ac:dyDescent="0.45">
      <c r="A671" s="3">
        <v>39821</v>
      </c>
      <c r="B671" s="2">
        <v>0.50277777777777777</v>
      </c>
      <c r="C671" t="s">
        <v>1738</v>
      </c>
      <c r="D671" t="s">
        <v>10</v>
      </c>
      <c r="E671">
        <v>1200</v>
      </c>
      <c r="F671" t="s">
        <v>11</v>
      </c>
      <c r="G671" t="s">
        <v>1167</v>
      </c>
      <c r="H671" t="s">
        <v>1168</v>
      </c>
      <c r="I671" t="s">
        <v>1170</v>
      </c>
      <c r="J671" s="5">
        <f>WEEKDAY(Table1_2[[#This Row],[Transaction date]])</f>
        <v>5</v>
      </c>
      <c r="K671"/>
    </row>
    <row r="672" spans="1:11" x14ac:dyDescent="0.45">
      <c r="A672" s="3">
        <v>39836</v>
      </c>
      <c r="B672" s="2">
        <v>0.11319444444444444</v>
      </c>
      <c r="C672" t="s">
        <v>1737</v>
      </c>
      <c r="D672" t="s">
        <v>10</v>
      </c>
      <c r="E672">
        <v>1200</v>
      </c>
      <c r="F672" t="s">
        <v>11</v>
      </c>
      <c r="G672" t="s">
        <v>810</v>
      </c>
      <c r="H672" t="s">
        <v>1171</v>
      </c>
      <c r="I672" t="s">
        <v>1170</v>
      </c>
      <c r="J672" s="5">
        <f>WEEKDAY(Table1_2[[#This Row],[Transaction date]])</f>
        <v>6</v>
      </c>
      <c r="K672"/>
    </row>
    <row r="673" spans="1:11" x14ac:dyDescent="0.45">
      <c r="A673" s="3">
        <v>39842</v>
      </c>
      <c r="B673" s="2">
        <v>0.12708333333333333</v>
      </c>
      <c r="C673" t="s">
        <v>1737</v>
      </c>
      <c r="D673" t="s">
        <v>10</v>
      </c>
      <c r="E673">
        <v>1200</v>
      </c>
      <c r="F673" t="s">
        <v>11</v>
      </c>
      <c r="G673" t="s">
        <v>712</v>
      </c>
      <c r="H673" t="s">
        <v>1172</v>
      </c>
      <c r="I673" t="s">
        <v>1170</v>
      </c>
      <c r="J673" s="5">
        <f>WEEKDAY(Table1_2[[#This Row],[Transaction date]])</f>
        <v>5</v>
      </c>
      <c r="K673"/>
    </row>
    <row r="674" spans="1:11" x14ac:dyDescent="0.45">
      <c r="A674" s="3">
        <v>39820</v>
      </c>
      <c r="B674" s="2">
        <v>8.1250000000000003E-2</v>
      </c>
      <c r="C674" t="s">
        <v>1737</v>
      </c>
      <c r="D674" t="s">
        <v>10</v>
      </c>
      <c r="E674">
        <v>1200</v>
      </c>
      <c r="F674" t="s">
        <v>11</v>
      </c>
      <c r="G674" t="s">
        <v>1173</v>
      </c>
      <c r="H674" t="s">
        <v>1174</v>
      </c>
      <c r="I674" t="s">
        <v>1170</v>
      </c>
      <c r="J674" s="5">
        <f>WEEKDAY(Table1_2[[#This Row],[Transaction date]])</f>
        <v>4</v>
      </c>
      <c r="K674"/>
    </row>
    <row r="675" spans="1:11" x14ac:dyDescent="0.45">
      <c r="A675" s="3">
        <v>39830</v>
      </c>
      <c r="B675" s="2">
        <v>0.36875000000000002</v>
      </c>
      <c r="C675" t="s">
        <v>1737</v>
      </c>
      <c r="D675" t="s">
        <v>10</v>
      </c>
      <c r="E675">
        <v>1200</v>
      </c>
      <c r="F675" t="s">
        <v>11</v>
      </c>
      <c r="G675" t="s">
        <v>450</v>
      </c>
      <c r="H675" t="s">
        <v>1175</v>
      </c>
      <c r="I675" t="s">
        <v>1170</v>
      </c>
      <c r="J675" s="5">
        <f>WEEKDAY(Table1_2[[#This Row],[Transaction date]])</f>
        <v>7</v>
      </c>
      <c r="K675"/>
    </row>
    <row r="676" spans="1:11" x14ac:dyDescent="0.45">
      <c r="A676" s="3">
        <v>39841</v>
      </c>
      <c r="B676" s="2">
        <v>0.41805555555555557</v>
      </c>
      <c r="C676" t="s">
        <v>1737</v>
      </c>
      <c r="D676" t="s">
        <v>10</v>
      </c>
      <c r="E676">
        <v>1200</v>
      </c>
      <c r="F676" t="s">
        <v>11</v>
      </c>
      <c r="G676" t="s">
        <v>800</v>
      </c>
      <c r="H676" t="s">
        <v>1176</v>
      </c>
      <c r="I676" t="s">
        <v>1170</v>
      </c>
      <c r="J676" s="5">
        <f>WEEKDAY(Table1_2[[#This Row],[Transaction date]])</f>
        <v>4</v>
      </c>
      <c r="K676"/>
    </row>
    <row r="677" spans="1:11" x14ac:dyDescent="0.45">
      <c r="A677" s="3">
        <v>39818</v>
      </c>
      <c r="B677" s="2">
        <v>0.23541666666666666</v>
      </c>
      <c r="C677" t="s">
        <v>1737</v>
      </c>
      <c r="D677" t="s">
        <v>10</v>
      </c>
      <c r="E677">
        <v>1200</v>
      </c>
      <c r="F677" t="s">
        <v>63</v>
      </c>
      <c r="G677" t="s">
        <v>346</v>
      </c>
      <c r="H677" t="s">
        <v>1177</v>
      </c>
      <c r="I677" t="s">
        <v>1179</v>
      </c>
      <c r="J677" s="5">
        <f>WEEKDAY(Table1_2[[#This Row],[Transaction date]])</f>
        <v>2</v>
      </c>
      <c r="K677"/>
    </row>
    <row r="678" spans="1:11" x14ac:dyDescent="0.45">
      <c r="A678" s="3">
        <v>39818</v>
      </c>
      <c r="B678" s="2">
        <v>5.347222222222222E-2</v>
      </c>
      <c r="C678" t="s">
        <v>1737</v>
      </c>
      <c r="D678" t="s">
        <v>10</v>
      </c>
      <c r="E678">
        <v>1200</v>
      </c>
      <c r="F678" t="s">
        <v>16</v>
      </c>
      <c r="G678" t="s">
        <v>540</v>
      </c>
      <c r="H678" t="s">
        <v>1180</v>
      </c>
      <c r="I678" t="s">
        <v>1179</v>
      </c>
      <c r="J678" s="5">
        <f>WEEKDAY(Table1_2[[#This Row],[Transaction date]])</f>
        <v>2</v>
      </c>
      <c r="K678"/>
    </row>
    <row r="679" spans="1:11" x14ac:dyDescent="0.45">
      <c r="A679" s="3">
        <v>39814</v>
      </c>
      <c r="B679" s="2">
        <v>0.21111111111111111</v>
      </c>
      <c r="C679" t="s">
        <v>1737</v>
      </c>
      <c r="D679" t="s">
        <v>10</v>
      </c>
      <c r="E679">
        <v>1200</v>
      </c>
      <c r="F679" t="s">
        <v>16</v>
      </c>
      <c r="G679" t="s">
        <v>1182</v>
      </c>
      <c r="H679" t="s">
        <v>1183</v>
      </c>
      <c r="I679" t="s">
        <v>1179</v>
      </c>
      <c r="J679" s="5">
        <f>WEEKDAY(Table1_2[[#This Row],[Transaction date]])</f>
        <v>5</v>
      </c>
      <c r="K679"/>
    </row>
    <row r="680" spans="1:11" x14ac:dyDescent="0.45">
      <c r="A680" s="3">
        <v>39830</v>
      </c>
      <c r="B680" s="2">
        <v>0.54097222222222219</v>
      </c>
      <c r="C680" t="s">
        <v>1738</v>
      </c>
      <c r="D680" t="s">
        <v>10</v>
      </c>
      <c r="E680">
        <v>1200</v>
      </c>
      <c r="F680" t="s">
        <v>63</v>
      </c>
      <c r="G680" t="s">
        <v>58</v>
      </c>
      <c r="H680" t="s">
        <v>1185</v>
      </c>
      <c r="I680" t="s">
        <v>1179</v>
      </c>
      <c r="J680" s="5">
        <f>WEEKDAY(Table1_2[[#This Row],[Transaction date]])</f>
        <v>7</v>
      </c>
      <c r="K680"/>
    </row>
    <row r="681" spans="1:11" x14ac:dyDescent="0.45">
      <c r="A681" s="3">
        <v>39814</v>
      </c>
      <c r="B681" s="2">
        <v>0.16041666666666668</v>
      </c>
      <c r="C681" t="s">
        <v>1737</v>
      </c>
      <c r="D681" t="s">
        <v>10</v>
      </c>
      <c r="E681">
        <v>1200</v>
      </c>
      <c r="F681" t="s">
        <v>16</v>
      </c>
      <c r="G681" t="s">
        <v>1187</v>
      </c>
      <c r="H681" t="s">
        <v>1188</v>
      </c>
      <c r="I681" t="s">
        <v>1179</v>
      </c>
      <c r="J681" s="5">
        <f>WEEKDAY(Table1_2[[#This Row],[Transaction date]])</f>
        <v>5</v>
      </c>
      <c r="K681"/>
    </row>
    <row r="682" spans="1:11" x14ac:dyDescent="0.45">
      <c r="A682" s="3">
        <v>39819</v>
      </c>
      <c r="B682" s="2">
        <v>0.51875000000000004</v>
      </c>
      <c r="C682" t="s">
        <v>1738</v>
      </c>
      <c r="D682" t="s">
        <v>10</v>
      </c>
      <c r="E682">
        <v>1200</v>
      </c>
      <c r="F682" t="s">
        <v>16</v>
      </c>
      <c r="G682" t="s">
        <v>1189</v>
      </c>
      <c r="H682" t="s">
        <v>1188</v>
      </c>
      <c r="I682" t="s">
        <v>1179</v>
      </c>
      <c r="J682" s="5">
        <f>WEEKDAY(Table1_2[[#This Row],[Transaction date]])</f>
        <v>3</v>
      </c>
      <c r="K682"/>
    </row>
    <row r="683" spans="1:11" x14ac:dyDescent="0.45">
      <c r="A683" s="3">
        <v>39834</v>
      </c>
      <c r="B683" s="2">
        <v>0.10069444444444445</v>
      </c>
      <c r="C683" t="s">
        <v>1737</v>
      </c>
      <c r="D683" t="s">
        <v>10</v>
      </c>
      <c r="E683">
        <v>1200</v>
      </c>
      <c r="F683" t="s">
        <v>11</v>
      </c>
      <c r="G683" t="s">
        <v>1190</v>
      </c>
      <c r="H683" t="s">
        <v>1191</v>
      </c>
      <c r="I683" t="s">
        <v>1179</v>
      </c>
      <c r="J683" s="5">
        <f>WEEKDAY(Table1_2[[#This Row],[Transaction date]])</f>
        <v>4</v>
      </c>
      <c r="K683"/>
    </row>
    <row r="684" spans="1:11" x14ac:dyDescent="0.45">
      <c r="A684" s="3">
        <v>39836</v>
      </c>
      <c r="B684" s="2">
        <v>0.14583333333333334</v>
      </c>
      <c r="C684" t="s">
        <v>1737</v>
      </c>
      <c r="D684" t="s">
        <v>10</v>
      </c>
      <c r="E684">
        <v>1200</v>
      </c>
      <c r="F684" t="s">
        <v>63</v>
      </c>
      <c r="G684" t="s">
        <v>1192</v>
      </c>
      <c r="H684" t="s">
        <v>1193</v>
      </c>
      <c r="I684" t="s">
        <v>1179</v>
      </c>
      <c r="J684" s="5">
        <f>WEEKDAY(Table1_2[[#This Row],[Transaction date]])</f>
        <v>6</v>
      </c>
      <c r="K684"/>
    </row>
    <row r="685" spans="1:11" x14ac:dyDescent="0.45">
      <c r="A685" s="3">
        <v>39819</v>
      </c>
      <c r="B685" s="2">
        <v>0.10972222222222222</v>
      </c>
      <c r="C685" t="s">
        <v>1737</v>
      </c>
      <c r="D685" t="s">
        <v>20</v>
      </c>
      <c r="E685">
        <v>100000</v>
      </c>
      <c r="F685" t="s">
        <v>16</v>
      </c>
      <c r="G685" t="s">
        <v>674</v>
      </c>
      <c r="H685" t="s">
        <v>1185</v>
      </c>
      <c r="I685" t="s">
        <v>1179</v>
      </c>
      <c r="J685" s="5">
        <f>WEEKDAY(Table1_2[[#This Row],[Transaction date]])</f>
        <v>3</v>
      </c>
      <c r="K685"/>
    </row>
    <row r="686" spans="1:11" x14ac:dyDescent="0.45">
      <c r="A686" s="3">
        <v>39828</v>
      </c>
      <c r="B686" s="2">
        <v>0.30972222222222223</v>
      </c>
      <c r="C686" t="s">
        <v>1737</v>
      </c>
      <c r="D686" t="s">
        <v>10</v>
      </c>
      <c r="E686">
        <v>1200</v>
      </c>
      <c r="F686" t="s">
        <v>16</v>
      </c>
      <c r="G686" t="s">
        <v>276</v>
      </c>
      <c r="H686" t="s">
        <v>1185</v>
      </c>
      <c r="I686" t="s">
        <v>1179</v>
      </c>
      <c r="J686" s="5">
        <f>WEEKDAY(Table1_2[[#This Row],[Transaction date]])</f>
        <v>5</v>
      </c>
      <c r="K686"/>
    </row>
    <row r="687" spans="1:11" x14ac:dyDescent="0.45">
      <c r="A687" s="3">
        <v>39840</v>
      </c>
      <c r="B687" s="2">
        <v>0.53263888888888888</v>
      </c>
      <c r="C687" t="s">
        <v>1738</v>
      </c>
      <c r="D687" t="s">
        <v>10</v>
      </c>
      <c r="E687">
        <v>1200</v>
      </c>
      <c r="F687" t="s">
        <v>11</v>
      </c>
      <c r="G687" t="s">
        <v>1194</v>
      </c>
      <c r="H687" t="s">
        <v>1188</v>
      </c>
      <c r="I687" t="s">
        <v>1179</v>
      </c>
      <c r="J687" s="5">
        <f>WEEKDAY(Table1_2[[#This Row],[Transaction date]])</f>
        <v>3</v>
      </c>
      <c r="K687"/>
    </row>
    <row r="688" spans="1:11" x14ac:dyDescent="0.45">
      <c r="A688" s="3">
        <v>39829</v>
      </c>
      <c r="B688" s="2">
        <v>0.33194444444444443</v>
      </c>
      <c r="C688" t="s">
        <v>1737</v>
      </c>
      <c r="D688" t="s">
        <v>10</v>
      </c>
      <c r="E688">
        <v>1200</v>
      </c>
      <c r="F688" t="s">
        <v>63</v>
      </c>
      <c r="G688" t="s">
        <v>1195</v>
      </c>
      <c r="H688" t="s">
        <v>1185</v>
      </c>
      <c r="I688" t="s">
        <v>1179</v>
      </c>
      <c r="J688" s="5">
        <f>WEEKDAY(Table1_2[[#This Row],[Transaction date]])</f>
        <v>6</v>
      </c>
      <c r="K688"/>
    </row>
    <row r="689" spans="1:11" x14ac:dyDescent="0.45">
      <c r="A689" s="3">
        <v>39830</v>
      </c>
      <c r="B689" s="2">
        <v>7.5694444444444439E-2</v>
      </c>
      <c r="C689" t="s">
        <v>1737</v>
      </c>
      <c r="D689" t="s">
        <v>10</v>
      </c>
      <c r="E689">
        <v>1200</v>
      </c>
      <c r="F689" t="s">
        <v>16</v>
      </c>
      <c r="G689" t="s">
        <v>1196</v>
      </c>
      <c r="H689" t="s">
        <v>1185</v>
      </c>
      <c r="I689" t="s">
        <v>1179</v>
      </c>
      <c r="J689" s="5">
        <f>WEEKDAY(Table1_2[[#This Row],[Transaction date]])</f>
        <v>7</v>
      </c>
      <c r="K689"/>
    </row>
    <row r="690" spans="1:11" x14ac:dyDescent="0.45">
      <c r="A690" s="3">
        <v>39832</v>
      </c>
      <c r="B690" s="2">
        <v>0.15277777777777779</v>
      </c>
      <c r="C690" t="s">
        <v>1737</v>
      </c>
      <c r="D690" t="s">
        <v>20</v>
      </c>
      <c r="E690">
        <v>100000</v>
      </c>
      <c r="F690" t="s">
        <v>11</v>
      </c>
      <c r="G690" t="s">
        <v>809</v>
      </c>
      <c r="H690" t="s">
        <v>1197</v>
      </c>
      <c r="I690" t="s">
        <v>1179</v>
      </c>
      <c r="J690" s="5">
        <f>WEEKDAY(Table1_2[[#This Row],[Transaction date]])</f>
        <v>2</v>
      </c>
      <c r="K690"/>
    </row>
    <row r="691" spans="1:11" x14ac:dyDescent="0.45">
      <c r="A691" s="3">
        <v>39831</v>
      </c>
      <c r="B691" s="2">
        <v>0.50972222222222219</v>
      </c>
      <c r="C691" t="s">
        <v>1738</v>
      </c>
      <c r="D691" t="s">
        <v>20</v>
      </c>
      <c r="E691">
        <v>100000</v>
      </c>
      <c r="F691" t="s">
        <v>16</v>
      </c>
      <c r="G691" t="s">
        <v>1199</v>
      </c>
      <c r="H691" t="s">
        <v>1200</v>
      </c>
      <c r="I691" t="s">
        <v>1179</v>
      </c>
      <c r="J691" s="5">
        <f>WEEKDAY(Table1_2[[#This Row],[Transaction date]])</f>
        <v>1</v>
      </c>
      <c r="K691"/>
    </row>
    <row r="692" spans="1:11" x14ac:dyDescent="0.45">
      <c r="A692" s="3">
        <v>39836</v>
      </c>
      <c r="B692" s="2">
        <v>0.51597222222222228</v>
      </c>
      <c r="C692" t="s">
        <v>1738</v>
      </c>
      <c r="D692" t="s">
        <v>10</v>
      </c>
      <c r="E692">
        <v>5000</v>
      </c>
      <c r="F692" t="s">
        <v>16</v>
      </c>
      <c r="G692" t="s">
        <v>1201</v>
      </c>
      <c r="H692" t="s">
        <v>1185</v>
      </c>
      <c r="I692" t="s">
        <v>1179</v>
      </c>
      <c r="J692" s="5">
        <f>WEEKDAY(Table1_2[[#This Row],[Transaction date]])</f>
        <v>6</v>
      </c>
      <c r="K692"/>
    </row>
    <row r="693" spans="1:11" x14ac:dyDescent="0.45">
      <c r="A693" s="3">
        <v>39817</v>
      </c>
      <c r="B693" s="2">
        <v>0.15347222222222223</v>
      </c>
      <c r="C693" t="s">
        <v>1737</v>
      </c>
      <c r="D693" t="s">
        <v>10</v>
      </c>
      <c r="E693">
        <v>1200</v>
      </c>
      <c r="F693" t="s">
        <v>16</v>
      </c>
      <c r="G693" t="s">
        <v>212</v>
      </c>
      <c r="H693" t="s">
        <v>1185</v>
      </c>
      <c r="I693" t="s">
        <v>1179</v>
      </c>
      <c r="J693" s="5">
        <f>WEEKDAY(Table1_2[[#This Row],[Transaction date]])</f>
        <v>1</v>
      </c>
      <c r="K693"/>
    </row>
    <row r="694" spans="1:11" x14ac:dyDescent="0.45">
      <c r="A694" s="3">
        <v>39825</v>
      </c>
      <c r="B694" s="2">
        <v>0.24305555555555555</v>
      </c>
      <c r="C694" t="s">
        <v>1737</v>
      </c>
      <c r="D694" t="s">
        <v>230</v>
      </c>
      <c r="E694">
        <v>100000</v>
      </c>
      <c r="F694" t="s">
        <v>16</v>
      </c>
      <c r="G694" t="s">
        <v>1202</v>
      </c>
      <c r="H694" t="s">
        <v>1185</v>
      </c>
      <c r="I694" t="s">
        <v>1179</v>
      </c>
      <c r="J694" s="5">
        <f>WEEKDAY(Table1_2[[#This Row],[Transaction date]])</f>
        <v>2</v>
      </c>
      <c r="K694"/>
    </row>
    <row r="695" spans="1:11" x14ac:dyDescent="0.45">
      <c r="A695" s="3">
        <v>39843</v>
      </c>
      <c r="B695" s="2">
        <v>0.49236111111111114</v>
      </c>
      <c r="C695" t="s">
        <v>1737</v>
      </c>
      <c r="D695" t="s">
        <v>20</v>
      </c>
      <c r="E695">
        <v>100000</v>
      </c>
      <c r="F695" t="s">
        <v>11</v>
      </c>
      <c r="G695" t="s">
        <v>540</v>
      </c>
      <c r="H695" t="s">
        <v>1203</v>
      </c>
      <c r="I695" t="s">
        <v>1179</v>
      </c>
      <c r="J695" s="5">
        <f>WEEKDAY(Table1_2[[#This Row],[Transaction date]])</f>
        <v>6</v>
      </c>
      <c r="K695"/>
    </row>
    <row r="696" spans="1:11" x14ac:dyDescent="0.45">
      <c r="A696" s="3">
        <v>39838</v>
      </c>
      <c r="B696" s="2">
        <v>0.19027777777777777</v>
      </c>
      <c r="C696" t="s">
        <v>1737</v>
      </c>
      <c r="D696" t="s">
        <v>10</v>
      </c>
      <c r="E696">
        <v>1200</v>
      </c>
      <c r="F696" t="s">
        <v>16</v>
      </c>
      <c r="G696" t="s">
        <v>309</v>
      </c>
      <c r="H696" t="s">
        <v>1184</v>
      </c>
      <c r="I696" t="s">
        <v>1179</v>
      </c>
      <c r="J696" s="5">
        <f>WEEKDAY(Table1_2[[#This Row],[Transaction date]])</f>
        <v>1</v>
      </c>
      <c r="K696"/>
    </row>
    <row r="697" spans="1:11" x14ac:dyDescent="0.45">
      <c r="A697" s="3">
        <v>39824</v>
      </c>
      <c r="B697" s="2">
        <v>0.51041666666666663</v>
      </c>
      <c r="C697" t="s">
        <v>1738</v>
      </c>
      <c r="D697" t="s">
        <v>10</v>
      </c>
      <c r="E697">
        <v>1200</v>
      </c>
      <c r="F697" t="s">
        <v>16</v>
      </c>
      <c r="G697" t="s">
        <v>1204</v>
      </c>
      <c r="H697" t="s">
        <v>1185</v>
      </c>
      <c r="I697" t="s">
        <v>1179</v>
      </c>
      <c r="J697" s="5">
        <f>WEEKDAY(Table1_2[[#This Row],[Transaction date]])</f>
        <v>1</v>
      </c>
      <c r="K697"/>
    </row>
    <row r="698" spans="1:11" x14ac:dyDescent="0.45">
      <c r="A698" s="3">
        <v>39835</v>
      </c>
      <c r="B698" s="2">
        <v>0.16458333333333333</v>
      </c>
      <c r="C698" t="s">
        <v>1737</v>
      </c>
      <c r="D698" t="s">
        <v>20</v>
      </c>
      <c r="E698">
        <v>100000</v>
      </c>
      <c r="F698" t="s">
        <v>16</v>
      </c>
      <c r="G698" t="s">
        <v>1205</v>
      </c>
      <c r="H698" t="s">
        <v>1206</v>
      </c>
      <c r="I698" t="s">
        <v>1179</v>
      </c>
      <c r="J698" s="5">
        <f>WEEKDAY(Table1_2[[#This Row],[Transaction date]])</f>
        <v>5</v>
      </c>
      <c r="K698"/>
    </row>
    <row r="699" spans="1:11" x14ac:dyDescent="0.45">
      <c r="A699" s="3">
        <v>39821</v>
      </c>
      <c r="B699" s="2">
        <v>6.458333333333334E-2</v>
      </c>
      <c r="C699" t="s">
        <v>1737</v>
      </c>
      <c r="D699" t="s">
        <v>10</v>
      </c>
      <c r="E699">
        <v>1200</v>
      </c>
      <c r="F699" t="s">
        <v>11</v>
      </c>
      <c r="G699" t="s">
        <v>1207</v>
      </c>
      <c r="H699" t="s">
        <v>1208</v>
      </c>
      <c r="I699" t="s">
        <v>1209</v>
      </c>
      <c r="J699" s="5">
        <f>WEEKDAY(Table1_2[[#This Row],[Transaction date]])</f>
        <v>5</v>
      </c>
      <c r="K699"/>
    </row>
    <row r="700" spans="1:11" x14ac:dyDescent="0.45">
      <c r="A700" s="3">
        <v>39835</v>
      </c>
      <c r="B700" s="2">
        <v>0.50624999999999998</v>
      </c>
      <c r="C700" t="s">
        <v>1738</v>
      </c>
      <c r="D700" t="s">
        <v>10</v>
      </c>
      <c r="E700">
        <v>1200</v>
      </c>
      <c r="F700" t="s">
        <v>11</v>
      </c>
      <c r="G700" t="s">
        <v>1210</v>
      </c>
      <c r="H700" t="s">
        <v>1209</v>
      </c>
      <c r="I700" t="s">
        <v>1209</v>
      </c>
      <c r="J700" s="5">
        <f>WEEKDAY(Table1_2[[#This Row],[Transaction date]])</f>
        <v>5</v>
      </c>
      <c r="K700"/>
    </row>
    <row r="701" spans="1:11" x14ac:dyDescent="0.45">
      <c r="A701" s="3">
        <v>39819</v>
      </c>
      <c r="B701" s="2">
        <v>0.21875</v>
      </c>
      <c r="C701" t="s">
        <v>1737</v>
      </c>
      <c r="D701" t="s">
        <v>10</v>
      </c>
      <c r="E701">
        <v>1200</v>
      </c>
      <c r="F701" t="s">
        <v>11</v>
      </c>
      <c r="G701" t="s">
        <v>234</v>
      </c>
      <c r="H701" t="s">
        <v>1211</v>
      </c>
      <c r="I701" t="s">
        <v>1213</v>
      </c>
      <c r="J701" s="5">
        <f>WEEKDAY(Table1_2[[#This Row],[Transaction date]])</f>
        <v>3</v>
      </c>
      <c r="K701"/>
    </row>
    <row r="702" spans="1:11" x14ac:dyDescent="0.45">
      <c r="A702" s="3">
        <v>39841</v>
      </c>
      <c r="B702" s="2">
        <v>0.23333333333333334</v>
      </c>
      <c r="C702" t="s">
        <v>1737</v>
      </c>
      <c r="D702" t="s">
        <v>20</v>
      </c>
      <c r="E702">
        <v>100000</v>
      </c>
      <c r="F702" t="s">
        <v>11</v>
      </c>
      <c r="G702" t="s">
        <v>82</v>
      </c>
      <c r="H702" t="s">
        <v>1214</v>
      </c>
      <c r="I702" t="s">
        <v>1215</v>
      </c>
      <c r="J702" s="5">
        <f>WEEKDAY(Table1_2[[#This Row],[Transaction date]])</f>
        <v>4</v>
      </c>
      <c r="K702"/>
    </row>
    <row r="703" spans="1:11" x14ac:dyDescent="0.45">
      <c r="A703" s="3">
        <v>39814</v>
      </c>
      <c r="B703" s="2">
        <v>0.51388888888888884</v>
      </c>
      <c r="C703" t="s">
        <v>1738</v>
      </c>
      <c r="D703" t="s">
        <v>20</v>
      </c>
      <c r="E703">
        <v>100000</v>
      </c>
      <c r="F703" t="s">
        <v>11</v>
      </c>
      <c r="G703" t="s">
        <v>1216</v>
      </c>
      <c r="H703" t="s">
        <v>1217</v>
      </c>
      <c r="I703" t="s">
        <v>1218</v>
      </c>
      <c r="J703" s="5">
        <f>WEEKDAY(Table1_2[[#This Row],[Transaction date]])</f>
        <v>5</v>
      </c>
      <c r="K703"/>
    </row>
    <row r="704" spans="1:11" x14ac:dyDescent="0.45">
      <c r="A704" s="3">
        <v>39820</v>
      </c>
      <c r="B704" s="2">
        <v>0.50416666666666665</v>
      </c>
      <c r="C704" t="s">
        <v>1738</v>
      </c>
      <c r="D704" t="s">
        <v>10</v>
      </c>
      <c r="E704">
        <v>1200</v>
      </c>
      <c r="F704" t="s">
        <v>11</v>
      </c>
      <c r="G704" t="s">
        <v>357</v>
      </c>
      <c r="H704" t="s">
        <v>1219</v>
      </c>
      <c r="I704" t="s">
        <v>1218</v>
      </c>
      <c r="J704" s="5">
        <f>WEEKDAY(Table1_2[[#This Row],[Transaction date]])</f>
        <v>4</v>
      </c>
      <c r="K704"/>
    </row>
    <row r="705" spans="1:11" x14ac:dyDescent="0.45">
      <c r="A705" s="3">
        <v>39836</v>
      </c>
      <c r="B705" s="2">
        <v>0.42986111111111114</v>
      </c>
      <c r="C705" t="s">
        <v>1737</v>
      </c>
      <c r="D705" t="s">
        <v>10</v>
      </c>
      <c r="E705">
        <v>1200</v>
      </c>
      <c r="F705" t="s">
        <v>16</v>
      </c>
      <c r="G705" t="s">
        <v>1220</v>
      </c>
      <c r="H705" t="s">
        <v>1221</v>
      </c>
      <c r="I705" t="s">
        <v>1222</v>
      </c>
      <c r="J705" s="5">
        <f>WEEKDAY(Table1_2[[#This Row],[Transaction date]])</f>
        <v>6</v>
      </c>
      <c r="K705"/>
    </row>
    <row r="706" spans="1:11" x14ac:dyDescent="0.45">
      <c r="A706" s="3">
        <v>39825</v>
      </c>
      <c r="B706" s="2">
        <v>7.013888888888889E-2</v>
      </c>
      <c r="C706" t="s">
        <v>1737</v>
      </c>
      <c r="D706" t="s">
        <v>10</v>
      </c>
      <c r="E706">
        <v>1200</v>
      </c>
      <c r="F706" t="s">
        <v>11</v>
      </c>
      <c r="G706" t="s">
        <v>290</v>
      </c>
      <c r="H706" t="s">
        <v>1223</v>
      </c>
      <c r="I706" t="s">
        <v>1224</v>
      </c>
      <c r="J706" s="5">
        <f>WEEKDAY(Table1_2[[#This Row],[Transaction date]])</f>
        <v>2</v>
      </c>
      <c r="K706"/>
    </row>
    <row r="707" spans="1:11" x14ac:dyDescent="0.45">
      <c r="A707" s="3">
        <v>39820</v>
      </c>
      <c r="B707" s="2">
        <v>7.0833333333333331E-2</v>
      </c>
      <c r="C707" t="s">
        <v>1737</v>
      </c>
      <c r="D707" t="s">
        <v>10</v>
      </c>
      <c r="E707">
        <v>1200</v>
      </c>
      <c r="F707" t="s">
        <v>16</v>
      </c>
      <c r="G707" t="s">
        <v>977</v>
      </c>
      <c r="H707" t="s">
        <v>1225</v>
      </c>
      <c r="I707" t="s">
        <v>1227</v>
      </c>
      <c r="J707" s="5">
        <f>WEEKDAY(Table1_2[[#This Row],[Transaction date]])</f>
        <v>4</v>
      </c>
      <c r="K707"/>
    </row>
    <row r="708" spans="1:11" x14ac:dyDescent="0.45">
      <c r="A708" s="3">
        <v>39830</v>
      </c>
      <c r="B708" s="2">
        <v>5.7638888888888892E-2</v>
      </c>
      <c r="C708" t="s">
        <v>1737</v>
      </c>
      <c r="D708" t="s">
        <v>10</v>
      </c>
      <c r="E708">
        <v>1200</v>
      </c>
      <c r="F708" t="s">
        <v>63</v>
      </c>
      <c r="G708" t="s">
        <v>1228</v>
      </c>
      <c r="H708" t="s">
        <v>1229</v>
      </c>
      <c r="I708" t="s">
        <v>1230</v>
      </c>
      <c r="J708" s="5">
        <f>WEEKDAY(Table1_2[[#This Row],[Transaction date]])</f>
        <v>7</v>
      </c>
      <c r="K708"/>
    </row>
    <row r="709" spans="1:11" x14ac:dyDescent="0.45">
      <c r="A709" s="3">
        <v>39823</v>
      </c>
      <c r="B709" s="2">
        <v>0.38750000000000001</v>
      </c>
      <c r="C709" t="s">
        <v>1737</v>
      </c>
      <c r="D709" t="s">
        <v>10</v>
      </c>
      <c r="E709">
        <v>1200</v>
      </c>
      <c r="F709" t="s">
        <v>63</v>
      </c>
      <c r="G709" t="s">
        <v>1231</v>
      </c>
      <c r="H709" t="s">
        <v>1232</v>
      </c>
      <c r="I709" t="s">
        <v>1233</v>
      </c>
      <c r="J709" s="5">
        <f>WEEKDAY(Table1_2[[#This Row],[Transaction date]])</f>
        <v>7</v>
      </c>
      <c r="K709"/>
    </row>
    <row r="710" spans="1:11" x14ac:dyDescent="0.45">
      <c r="A710" s="3">
        <v>39832</v>
      </c>
      <c r="B710" s="2">
        <v>0.1423611111111111</v>
      </c>
      <c r="C710" t="s">
        <v>1737</v>
      </c>
      <c r="D710" t="s">
        <v>10</v>
      </c>
      <c r="E710">
        <v>70000</v>
      </c>
      <c r="F710" t="s">
        <v>11</v>
      </c>
      <c r="G710" t="s">
        <v>1234</v>
      </c>
      <c r="H710" t="s">
        <v>1235</v>
      </c>
      <c r="I710" t="s">
        <v>1237</v>
      </c>
      <c r="J710" s="5">
        <f>WEEKDAY(Table1_2[[#This Row],[Transaction date]])</f>
        <v>2</v>
      </c>
      <c r="K710"/>
    </row>
    <row r="711" spans="1:11" x14ac:dyDescent="0.45">
      <c r="A711" s="3">
        <v>39839</v>
      </c>
      <c r="B711" s="2">
        <v>0.44791666666666669</v>
      </c>
      <c r="C711" t="s">
        <v>1737</v>
      </c>
      <c r="D711" t="s">
        <v>10</v>
      </c>
      <c r="E711">
        <v>1200</v>
      </c>
      <c r="F711" t="s">
        <v>63</v>
      </c>
      <c r="G711" t="s">
        <v>1238</v>
      </c>
      <c r="H711" t="s">
        <v>1236</v>
      </c>
      <c r="I711" t="s">
        <v>1237</v>
      </c>
      <c r="J711" s="5">
        <f>WEEKDAY(Table1_2[[#This Row],[Transaction date]])</f>
        <v>2</v>
      </c>
      <c r="K711"/>
    </row>
    <row r="712" spans="1:11" x14ac:dyDescent="0.45">
      <c r="A712" s="3">
        <v>39826</v>
      </c>
      <c r="B712" s="2">
        <v>0.24791666666666667</v>
      </c>
      <c r="C712" t="s">
        <v>1737</v>
      </c>
      <c r="D712" t="s">
        <v>10</v>
      </c>
      <c r="E712">
        <v>1200</v>
      </c>
      <c r="F712" t="s">
        <v>11</v>
      </c>
      <c r="G712" t="s">
        <v>1239</v>
      </c>
      <c r="H712" t="s">
        <v>1240</v>
      </c>
      <c r="I712" t="s">
        <v>1242</v>
      </c>
      <c r="J712" s="5">
        <f>WEEKDAY(Table1_2[[#This Row],[Transaction date]])</f>
        <v>3</v>
      </c>
      <c r="K712"/>
    </row>
    <row r="713" spans="1:11" x14ac:dyDescent="0.45">
      <c r="A713" s="3">
        <v>39814</v>
      </c>
      <c r="B713" s="2">
        <v>0.27013888888888887</v>
      </c>
      <c r="C713" t="s">
        <v>1737</v>
      </c>
      <c r="D713" t="s">
        <v>10</v>
      </c>
      <c r="E713">
        <v>1200</v>
      </c>
      <c r="F713" t="s">
        <v>16</v>
      </c>
      <c r="G713" t="s">
        <v>455</v>
      </c>
      <c r="H713" t="s">
        <v>1243</v>
      </c>
      <c r="I713" t="s">
        <v>1242</v>
      </c>
      <c r="J713" s="5">
        <f>WEEKDAY(Table1_2[[#This Row],[Transaction date]])</f>
        <v>5</v>
      </c>
      <c r="K713"/>
    </row>
    <row r="714" spans="1:11" x14ac:dyDescent="0.45">
      <c r="A714" s="3">
        <v>39825</v>
      </c>
      <c r="B714" s="2">
        <v>5.7638888888888892E-2</v>
      </c>
      <c r="C714" t="s">
        <v>1737</v>
      </c>
      <c r="D714" t="s">
        <v>20</v>
      </c>
      <c r="E714">
        <v>100000</v>
      </c>
      <c r="F714" t="s">
        <v>63</v>
      </c>
      <c r="G714" t="s">
        <v>1245</v>
      </c>
      <c r="H714" t="s">
        <v>1246</v>
      </c>
      <c r="I714" t="s">
        <v>1242</v>
      </c>
      <c r="J714" s="5">
        <f>WEEKDAY(Table1_2[[#This Row],[Transaction date]])</f>
        <v>2</v>
      </c>
      <c r="K714"/>
    </row>
    <row r="715" spans="1:11" x14ac:dyDescent="0.45">
      <c r="A715" s="3">
        <v>39820</v>
      </c>
      <c r="B715" s="2">
        <v>0.52708333333333335</v>
      </c>
      <c r="C715" t="s">
        <v>1738</v>
      </c>
      <c r="D715" t="s">
        <v>20</v>
      </c>
      <c r="E715">
        <v>100000</v>
      </c>
      <c r="F715" t="s">
        <v>11</v>
      </c>
      <c r="G715" t="s">
        <v>501</v>
      </c>
      <c r="H715" t="s">
        <v>1247</v>
      </c>
      <c r="I715" t="s">
        <v>1242</v>
      </c>
      <c r="J715" s="5">
        <f>WEEKDAY(Table1_2[[#This Row],[Transaction date]])</f>
        <v>4</v>
      </c>
      <c r="K715"/>
    </row>
    <row r="716" spans="1:11" x14ac:dyDescent="0.45">
      <c r="A716" s="3">
        <v>39838</v>
      </c>
      <c r="B716" s="2">
        <v>0.43888888888888888</v>
      </c>
      <c r="C716" t="s">
        <v>1737</v>
      </c>
      <c r="D716" t="s">
        <v>10</v>
      </c>
      <c r="E716">
        <v>1200</v>
      </c>
      <c r="F716" t="s">
        <v>16</v>
      </c>
      <c r="G716" t="s">
        <v>1248</v>
      </c>
      <c r="H716" t="s">
        <v>1249</v>
      </c>
      <c r="I716" t="s">
        <v>1242</v>
      </c>
      <c r="J716" s="5">
        <f>WEEKDAY(Table1_2[[#This Row],[Transaction date]])</f>
        <v>1</v>
      </c>
      <c r="K716"/>
    </row>
    <row r="717" spans="1:11" x14ac:dyDescent="0.45">
      <c r="A717" s="3">
        <v>39832</v>
      </c>
      <c r="B717" s="2">
        <v>0.18263888888888888</v>
      </c>
      <c r="C717" t="s">
        <v>1737</v>
      </c>
      <c r="D717" t="s">
        <v>20</v>
      </c>
      <c r="E717">
        <v>100000</v>
      </c>
      <c r="F717" t="s">
        <v>16</v>
      </c>
      <c r="G717" t="s">
        <v>1251</v>
      </c>
      <c r="H717" t="s">
        <v>1252</v>
      </c>
      <c r="I717" t="s">
        <v>1242</v>
      </c>
      <c r="J717" s="5">
        <f>WEEKDAY(Table1_2[[#This Row],[Transaction date]])</f>
        <v>2</v>
      </c>
      <c r="K717"/>
    </row>
    <row r="718" spans="1:11" x14ac:dyDescent="0.45">
      <c r="A718" s="3">
        <v>39834</v>
      </c>
      <c r="B718" s="2">
        <v>0.19027777777777777</v>
      </c>
      <c r="C718" t="s">
        <v>1737</v>
      </c>
      <c r="D718" t="s">
        <v>10</v>
      </c>
      <c r="E718">
        <v>1200</v>
      </c>
      <c r="F718" t="s">
        <v>11</v>
      </c>
      <c r="G718" t="s">
        <v>1254</v>
      </c>
      <c r="H718" t="s">
        <v>1255</v>
      </c>
      <c r="I718" t="s">
        <v>1242</v>
      </c>
      <c r="J718" s="5">
        <f>WEEKDAY(Table1_2[[#This Row],[Transaction date]])</f>
        <v>4</v>
      </c>
      <c r="K718"/>
    </row>
    <row r="719" spans="1:11" x14ac:dyDescent="0.45">
      <c r="A719" s="3">
        <v>39830</v>
      </c>
      <c r="B719" s="2">
        <v>0.26597222222222222</v>
      </c>
      <c r="C719" t="s">
        <v>1737</v>
      </c>
      <c r="D719" t="s">
        <v>10</v>
      </c>
      <c r="E719">
        <v>1200</v>
      </c>
      <c r="F719" t="s">
        <v>11</v>
      </c>
      <c r="G719" t="s">
        <v>1256</v>
      </c>
      <c r="H719" t="s">
        <v>1257</v>
      </c>
      <c r="I719" t="s">
        <v>1242</v>
      </c>
      <c r="J719" s="5">
        <f>WEEKDAY(Table1_2[[#This Row],[Transaction date]])</f>
        <v>7</v>
      </c>
      <c r="K719"/>
    </row>
    <row r="720" spans="1:11" x14ac:dyDescent="0.45">
      <c r="A720" s="3">
        <v>39844</v>
      </c>
      <c r="B720" s="2">
        <v>8.2638888888888887E-2</v>
      </c>
      <c r="C720" t="s">
        <v>1737</v>
      </c>
      <c r="D720" t="s">
        <v>10</v>
      </c>
      <c r="E720">
        <v>1200</v>
      </c>
      <c r="F720" t="s">
        <v>11</v>
      </c>
      <c r="G720" t="s">
        <v>1258</v>
      </c>
      <c r="H720" t="s">
        <v>1240</v>
      </c>
      <c r="I720" t="s">
        <v>1242</v>
      </c>
      <c r="J720" s="5">
        <f>WEEKDAY(Table1_2[[#This Row],[Transaction date]])</f>
        <v>7</v>
      </c>
      <c r="K720"/>
    </row>
    <row r="721" spans="1:11" x14ac:dyDescent="0.45">
      <c r="A721" s="3">
        <v>39837</v>
      </c>
      <c r="B721" s="2">
        <v>5.6944444444444443E-2</v>
      </c>
      <c r="C721" t="s">
        <v>1737</v>
      </c>
      <c r="D721" t="s">
        <v>10</v>
      </c>
      <c r="E721">
        <v>1200</v>
      </c>
      <c r="F721" t="s">
        <v>11</v>
      </c>
      <c r="G721" t="s">
        <v>1259</v>
      </c>
      <c r="H721" t="s">
        <v>1260</v>
      </c>
      <c r="I721" t="s">
        <v>1242</v>
      </c>
      <c r="J721" s="5">
        <f>WEEKDAY(Table1_2[[#This Row],[Transaction date]])</f>
        <v>7</v>
      </c>
      <c r="K721"/>
    </row>
    <row r="722" spans="1:11" x14ac:dyDescent="0.45">
      <c r="A722" s="3">
        <v>39818</v>
      </c>
      <c r="B722" s="2">
        <v>0.25833333333333336</v>
      </c>
      <c r="C722" t="s">
        <v>1737</v>
      </c>
      <c r="D722" t="s">
        <v>10</v>
      </c>
      <c r="E722">
        <v>1200</v>
      </c>
      <c r="F722" t="s">
        <v>63</v>
      </c>
      <c r="G722" t="s">
        <v>185</v>
      </c>
      <c r="H722" t="s">
        <v>1262</v>
      </c>
      <c r="I722" t="s">
        <v>1242</v>
      </c>
      <c r="J722" s="5">
        <f>WEEKDAY(Table1_2[[#This Row],[Transaction date]])</f>
        <v>2</v>
      </c>
      <c r="K722"/>
    </row>
    <row r="723" spans="1:11" x14ac:dyDescent="0.45">
      <c r="A723" s="3">
        <v>39829</v>
      </c>
      <c r="B723" s="2">
        <v>6.5972222222222224E-2</v>
      </c>
      <c r="C723" t="s">
        <v>1737</v>
      </c>
      <c r="D723" t="s">
        <v>10</v>
      </c>
      <c r="E723">
        <v>1200</v>
      </c>
      <c r="F723" t="s">
        <v>11</v>
      </c>
      <c r="G723" t="s">
        <v>600</v>
      </c>
      <c r="H723" t="s">
        <v>1247</v>
      </c>
      <c r="I723" t="s">
        <v>1242</v>
      </c>
      <c r="J723" s="5">
        <f>WEEKDAY(Table1_2[[#This Row],[Transaction date]])</f>
        <v>6</v>
      </c>
      <c r="K723"/>
    </row>
    <row r="724" spans="1:11" x14ac:dyDescent="0.45">
      <c r="A724" s="3">
        <v>39830</v>
      </c>
      <c r="B724" s="2">
        <v>0.33055555555555555</v>
      </c>
      <c r="C724" t="s">
        <v>1737</v>
      </c>
      <c r="D724" t="s">
        <v>230</v>
      </c>
      <c r="E724">
        <v>100000</v>
      </c>
      <c r="F724" t="s">
        <v>63</v>
      </c>
      <c r="G724" t="s">
        <v>1263</v>
      </c>
      <c r="H724" t="s">
        <v>1264</v>
      </c>
      <c r="I724" t="s">
        <v>1242</v>
      </c>
      <c r="J724" s="5">
        <f>WEEKDAY(Table1_2[[#This Row],[Transaction date]])</f>
        <v>7</v>
      </c>
      <c r="K724"/>
    </row>
    <row r="725" spans="1:11" x14ac:dyDescent="0.45">
      <c r="A725" s="3">
        <v>39830</v>
      </c>
      <c r="B725" s="2">
        <v>0.33194444444444443</v>
      </c>
      <c r="C725" t="s">
        <v>1737</v>
      </c>
      <c r="D725" t="s">
        <v>230</v>
      </c>
      <c r="E725">
        <v>100000</v>
      </c>
      <c r="F725" t="s">
        <v>63</v>
      </c>
      <c r="G725" t="s">
        <v>1266</v>
      </c>
      <c r="H725" t="s">
        <v>1264</v>
      </c>
      <c r="I725" t="s">
        <v>1242</v>
      </c>
      <c r="J725" s="5">
        <f>WEEKDAY(Table1_2[[#This Row],[Transaction date]])</f>
        <v>7</v>
      </c>
      <c r="K725"/>
    </row>
    <row r="726" spans="1:11" x14ac:dyDescent="0.45">
      <c r="A726" s="3">
        <v>39831</v>
      </c>
      <c r="B726" s="2">
        <v>0.18888888888888888</v>
      </c>
      <c r="C726" t="s">
        <v>1737</v>
      </c>
      <c r="D726" t="s">
        <v>10</v>
      </c>
      <c r="E726">
        <v>1200</v>
      </c>
      <c r="F726" t="s">
        <v>63</v>
      </c>
      <c r="G726" t="s">
        <v>1267</v>
      </c>
      <c r="H726" t="s">
        <v>1264</v>
      </c>
      <c r="I726" t="s">
        <v>1242</v>
      </c>
      <c r="J726" s="5">
        <f>WEEKDAY(Table1_2[[#This Row],[Transaction date]])</f>
        <v>1</v>
      </c>
      <c r="K726"/>
    </row>
    <row r="727" spans="1:11" x14ac:dyDescent="0.45">
      <c r="A727" s="3">
        <v>39817</v>
      </c>
      <c r="B727" s="2">
        <v>5.347222222222222E-2</v>
      </c>
      <c r="C727" t="s">
        <v>1737</v>
      </c>
      <c r="D727" t="s">
        <v>10</v>
      </c>
      <c r="E727">
        <v>1200</v>
      </c>
      <c r="F727" t="s">
        <v>16</v>
      </c>
      <c r="G727" t="s">
        <v>1268</v>
      </c>
      <c r="H727" t="s">
        <v>1269</v>
      </c>
      <c r="I727" t="s">
        <v>1270</v>
      </c>
      <c r="J727" s="5">
        <f>WEEKDAY(Table1_2[[#This Row],[Transaction date]])</f>
        <v>1</v>
      </c>
      <c r="K727"/>
    </row>
    <row r="728" spans="1:11" x14ac:dyDescent="0.45">
      <c r="A728" s="3">
        <v>39817</v>
      </c>
      <c r="B728" s="2">
        <v>4.5138888888888888E-2</v>
      </c>
      <c r="C728" t="s">
        <v>1737</v>
      </c>
      <c r="D728" t="s">
        <v>10</v>
      </c>
      <c r="E728">
        <v>1200</v>
      </c>
      <c r="F728" t="s">
        <v>63</v>
      </c>
      <c r="G728" t="s">
        <v>1271</v>
      </c>
      <c r="H728" t="s">
        <v>1272</v>
      </c>
      <c r="I728" t="s">
        <v>1274</v>
      </c>
      <c r="J728" s="5">
        <f>WEEKDAY(Table1_2[[#This Row],[Transaction date]])</f>
        <v>1</v>
      </c>
      <c r="K728"/>
    </row>
    <row r="729" spans="1:11" x14ac:dyDescent="0.45">
      <c r="A729" s="3">
        <v>39814</v>
      </c>
      <c r="B729" s="2">
        <v>0.46180555555555558</v>
      </c>
      <c r="C729" t="s">
        <v>1737</v>
      </c>
      <c r="D729" t="s">
        <v>10</v>
      </c>
      <c r="E729">
        <v>1200</v>
      </c>
      <c r="F729" t="s">
        <v>63</v>
      </c>
      <c r="G729" t="s">
        <v>1275</v>
      </c>
      <c r="H729" t="s">
        <v>1276</v>
      </c>
      <c r="I729" t="s">
        <v>1274</v>
      </c>
      <c r="J729" s="5">
        <f>WEEKDAY(Table1_2[[#This Row],[Transaction date]])</f>
        <v>5</v>
      </c>
      <c r="K729"/>
    </row>
    <row r="730" spans="1:11" x14ac:dyDescent="0.45">
      <c r="A730" s="3">
        <v>39823</v>
      </c>
      <c r="B730" s="2">
        <v>0.11319444444444444</v>
      </c>
      <c r="C730" t="s">
        <v>1737</v>
      </c>
      <c r="D730" t="s">
        <v>10</v>
      </c>
      <c r="E730">
        <v>1200</v>
      </c>
      <c r="F730" t="s">
        <v>63</v>
      </c>
      <c r="G730" t="s">
        <v>1278</v>
      </c>
      <c r="H730" t="s">
        <v>1279</v>
      </c>
      <c r="I730" t="s">
        <v>1274</v>
      </c>
      <c r="J730" s="5">
        <f>WEEKDAY(Table1_2[[#This Row],[Transaction date]])</f>
        <v>7</v>
      </c>
      <c r="K730"/>
    </row>
    <row r="731" spans="1:11" x14ac:dyDescent="0.45">
      <c r="A731" s="3">
        <v>39819</v>
      </c>
      <c r="B731" s="2">
        <v>0.13541666666666666</v>
      </c>
      <c r="C731" t="s">
        <v>1737</v>
      </c>
      <c r="D731" t="s">
        <v>10</v>
      </c>
      <c r="E731">
        <v>1200</v>
      </c>
      <c r="F731" t="s">
        <v>16</v>
      </c>
      <c r="G731" t="s">
        <v>1281</v>
      </c>
      <c r="H731" t="s">
        <v>1282</v>
      </c>
      <c r="I731" t="s">
        <v>1274</v>
      </c>
      <c r="J731" s="5">
        <f>WEEKDAY(Table1_2[[#This Row],[Transaction date]])</f>
        <v>3</v>
      </c>
      <c r="K731"/>
    </row>
    <row r="732" spans="1:11" x14ac:dyDescent="0.45">
      <c r="A732" s="3">
        <v>39831</v>
      </c>
      <c r="B732" s="2">
        <v>0.21875</v>
      </c>
      <c r="C732" t="s">
        <v>1737</v>
      </c>
      <c r="D732" t="s">
        <v>10</v>
      </c>
      <c r="E732">
        <v>1200</v>
      </c>
      <c r="F732" t="s">
        <v>63</v>
      </c>
      <c r="G732" t="s">
        <v>1283</v>
      </c>
      <c r="H732" t="s">
        <v>1284</v>
      </c>
      <c r="I732" t="s">
        <v>1274</v>
      </c>
      <c r="J732" s="5">
        <f>WEEKDAY(Table1_2[[#This Row],[Transaction date]])</f>
        <v>1</v>
      </c>
      <c r="K732"/>
    </row>
    <row r="733" spans="1:11" x14ac:dyDescent="0.45">
      <c r="A733" s="3">
        <v>39831</v>
      </c>
      <c r="B733" s="2">
        <v>5.9722222222222225E-2</v>
      </c>
      <c r="C733" t="s">
        <v>1737</v>
      </c>
      <c r="D733" t="s">
        <v>230</v>
      </c>
      <c r="E733">
        <v>100000</v>
      </c>
      <c r="F733" t="s">
        <v>16</v>
      </c>
      <c r="G733" t="s">
        <v>1286</v>
      </c>
      <c r="H733" t="s">
        <v>1287</v>
      </c>
      <c r="I733" t="s">
        <v>1274</v>
      </c>
      <c r="J733" s="5">
        <f>WEEKDAY(Table1_2[[#This Row],[Transaction date]])</f>
        <v>1</v>
      </c>
      <c r="K733"/>
    </row>
    <row r="734" spans="1:11" x14ac:dyDescent="0.45">
      <c r="A734" s="3">
        <v>39829</v>
      </c>
      <c r="B734" s="2">
        <v>4.6527777777777779E-2</v>
      </c>
      <c r="C734" t="s">
        <v>1737</v>
      </c>
      <c r="D734" t="s">
        <v>20</v>
      </c>
      <c r="E734">
        <v>100000</v>
      </c>
      <c r="F734" t="s">
        <v>63</v>
      </c>
      <c r="G734" t="s">
        <v>1288</v>
      </c>
      <c r="H734" t="s">
        <v>1277</v>
      </c>
      <c r="I734" t="s">
        <v>1274</v>
      </c>
      <c r="J734" s="5">
        <f>WEEKDAY(Table1_2[[#This Row],[Transaction date]])</f>
        <v>6</v>
      </c>
      <c r="K734"/>
    </row>
    <row r="735" spans="1:11" x14ac:dyDescent="0.45">
      <c r="A735" s="3">
        <v>39821</v>
      </c>
      <c r="B735" s="2">
        <v>0.17777777777777778</v>
      </c>
      <c r="C735" t="s">
        <v>1737</v>
      </c>
      <c r="D735" t="s">
        <v>10</v>
      </c>
      <c r="E735">
        <v>1200</v>
      </c>
      <c r="F735" t="s">
        <v>11</v>
      </c>
      <c r="G735" t="s">
        <v>1289</v>
      </c>
      <c r="H735" t="s">
        <v>1290</v>
      </c>
      <c r="I735" t="s">
        <v>1274</v>
      </c>
      <c r="J735" s="5">
        <f>WEEKDAY(Table1_2[[#This Row],[Transaction date]])</f>
        <v>5</v>
      </c>
      <c r="K735"/>
    </row>
    <row r="736" spans="1:11" x14ac:dyDescent="0.45">
      <c r="A736" s="3">
        <v>39822</v>
      </c>
      <c r="B736" s="2">
        <v>0.10208333333333333</v>
      </c>
      <c r="C736" t="s">
        <v>1737</v>
      </c>
      <c r="D736" t="s">
        <v>10</v>
      </c>
      <c r="E736">
        <v>1200</v>
      </c>
      <c r="F736" t="s">
        <v>11</v>
      </c>
      <c r="G736" t="s">
        <v>1291</v>
      </c>
      <c r="H736" t="s">
        <v>1292</v>
      </c>
      <c r="I736" t="s">
        <v>1274</v>
      </c>
      <c r="J736" s="5">
        <f>WEEKDAY(Table1_2[[#This Row],[Transaction date]])</f>
        <v>6</v>
      </c>
      <c r="K736"/>
    </row>
    <row r="737" spans="1:11" x14ac:dyDescent="0.45">
      <c r="A737" s="3">
        <v>39822</v>
      </c>
      <c r="B737" s="2">
        <v>0.10555555555555556</v>
      </c>
      <c r="C737" t="s">
        <v>1737</v>
      </c>
      <c r="D737" t="s">
        <v>10</v>
      </c>
      <c r="E737">
        <v>1200</v>
      </c>
      <c r="F737" t="s">
        <v>11</v>
      </c>
      <c r="G737" t="s">
        <v>1293</v>
      </c>
      <c r="H737" t="s">
        <v>1292</v>
      </c>
      <c r="I737" t="s">
        <v>1274</v>
      </c>
      <c r="J737" s="5">
        <f>WEEKDAY(Table1_2[[#This Row],[Transaction date]])</f>
        <v>6</v>
      </c>
      <c r="K737"/>
    </row>
    <row r="738" spans="1:11" x14ac:dyDescent="0.45">
      <c r="A738" s="3">
        <v>39835</v>
      </c>
      <c r="B738" s="2">
        <v>0.14722222222222223</v>
      </c>
      <c r="C738" t="s">
        <v>1737</v>
      </c>
      <c r="D738" t="s">
        <v>10</v>
      </c>
      <c r="E738">
        <v>1200</v>
      </c>
      <c r="F738" t="s">
        <v>16</v>
      </c>
      <c r="G738" t="s">
        <v>1294</v>
      </c>
      <c r="H738" t="s">
        <v>1295</v>
      </c>
      <c r="I738" t="s">
        <v>1274</v>
      </c>
      <c r="J738" s="5">
        <f>WEEKDAY(Table1_2[[#This Row],[Transaction date]])</f>
        <v>5</v>
      </c>
      <c r="K738"/>
    </row>
    <row r="739" spans="1:11" x14ac:dyDescent="0.45">
      <c r="A739" s="3">
        <v>39824</v>
      </c>
      <c r="B739" s="2">
        <v>0.5083333333333333</v>
      </c>
      <c r="C739" t="s">
        <v>1738</v>
      </c>
      <c r="D739" t="s">
        <v>10</v>
      </c>
      <c r="E739">
        <v>1200</v>
      </c>
      <c r="F739" t="s">
        <v>11</v>
      </c>
      <c r="G739" t="s">
        <v>1296</v>
      </c>
      <c r="H739" t="s">
        <v>1297</v>
      </c>
      <c r="I739" t="s">
        <v>1274</v>
      </c>
      <c r="J739" s="5">
        <f>WEEKDAY(Table1_2[[#This Row],[Transaction date]])</f>
        <v>1</v>
      </c>
      <c r="K739"/>
    </row>
    <row r="740" spans="1:11" x14ac:dyDescent="0.45">
      <c r="A740" s="3">
        <v>39815</v>
      </c>
      <c r="B740" s="2">
        <v>0.27986111111111112</v>
      </c>
      <c r="C740" t="s">
        <v>1737</v>
      </c>
      <c r="D740" t="s">
        <v>10</v>
      </c>
      <c r="E740">
        <v>1200</v>
      </c>
      <c r="F740" t="s">
        <v>11</v>
      </c>
      <c r="G740" t="s">
        <v>450</v>
      </c>
      <c r="H740" t="s">
        <v>1277</v>
      </c>
      <c r="I740" t="s">
        <v>1274</v>
      </c>
      <c r="J740" s="5">
        <f>WEEKDAY(Table1_2[[#This Row],[Transaction date]])</f>
        <v>6</v>
      </c>
      <c r="K740"/>
    </row>
    <row r="741" spans="1:11" x14ac:dyDescent="0.45">
      <c r="A741" s="3">
        <v>39831</v>
      </c>
      <c r="B741" s="2">
        <v>8.2638888888888887E-2</v>
      </c>
      <c r="C741" t="s">
        <v>1737</v>
      </c>
      <c r="D741" t="s">
        <v>10</v>
      </c>
      <c r="E741">
        <v>130000</v>
      </c>
      <c r="F741" t="s">
        <v>63</v>
      </c>
      <c r="G741" t="s">
        <v>1298</v>
      </c>
      <c r="H741" t="s">
        <v>1299</v>
      </c>
      <c r="I741" t="s">
        <v>1274</v>
      </c>
      <c r="J741" s="5">
        <f>WEEKDAY(Table1_2[[#This Row],[Transaction date]])</f>
        <v>1</v>
      </c>
      <c r="K741"/>
    </row>
    <row r="742" spans="1:11" x14ac:dyDescent="0.45">
      <c r="A742" s="3">
        <v>39831</v>
      </c>
      <c r="B742" s="2">
        <v>0.52222222222222225</v>
      </c>
      <c r="C742" t="s">
        <v>1738</v>
      </c>
      <c r="D742" t="s">
        <v>10</v>
      </c>
      <c r="E742">
        <v>130000</v>
      </c>
      <c r="F742" t="s">
        <v>11</v>
      </c>
      <c r="G742" t="s">
        <v>258</v>
      </c>
      <c r="H742" t="s">
        <v>1300</v>
      </c>
      <c r="I742" t="s">
        <v>1274</v>
      </c>
      <c r="J742" s="5">
        <f>WEEKDAY(Table1_2[[#This Row],[Transaction date]])</f>
        <v>1</v>
      </c>
      <c r="K742"/>
    </row>
    <row r="743" spans="1:11" x14ac:dyDescent="0.45">
      <c r="A743" s="3">
        <v>39832</v>
      </c>
      <c r="B743" s="2">
        <v>0.50972222222222219</v>
      </c>
      <c r="C743" t="s">
        <v>1738</v>
      </c>
      <c r="D743" t="s">
        <v>10</v>
      </c>
      <c r="E743">
        <v>130000</v>
      </c>
      <c r="F743" t="s">
        <v>16</v>
      </c>
      <c r="G743" t="s">
        <v>1301</v>
      </c>
      <c r="H743" t="s">
        <v>1302</v>
      </c>
      <c r="I743" t="s">
        <v>1274</v>
      </c>
      <c r="J743" s="5">
        <f>WEEKDAY(Table1_2[[#This Row],[Transaction date]])</f>
        <v>2</v>
      </c>
      <c r="K743"/>
    </row>
    <row r="744" spans="1:11" x14ac:dyDescent="0.45">
      <c r="A744" s="3">
        <v>39836</v>
      </c>
      <c r="B744" s="2">
        <v>0.19930555555555557</v>
      </c>
      <c r="C744" t="s">
        <v>1737</v>
      </c>
      <c r="D744" t="s">
        <v>10</v>
      </c>
      <c r="E744">
        <v>130000</v>
      </c>
      <c r="F744" t="s">
        <v>16</v>
      </c>
      <c r="G744" t="s">
        <v>419</v>
      </c>
      <c r="H744" t="s">
        <v>1303</v>
      </c>
      <c r="I744" t="s">
        <v>1274</v>
      </c>
      <c r="J744" s="5">
        <f>WEEKDAY(Table1_2[[#This Row],[Transaction date]])</f>
        <v>6</v>
      </c>
      <c r="K744"/>
    </row>
    <row r="745" spans="1:11" x14ac:dyDescent="0.45">
      <c r="A745" s="3">
        <v>39834</v>
      </c>
      <c r="B745" s="2">
        <v>0.45833333333333331</v>
      </c>
      <c r="C745" t="s">
        <v>1737</v>
      </c>
      <c r="D745" t="s">
        <v>10</v>
      </c>
      <c r="E745">
        <v>130000</v>
      </c>
      <c r="F745" t="s">
        <v>11</v>
      </c>
      <c r="G745" t="s">
        <v>972</v>
      </c>
      <c r="H745" t="s">
        <v>1304</v>
      </c>
      <c r="I745" t="s">
        <v>1274</v>
      </c>
      <c r="J745" s="5">
        <f>WEEKDAY(Table1_2[[#This Row],[Transaction date]])</f>
        <v>4</v>
      </c>
      <c r="K745"/>
    </row>
    <row r="746" spans="1:11" x14ac:dyDescent="0.45">
      <c r="A746" s="3">
        <v>39820</v>
      </c>
      <c r="B746" s="2">
        <v>0.27291666666666664</v>
      </c>
      <c r="C746" t="s">
        <v>1737</v>
      </c>
      <c r="D746" t="s">
        <v>10</v>
      </c>
      <c r="E746">
        <v>130000</v>
      </c>
      <c r="F746" t="s">
        <v>63</v>
      </c>
      <c r="G746" t="s">
        <v>189</v>
      </c>
      <c r="H746" t="s">
        <v>1297</v>
      </c>
      <c r="I746" t="s">
        <v>1274</v>
      </c>
      <c r="J746" s="5">
        <f>WEEKDAY(Table1_2[[#This Row],[Transaction date]])</f>
        <v>4</v>
      </c>
      <c r="K746"/>
    </row>
    <row r="747" spans="1:11" x14ac:dyDescent="0.45">
      <c r="A747" s="3">
        <v>39818</v>
      </c>
      <c r="B747" s="2">
        <v>0.42222222222222222</v>
      </c>
      <c r="C747" t="s">
        <v>1737</v>
      </c>
      <c r="D747" t="s">
        <v>10</v>
      </c>
      <c r="E747">
        <v>130000</v>
      </c>
      <c r="F747" t="s">
        <v>11</v>
      </c>
      <c r="G747" t="s">
        <v>1305</v>
      </c>
      <c r="H747" t="s">
        <v>1306</v>
      </c>
      <c r="I747" t="s">
        <v>1274</v>
      </c>
      <c r="J747" s="5">
        <f>WEEKDAY(Table1_2[[#This Row],[Transaction date]])</f>
        <v>2</v>
      </c>
      <c r="K747"/>
    </row>
    <row r="748" spans="1:11" x14ac:dyDescent="0.45">
      <c r="A748" s="3">
        <v>39820</v>
      </c>
      <c r="B748" s="2">
        <v>0.12152777777777778</v>
      </c>
      <c r="C748" t="s">
        <v>1737</v>
      </c>
      <c r="D748" t="s">
        <v>10</v>
      </c>
      <c r="E748">
        <v>130000</v>
      </c>
      <c r="F748" t="s">
        <v>11</v>
      </c>
      <c r="G748" t="s">
        <v>260</v>
      </c>
      <c r="H748" t="s">
        <v>1308</v>
      </c>
      <c r="I748" t="s">
        <v>1274</v>
      </c>
      <c r="J748" s="5">
        <f>WEEKDAY(Table1_2[[#This Row],[Transaction date]])</f>
        <v>4</v>
      </c>
      <c r="K748"/>
    </row>
    <row r="749" spans="1:11" x14ac:dyDescent="0.45">
      <c r="A749" s="3">
        <v>39815</v>
      </c>
      <c r="B749" s="2">
        <v>0.11805555555555555</v>
      </c>
      <c r="C749" t="s">
        <v>1737</v>
      </c>
      <c r="D749" t="s">
        <v>10</v>
      </c>
      <c r="E749">
        <v>130000</v>
      </c>
      <c r="F749" t="s">
        <v>11</v>
      </c>
      <c r="G749" t="s">
        <v>454</v>
      </c>
      <c r="H749" t="s">
        <v>1310</v>
      </c>
      <c r="I749" t="s">
        <v>1274</v>
      </c>
      <c r="J749" s="5">
        <f>WEEKDAY(Table1_2[[#This Row],[Transaction date]])</f>
        <v>6</v>
      </c>
      <c r="K749"/>
    </row>
    <row r="750" spans="1:11" x14ac:dyDescent="0.45">
      <c r="A750" s="3">
        <v>39839</v>
      </c>
      <c r="B750" s="2">
        <v>0.48333333333333334</v>
      </c>
      <c r="C750" t="s">
        <v>1737</v>
      </c>
      <c r="D750" t="s">
        <v>10</v>
      </c>
      <c r="E750">
        <v>130000</v>
      </c>
      <c r="F750" t="s">
        <v>11</v>
      </c>
      <c r="G750" t="s">
        <v>730</v>
      </c>
      <c r="H750" t="s">
        <v>1312</v>
      </c>
      <c r="I750" t="s">
        <v>1274</v>
      </c>
      <c r="J750" s="5">
        <f>WEEKDAY(Table1_2[[#This Row],[Transaction date]])</f>
        <v>2</v>
      </c>
      <c r="K750"/>
    </row>
    <row r="751" spans="1:11" x14ac:dyDescent="0.45">
      <c r="A751" s="3">
        <v>39827</v>
      </c>
      <c r="B751" s="2">
        <v>0.15208333333333332</v>
      </c>
      <c r="C751" t="s">
        <v>1737</v>
      </c>
      <c r="D751" t="s">
        <v>10</v>
      </c>
      <c r="E751">
        <v>130000</v>
      </c>
      <c r="F751" t="s">
        <v>11</v>
      </c>
      <c r="G751" t="s">
        <v>1313</v>
      </c>
      <c r="H751" t="s">
        <v>1314</v>
      </c>
      <c r="I751" t="s">
        <v>1274</v>
      </c>
      <c r="J751" s="5">
        <f>WEEKDAY(Table1_2[[#This Row],[Transaction date]])</f>
        <v>4</v>
      </c>
      <c r="K751"/>
    </row>
    <row r="752" spans="1:11" x14ac:dyDescent="0.45">
      <c r="A752" s="3">
        <v>39827</v>
      </c>
      <c r="B752" s="2">
        <v>0.15763888888888888</v>
      </c>
      <c r="C752" t="s">
        <v>1737</v>
      </c>
      <c r="D752" t="s">
        <v>10</v>
      </c>
      <c r="E752">
        <v>130000</v>
      </c>
      <c r="F752" t="s">
        <v>11</v>
      </c>
      <c r="G752" t="s">
        <v>959</v>
      </c>
      <c r="H752" t="s">
        <v>1314</v>
      </c>
      <c r="I752" t="s">
        <v>1274</v>
      </c>
      <c r="J752" s="5">
        <f>WEEKDAY(Table1_2[[#This Row],[Transaction date]])</f>
        <v>4</v>
      </c>
      <c r="K752"/>
    </row>
    <row r="753" spans="1:11" x14ac:dyDescent="0.45">
      <c r="A753" s="3">
        <v>39826</v>
      </c>
      <c r="B753" s="2">
        <v>7.5694444444444439E-2</v>
      </c>
      <c r="C753" t="s">
        <v>1737</v>
      </c>
      <c r="D753" t="s">
        <v>10</v>
      </c>
      <c r="E753">
        <v>130000</v>
      </c>
      <c r="F753" t="s">
        <v>11</v>
      </c>
      <c r="G753" t="s">
        <v>440</v>
      </c>
      <c r="H753" t="s">
        <v>1315</v>
      </c>
      <c r="I753" t="s">
        <v>1274</v>
      </c>
      <c r="J753" s="5">
        <f>WEEKDAY(Table1_2[[#This Row],[Transaction date]])</f>
        <v>3</v>
      </c>
      <c r="K753"/>
    </row>
    <row r="754" spans="1:11" x14ac:dyDescent="0.45">
      <c r="A754" s="3">
        <v>39824</v>
      </c>
      <c r="B754" s="2">
        <v>0.29791666666666666</v>
      </c>
      <c r="C754" t="s">
        <v>1737</v>
      </c>
      <c r="D754" t="s">
        <v>10</v>
      </c>
      <c r="E754">
        <v>130000</v>
      </c>
      <c r="F754" t="s">
        <v>11</v>
      </c>
      <c r="G754" t="s">
        <v>1317</v>
      </c>
      <c r="H754" t="s">
        <v>1318</v>
      </c>
      <c r="I754" t="s">
        <v>1274</v>
      </c>
      <c r="J754" s="5">
        <f>WEEKDAY(Table1_2[[#This Row],[Transaction date]])</f>
        <v>1</v>
      </c>
      <c r="K754"/>
    </row>
    <row r="755" spans="1:11" x14ac:dyDescent="0.45">
      <c r="A755" s="3">
        <v>39835</v>
      </c>
      <c r="B755" s="2">
        <v>0.44930555555555557</v>
      </c>
      <c r="C755" t="s">
        <v>1737</v>
      </c>
      <c r="D755" t="s">
        <v>10</v>
      </c>
      <c r="E755">
        <v>130000</v>
      </c>
      <c r="F755" t="s">
        <v>11</v>
      </c>
      <c r="G755" t="s">
        <v>1320</v>
      </c>
      <c r="H755" t="s">
        <v>1321</v>
      </c>
      <c r="I755" t="s">
        <v>1274</v>
      </c>
      <c r="J755" s="5">
        <f>WEEKDAY(Table1_2[[#This Row],[Transaction date]])</f>
        <v>5</v>
      </c>
      <c r="K755"/>
    </row>
    <row r="756" spans="1:11" x14ac:dyDescent="0.45">
      <c r="A756" s="3">
        <v>39831</v>
      </c>
      <c r="B756" s="2">
        <v>0.28194444444444444</v>
      </c>
      <c r="C756" t="s">
        <v>1737</v>
      </c>
      <c r="D756" t="s">
        <v>10</v>
      </c>
      <c r="E756">
        <v>130000</v>
      </c>
      <c r="F756" t="s">
        <v>11</v>
      </c>
      <c r="G756" t="s">
        <v>1322</v>
      </c>
      <c r="H756" t="s">
        <v>1323</v>
      </c>
      <c r="I756" t="s">
        <v>1274</v>
      </c>
      <c r="J756" s="5">
        <f>WEEKDAY(Table1_2[[#This Row],[Transaction date]])</f>
        <v>1</v>
      </c>
      <c r="K756"/>
    </row>
    <row r="757" spans="1:11" x14ac:dyDescent="0.45">
      <c r="A757" s="3">
        <v>39817</v>
      </c>
      <c r="B757" s="2">
        <v>0.28541666666666665</v>
      </c>
      <c r="C757" t="s">
        <v>1737</v>
      </c>
      <c r="D757" t="s">
        <v>10</v>
      </c>
      <c r="E757">
        <v>130000</v>
      </c>
      <c r="F757" t="s">
        <v>11</v>
      </c>
      <c r="G757" t="s">
        <v>1324</v>
      </c>
      <c r="H757" t="s">
        <v>1325</v>
      </c>
      <c r="I757" t="s">
        <v>1274</v>
      </c>
      <c r="J757" s="5">
        <f>WEEKDAY(Table1_2[[#This Row],[Transaction date]])</f>
        <v>1</v>
      </c>
      <c r="K757"/>
    </row>
    <row r="758" spans="1:11" x14ac:dyDescent="0.45">
      <c r="A758" s="3">
        <v>39823</v>
      </c>
      <c r="B758" s="2">
        <v>0.31736111111111109</v>
      </c>
      <c r="C758" t="s">
        <v>1737</v>
      </c>
      <c r="D758" t="s">
        <v>10</v>
      </c>
      <c r="E758">
        <v>130000</v>
      </c>
      <c r="F758" t="s">
        <v>11</v>
      </c>
      <c r="G758" t="s">
        <v>1327</v>
      </c>
      <c r="H758" t="s">
        <v>1328</v>
      </c>
      <c r="I758" t="s">
        <v>1274</v>
      </c>
      <c r="J758" s="5">
        <f>WEEKDAY(Table1_2[[#This Row],[Transaction date]])</f>
        <v>7</v>
      </c>
      <c r="K758"/>
    </row>
    <row r="759" spans="1:11" x14ac:dyDescent="0.45">
      <c r="A759" s="3">
        <v>39840</v>
      </c>
      <c r="B759" s="2">
        <v>0.10972222222222222</v>
      </c>
      <c r="C759" t="s">
        <v>1737</v>
      </c>
      <c r="D759" t="s">
        <v>10</v>
      </c>
      <c r="E759">
        <v>60000</v>
      </c>
      <c r="F759" t="s">
        <v>11</v>
      </c>
      <c r="G759" t="s">
        <v>1329</v>
      </c>
      <c r="H759" t="s">
        <v>1330</v>
      </c>
      <c r="I759" t="s">
        <v>1274</v>
      </c>
      <c r="J759" s="5">
        <f>WEEKDAY(Table1_2[[#This Row],[Transaction date]])</f>
        <v>3</v>
      </c>
      <c r="K759"/>
    </row>
    <row r="760" spans="1:11" x14ac:dyDescent="0.45">
      <c r="A760" s="3">
        <v>39826</v>
      </c>
      <c r="B760" s="2">
        <v>0.11597222222222223</v>
      </c>
      <c r="C760" t="s">
        <v>1737</v>
      </c>
      <c r="D760" t="s">
        <v>10</v>
      </c>
      <c r="E760">
        <v>1200</v>
      </c>
      <c r="F760" t="s">
        <v>11</v>
      </c>
      <c r="G760" t="s">
        <v>1331</v>
      </c>
      <c r="H760" t="s">
        <v>1302</v>
      </c>
      <c r="I760" t="s">
        <v>1274</v>
      </c>
      <c r="J760" s="5">
        <f>WEEKDAY(Table1_2[[#This Row],[Transaction date]])</f>
        <v>3</v>
      </c>
      <c r="K760"/>
    </row>
    <row r="761" spans="1:11" x14ac:dyDescent="0.45">
      <c r="A761" s="3">
        <v>39820</v>
      </c>
      <c r="B761" s="2">
        <v>6.1111111111111109E-2</v>
      </c>
      <c r="C761" t="s">
        <v>1737</v>
      </c>
      <c r="D761" t="s">
        <v>10</v>
      </c>
      <c r="E761">
        <v>1200</v>
      </c>
      <c r="F761" t="s">
        <v>16</v>
      </c>
      <c r="G761" t="s">
        <v>712</v>
      </c>
      <c r="H761" t="s">
        <v>1332</v>
      </c>
      <c r="I761" t="s">
        <v>1274</v>
      </c>
      <c r="J761" s="5">
        <f>WEEKDAY(Table1_2[[#This Row],[Transaction date]])</f>
        <v>4</v>
      </c>
      <c r="K761"/>
    </row>
    <row r="762" spans="1:11" x14ac:dyDescent="0.45">
      <c r="A762" s="3">
        <v>39830</v>
      </c>
      <c r="B762" s="2">
        <v>0.13819444444444445</v>
      </c>
      <c r="C762" t="s">
        <v>1737</v>
      </c>
      <c r="D762" t="s">
        <v>10</v>
      </c>
      <c r="E762">
        <v>1200</v>
      </c>
      <c r="F762" t="s">
        <v>11</v>
      </c>
      <c r="G762" t="s">
        <v>1333</v>
      </c>
      <c r="H762" t="s">
        <v>1334</v>
      </c>
      <c r="I762" t="s">
        <v>1274</v>
      </c>
      <c r="J762" s="5">
        <f>WEEKDAY(Table1_2[[#This Row],[Transaction date]])</f>
        <v>7</v>
      </c>
      <c r="K762"/>
    </row>
    <row r="763" spans="1:11" x14ac:dyDescent="0.45">
      <c r="A763" s="3">
        <v>39815</v>
      </c>
      <c r="B763" s="2">
        <v>0.13402777777777777</v>
      </c>
      <c r="C763" t="s">
        <v>1737</v>
      </c>
      <c r="D763" t="s">
        <v>10</v>
      </c>
      <c r="E763">
        <v>1200</v>
      </c>
      <c r="F763" t="s">
        <v>11</v>
      </c>
      <c r="G763" t="s">
        <v>1335</v>
      </c>
      <c r="H763" t="s">
        <v>1277</v>
      </c>
      <c r="I763" t="s">
        <v>1274</v>
      </c>
      <c r="J763" s="5">
        <f>WEEKDAY(Table1_2[[#This Row],[Transaction date]])</f>
        <v>6</v>
      </c>
      <c r="K763"/>
    </row>
    <row r="764" spans="1:11" x14ac:dyDescent="0.45">
      <c r="A764" s="3">
        <v>39839</v>
      </c>
      <c r="B764" s="2">
        <v>0.11319444444444444</v>
      </c>
      <c r="C764" t="s">
        <v>1737</v>
      </c>
      <c r="D764" t="s">
        <v>10</v>
      </c>
      <c r="E764">
        <v>1200</v>
      </c>
      <c r="F764" t="s">
        <v>11</v>
      </c>
      <c r="G764" t="s">
        <v>533</v>
      </c>
      <c r="H764" t="s">
        <v>1336</v>
      </c>
      <c r="I764" t="s">
        <v>1274</v>
      </c>
      <c r="J764" s="5">
        <f>WEEKDAY(Table1_2[[#This Row],[Transaction date]])</f>
        <v>2</v>
      </c>
      <c r="K764"/>
    </row>
    <row r="765" spans="1:11" x14ac:dyDescent="0.45">
      <c r="A765" s="3">
        <v>39842</v>
      </c>
      <c r="B765" s="2">
        <v>0.53194444444444444</v>
      </c>
      <c r="C765" t="s">
        <v>1738</v>
      </c>
      <c r="D765" t="s">
        <v>10</v>
      </c>
      <c r="E765">
        <v>1200</v>
      </c>
      <c r="F765" t="s">
        <v>11</v>
      </c>
      <c r="G765" t="s">
        <v>1337</v>
      </c>
      <c r="H765" t="s">
        <v>1292</v>
      </c>
      <c r="I765" t="s">
        <v>1274</v>
      </c>
      <c r="J765" s="5">
        <f>WEEKDAY(Table1_2[[#This Row],[Transaction date]])</f>
        <v>5</v>
      </c>
      <c r="K765"/>
    </row>
    <row r="766" spans="1:11" x14ac:dyDescent="0.45">
      <c r="A766" s="3">
        <v>39843</v>
      </c>
      <c r="B766" s="2">
        <v>0.22222222222222221</v>
      </c>
      <c r="C766" t="s">
        <v>1737</v>
      </c>
      <c r="D766" t="s">
        <v>10</v>
      </c>
      <c r="E766">
        <v>1200</v>
      </c>
      <c r="F766" t="s">
        <v>11</v>
      </c>
      <c r="G766" t="s">
        <v>308</v>
      </c>
      <c r="H766" t="s">
        <v>1338</v>
      </c>
      <c r="I766" t="s">
        <v>1274</v>
      </c>
      <c r="J766" s="5">
        <f>WEEKDAY(Table1_2[[#This Row],[Transaction date]])</f>
        <v>6</v>
      </c>
      <c r="K766"/>
    </row>
    <row r="767" spans="1:11" x14ac:dyDescent="0.45">
      <c r="A767" s="3">
        <v>39843</v>
      </c>
      <c r="B767" s="2">
        <v>0.26180555555555557</v>
      </c>
      <c r="C767" t="s">
        <v>1737</v>
      </c>
      <c r="D767" t="s">
        <v>10</v>
      </c>
      <c r="E767">
        <v>1200</v>
      </c>
      <c r="F767" t="s">
        <v>11</v>
      </c>
      <c r="G767" t="s">
        <v>510</v>
      </c>
      <c r="H767" t="s">
        <v>1340</v>
      </c>
      <c r="I767" t="s">
        <v>1274</v>
      </c>
      <c r="J767" s="5">
        <f>WEEKDAY(Table1_2[[#This Row],[Transaction date]])</f>
        <v>6</v>
      </c>
      <c r="K767"/>
    </row>
    <row r="768" spans="1:11" x14ac:dyDescent="0.45">
      <c r="A768" s="3">
        <v>39820</v>
      </c>
      <c r="B768" s="2">
        <v>0.45277777777777778</v>
      </c>
      <c r="C768" t="s">
        <v>1737</v>
      </c>
      <c r="D768" t="s">
        <v>10</v>
      </c>
      <c r="E768">
        <v>1200</v>
      </c>
      <c r="F768" t="s">
        <v>11</v>
      </c>
      <c r="G768" t="s">
        <v>1341</v>
      </c>
      <c r="H768" t="s">
        <v>1342</v>
      </c>
      <c r="I768" t="s">
        <v>1274</v>
      </c>
      <c r="J768" s="5">
        <f>WEEKDAY(Table1_2[[#This Row],[Transaction date]])</f>
        <v>4</v>
      </c>
      <c r="K768"/>
    </row>
    <row r="769" spans="1:11" x14ac:dyDescent="0.45">
      <c r="A769" s="3">
        <v>39816</v>
      </c>
      <c r="B769" s="2">
        <v>7.1527777777777773E-2</v>
      </c>
      <c r="C769" t="s">
        <v>1737</v>
      </c>
      <c r="D769" t="s">
        <v>10</v>
      </c>
      <c r="E769">
        <v>1200</v>
      </c>
      <c r="F769" t="s">
        <v>16</v>
      </c>
      <c r="G769" t="s">
        <v>1343</v>
      </c>
      <c r="H769" t="s">
        <v>1344</v>
      </c>
      <c r="I769" t="s">
        <v>1274</v>
      </c>
      <c r="J769" s="5">
        <f>WEEKDAY(Table1_2[[#This Row],[Transaction date]])</f>
        <v>7</v>
      </c>
      <c r="K769"/>
    </row>
    <row r="770" spans="1:11" x14ac:dyDescent="0.45">
      <c r="A770" s="3">
        <v>39824</v>
      </c>
      <c r="B770" s="2">
        <v>0.28194444444444444</v>
      </c>
      <c r="C770" t="s">
        <v>1737</v>
      </c>
      <c r="D770" t="s">
        <v>20</v>
      </c>
      <c r="E770">
        <v>100000</v>
      </c>
      <c r="F770" t="s">
        <v>11</v>
      </c>
      <c r="G770" t="s">
        <v>1345</v>
      </c>
      <c r="H770" t="s">
        <v>1346</v>
      </c>
      <c r="I770" t="s">
        <v>1274</v>
      </c>
      <c r="J770" s="5">
        <f>WEEKDAY(Table1_2[[#This Row],[Transaction date]])</f>
        <v>1</v>
      </c>
      <c r="K770"/>
    </row>
    <row r="771" spans="1:11" x14ac:dyDescent="0.45">
      <c r="A771" s="3">
        <v>39832</v>
      </c>
      <c r="B771" s="2">
        <v>0.10138888888888889</v>
      </c>
      <c r="C771" t="s">
        <v>1737</v>
      </c>
      <c r="D771" t="s">
        <v>10</v>
      </c>
      <c r="E771">
        <v>1200</v>
      </c>
      <c r="F771" t="s">
        <v>16</v>
      </c>
      <c r="G771" t="s">
        <v>1347</v>
      </c>
      <c r="H771" t="s">
        <v>1348</v>
      </c>
      <c r="I771" t="s">
        <v>1274</v>
      </c>
      <c r="J771" s="5">
        <f>WEEKDAY(Table1_2[[#This Row],[Transaction date]])</f>
        <v>2</v>
      </c>
      <c r="K771"/>
    </row>
    <row r="772" spans="1:11" x14ac:dyDescent="0.45">
      <c r="A772" s="3">
        <v>39840</v>
      </c>
      <c r="B772" s="2">
        <v>0.50138888888888888</v>
      </c>
      <c r="C772" t="s">
        <v>1738</v>
      </c>
      <c r="D772" t="s">
        <v>10</v>
      </c>
      <c r="E772">
        <v>1200</v>
      </c>
      <c r="F772" t="s">
        <v>11</v>
      </c>
      <c r="G772" t="s">
        <v>1349</v>
      </c>
      <c r="H772" t="s">
        <v>1319</v>
      </c>
      <c r="I772" t="s">
        <v>1274</v>
      </c>
      <c r="J772" s="5">
        <f>WEEKDAY(Table1_2[[#This Row],[Transaction date]])</f>
        <v>3</v>
      </c>
      <c r="K772"/>
    </row>
    <row r="773" spans="1:11" x14ac:dyDescent="0.45">
      <c r="A773" s="3">
        <v>39818</v>
      </c>
      <c r="B773" s="2">
        <v>0.12708333333333333</v>
      </c>
      <c r="C773" t="s">
        <v>1737</v>
      </c>
      <c r="D773" t="s">
        <v>10</v>
      </c>
      <c r="E773">
        <v>1200</v>
      </c>
      <c r="F773" t="s">
        <v>63</v>
      </c>
      <c r="G773" t="s">
        <v>674</v>
      </c>
      <c r="H773" t="s">
        <v>1277</v>
      </c>
      <c r="I773" t="s">
        <v>1274</v>
      </c>
      <c r="J773" s="5">
        <f>WEEKDAY(Table1_2[[#This Row],[Transaction date]])</f>
        <v>2</v>
      </c>
      <c r="K773"/>
    </row>
    <row r="774" spans="1:11" x14ac:dyDescent="0.45">
      <c r="A774" s="3">
        <v>39842</v>
      </c>
      <c r="B774" s="2">
        <v>0.51875000000000004</v>
      </c>
      <c r="C774" t="s">
        <v>1738</v>
      </c>
      <c r="D774" t="s">
        <v>10</v>
      </c>
      <c r="E774">
        <v>1200</v>
      </c>
      <c r="F774" t="s">
        <v>16</v>
      </c>
      <c r="G774" t="s">
        <v>1350</v>
      </c>
      <c r="H774" t="s">
        <v>1351</v>
      </c>
      <c r="I774" t="s">
        <v>1274</v>
      </c>
      <c r="J774" s="5">
        <f>WEEKDAY(Table1_2[[#This Row],[Transaction date]])</f>
        <v>5</v>
      </c>
      <c r="K774"/>
    </row>
    <row r="775" spans="1:11" x14ac:dyDescent="0.45">
      <c r="A775" s="3">
        <v>39836</v>
      </c>
      <c r="B775" s="2">
        <v>0.21597222222222223</v>
      </c>
      <c r="C775" t="s">
        <v>1737</v>
      </c>
      <c r="D775" t="s">
        <v>10</v>
      </c>
      <c r="E775">
        <v>1200</v>
      </c>
      <c r="F775" t="s">
        <v>11</v>
      </c>
      <c r="G775" t="s">
        <v>1352</v>
      </c>
      <c r="H775" t="s">
        <v>1353</v>
      </c>
      <c r="I775" t="s">
        <v>1274</v>
      </c>
      <c r="J775" s="5">
        <f>WEEKDAY(Table1_2[[#This Row],[Transaction date]])</f>
        <v>6</v>
      </c>
      <c r="K775"/>
    </row>
    <row r="776" spans="1:11" x14ac:dyDescent="0.45">
      <c r="A776" s="3">
        <v>39823</v>
      </c>
      <c r="B776" s="2">
        <v>0.17499999999999999</v>
      </c>
      <c r="C776" t="s">
        <v>1737</v>
      </c>
      <c r="D776" t="s">
        <v>10</v>
      </c>
      <c r="E776">
        <v>1200</v>
      </c>
      <c r="F776" t="s">
        <v>11</v>
      </c>
      <c r="G776" t="s">
        <v>1354</v>
      </c>
      <c r="H776" t="s">
        <v>1355</v>
      </c>
      <c r="I776" t="s">
        <v>1274</v>
      </c>
      <c r="J776" s="5">
        <f>WEEKDAY(Table1_2[[#This Row],[Transaction date]])</f>
        <v>7</v>
      </c>
      <c r="K776"/>
    </row>
    <row r="777" spans="1:11" x14ac:dyDescent="0.45">
      <c r="A777" s="3">
        <v>39819</v>
      </c>
      <c r="B777" s="2">
        <v>0.20972222222222223</v>
      </c>
      <c r="C777" t="s">
        <v>1737</v>
      </c>
      <c r="D777" t="s">
        <v>10</v>
      </c>
      <c r="E777">
        <v>1200</v>
      </c>
      <c r="F777" t="s">
        <v>63</v>
      </c>
      <c r="G777" t="s">
        <v>1356</v>
      </c>
      <c r="H777" t="s">
        <v>1357</v>
      </c>
      <c r="I777" t="s">
        <v>1359</v>
      </c>
      <c r="J777" s="5">
        <f>WEEKDAY(Table1_2[[#This Row],[Transaction date]])</f>
        <v>3</v>
      </c>
      <c r="K777"/>
    </row>
    <row r="778" spans="1:11" x14ac:dyDescent="0.45">
      <c r="A778" s="3">
        <v>39818</v>
      </c>
      <c r="B778" s="2">
        <v>0.53194444444444444</v>
      </c>
      <c r="C778" t="s">
        <v>1738</v>
      </c>
      <c r="D778" t="s">
        <v>10</v>
      </c>
      <c r="E778">
        <v>1200</v>
      </c>
      <c r="F778" t="s">
        <v>63</v>
      </c>
      <c r="G778" t="s">
        <v>50</v>
      </c>
      <c r="H778" t="s">
        <v>1360</v>
      </c>
      <c r="I778" t="s">
        <v>1359</v>
      </c>
      <c r="J778" s="5">
        <f>WEEKDAY(Table1_2[[#This Row],[Transaction date]])</f>
        <v>2</v>
      </c>
      <c r="K778"/>
    </row>
    <row r="779" spans="1:11" x14ac:dyDescent="0.45">
      <c r="A779" s="3">
        <v>39825</v>
      </c>
      <c r="B779" s="2">
        <v>0.1361111111111111</v>
      </c>
      <c r="C779" t="s">
        <v>1737</v>
      </c>
      <c r="D779" t="s">
        <v>10</v>
      </c>
      <c r="E779">
        <v>1200</v>
      </c>
      <c r="F779" t="s">
        <v>11</v>
      </c>
      <c r="G779" t="s">
        <v>1362</v>
      </c>
      <c r="H779" t="s">
        <v>1363</v>
      </c>
      <c r="I779" t="s">
        <v>1364</v>
      </c>
      <c r="J779" s="5">
        <f>WEEKDAY(Table1_2[[#This Row],[Transaction date]])</f>
        <v>2</v>
      </c>
      <c r="K779"/>
    </row>
    <row r="780" spans="1:11" x14ac:dyDescent="0.45">
      <c r="A780" s="3">
        <v>39836</v>
      </c>
      <c r="B780" s="2">
        <v>0.33333333333333331</v>
      </c>
      <c r="C780" t="s">
        <v>1737</v>
      </c>
      <c r="D780" t="s">
        <v>10</v>
      </c>
      <c r="E780">
        <v>1200</v>
      </c>
      <c r="F780" t="s">
        <v>63</v>
      </c>
      <c r="G780" t="s">
        <v>1365</v>
      </c>
      <c r="H780" t="s">
        <v>1366</v>
      </c>
      <c r="I780" t="s">
        <v>1368</v>
      </c>
      <c r="J780" s="5">
        <f>WEEKDAY(Table1_2[[#This Row],[Transaction date]])</f>
        <v>6</v>
      </c>
      <c r="K780"/>
    </row>
    <row r="781" spans="1:11" x14ac:dyDescent="0.45">
      <c r="A781" s="3">
        <v>39833</v>
      </c>
      <c r="B781" s="2">
        <v>0.33888888888888891</v>
      </c>
      <c r="C781" t="s">
        <v>1737</v>
      </c>
      <c r="D781" t="s">
        <v>10</v>
      </c>
      <c r="E781">
        <v>1200</v>
      </c>
      <c r="F781" t="s">
        <v>16</v>
      </c>
      <c r="G781" t="s">
        <v>1369</v>
      </c>
      <c r="H781" t="s">
        <v>1370</v>
      </c>
      <c r="I781" t="s">
        <v>1368</v>
      </c>
      <c r="J781" s="5">
        <f>WEEKDAY(Table1_2[[#This Row],[Transaction date]])</f>
        <v>3</v>
      </c>
      <c r="K781"/>
    </row>
    <row r="782" spans="1:11" x14ac:dyDescent="0.45">
      <c r="A782" s="3">
        <v>39815</v>
      </c>
      <c r="B782" s="2">
        <v>0.35486111111111113</v>
      </c>
      <c r="C782" t="s">
        <v>1737</v>
      </c>
      <c r="D782" t="s">
        <v>10</v>
      </c>
      <c r="E782">
        <v>1200</v>
      </c>
      <c r="F782" t="s">
        <v>11</v>
      </c>
      <c r="G782" t="s">
        <v>1372</v>
      </c>
      <c r="H782" t="s">
        <v>1373</v>
      </c>
      <c r="I782" t="s">
        <v>1368</v>
      </c>
      <c r="J782" s="5">
        <f>WEEKDAY(Table1_2[[#This Row],[Transaction date]])</f>
        <v>6</v>
      </c>
      <c r="K782"/>
    </row>
    <row r="783" spans="1:11" x14ac:dyDescent="0.45">
      <c r="A783" s="3">
        <v>39843</v>
      </c>
      <c r="B783" s="2">
        <v>0.21458333333333332</v>
      </c>
      <c r="C783" t="s">
        <v>1737</v>
      </c>
      <c r="D783" t="s">
        <v>10</v>
      </c>
      <c r="E783">
        <v>1200</v>
      </c>
      <c r="F783" t="s">
        <v>16</v>
      </c>
      <c r="G783" t="s">
        <v>1375</v>
      </c>
      <c r="H783" t="s">
        <v>1376</v>
      </c>
      <c r="I783" t="s">
        <v>1376</v>
      </c>
      <c r="J783" s="5">
        <f>WEEKDAY(Table1_2[[#This Row],[Transaction date]])</f>
        <v>6</v>
      </c>
      <c r="K783"/>
    </row>
    <row r="784" spans="1:11" x14ac:dyDescent="0.45">
      <c r="A784" s="3">
        <v>39825</v>
      </c>
      <c r="B784" s="2">
        <v>0.35486111111111113</v>
      </c>
      <c r="C784" t="s">
        <v>1737</v>
      </c>
      <c r="D784" t="s">
        <v>10</v>
      </c>
      <c r="E784">
        <v>1200</v>
      </c>
      <c r="F784" t="s">
        <v>11</v>
      </c>
      <c r="G784" t="s">
        <v>1377</v>
      </c>
      <c r="H784" t="s">
        <v>1378</v>
      </c>
      <c r="I784" t="s">
        <v>1379</v>
      </c>
      <c r="J784" s="5">
        <f>WEEKDAY(Table1_2[[#This Row],[Transaction date]])</f>
        <v>2</v>
      </c>
      <c r="K784"/>
    </row>
    <row r="785" spans="1:11" x14ac:dyDescent="0.45">
      <c r="A785" s="3">
        <v>39841</v>
      </c>
      <c r="B785" s="2">
        <v>0.44236111111111109</v>
      </c>
      <c r="C785" t="s">
        <v>1737</v>
      </c>
      <c r="D785" t="s">
        <v>10</v>
      </c>
      <c r="E785">
        <v>1200</v>
      </c>
      <c r="F785" t="s">
        <v>11</v>
      </c>
      <c r="G785" t="s">
        <v>1380</v>
      </c>
      <c r="H785" t="s">
        <v>1381</v>
      </c>
      <c r="I785" t="s">
        <v>1383</v>
      </c>
      <c r="J785" s="5">
        <f>WEEKDAY(Table1_2[[#This Row],[Transaction date]])</f>
        <v>4</v>
      </c>
      <c r="K785"/>
    </row>
    <row r="786" spans="1:11" x14ac:dyDescent="0.45">
      <c r="A786" s="3">
        <v>39818</v>
      </c>
      <c r="B786" s="2">
        <v>0.37361111111111112</v>
      </c>
      <c r="C786" t="s">
        <v>1737</v>
      </c>
      <c r="D786" t="s">
        <v>20</v>
      </c>
      <c r="E786">
        <v>100000</v>
      </c>
      <c r="F786" t="s">
        <v>16</v>
      </c>
      <c r="G786" t="s">
        <v>1384</v>
      </c>
      <c r="H786" t="s">
        <v>1385</v>
      </c>
      <c r="I786" t="s">
        <v>1387</v>
      </c>
      <c r="J786" s="5">
        <f>WEEKDAY(Table1_2[[#This Row],[Transaction date]])</f>
        <v>2</v>
      </c>
      <c r="K786"/>
    </row>
    <row r="787" spans="1:11" x14ac:dyDescent="0.45">
      <c r="A787" s="3">
        <v>39825</v>
      </c>
      <c r="B787" s="2">
        <v>0.40486111111111112</v>
      </c>
      <c r="C787" t="s">
        <v>1737</v>
      </c>
      <c r="D787" t="s">
        <v>10</v>
      </c>
      <c r="E787">
        <v>1200</v>
      </c>
      <c r="F787" t="s">
        <v>63</v>
      </c>
      <c r="G787" t="s">
        <v>719</v>
      </c>
      <c r="H787" t="s">
        <v>1157</v>
      </c>
      <c r="I787" t="s">
        <v>1387</v>
      </c>
      <c r="J787" s="5">
        <f>WEEKDAY(Table1_2[[#This Row],[Transaction date]])</f>
        <v>2</v>
      </c>
      <c r="K787"/>
    </row>
    <row r="788" spans="1:11" x14ac:dyDescent="0.45">
      <c r="A788" s="3">
        <v>39824</v>
      </c>
      <c r="B788" s="2">
        <v>0.45208333333333334</v>
      </c>
      <c r="C788" t="s">
        <v>1737</v>
      </c>
      <c r="D788" t="s">
        <v>10</v>
      </c>
      <c r="E788">
        <v>1200</v>
      </c>
      <c r="F788" t="s">
        <v>16</v>
      </c>
      <c r="G788" t="s">
        <v>57</v>
      </c>
      <c r="H788" t="s">
        <v>1388</v>
      </c>
      <c r="I788" t="s">
        <v>1387</v>
      </c>
      <c r="J788" s="5">
        <f>WEEKDAY(Table1_2[[#This Row],[Transaction date]])</f>
        <v>1</v>
      </c>
      <c r="K788"/>
    </row>
    <row r="789" spans="1:11" x14ac:dyDescent="0.45">
      <c r="A789" s="3">
        <v>39821</v>
      </c>
      <c r="B789" s="2">
        <v>0.49652777777777779</v>
      </c>
      <c r="C789" t="s">
        <v>1737</v>
      </c>
      <c r="D789" t="s">
        <v>20</v>
      </c>
      <c r="E789">
        <v>100000</v>
      </c>
      <c r="F789" t="s">
        <v>11</v>
      </c>
      <c r="G789" t="s">
        <v>1390</v>
      </c>
      <c r="H789" t="s">
        <v>1391</v>
      </c>
      <c r="I789" t="s">
        <v>1387</v>
      </c>
      <c r="J789" s="5">
        <f>WEEKDAY(Table1_2[[#This Row],[Transaction date]])</f>
        <v>5</v>
      </c>
      <c r="K789"/>
    </row>
    <row r="790" spans="1:11" x14ac:dyDescent="0.45">
      <c r="A790" s="3">
        <v>39814</v>
      </c>
      <c r="B790" s="2">
        <v>8.9583333333333334E-2</v>
      </c>
      <c r="C790" t="s">
        <v>1737</v>
      </c>
      <c r="D790" t="s">
        <v>10</v>
      </c>
      <c r="E790">
        <v>1200</v>
      </c>
      <c r="F790" t="s">
        <v>16</v>
      </c>
      <c r="G790" t="s">
        <v>1393</v>
      </c>
      <c r="H790" t="s">
        <v>1394</v>
      </c>
      <c r="I790" t="s">
        <v>1387</v>
      </c>
      <c r="J790" s="5">
        <f>WEEKDAY(Table1_2[[#This Row],[Transaction date]])</f>
        <v>5</v>
      </c>
      <c r="K790"/>
    </row>
    <row r="791" spans="1:11" x14ac:dyDescent="0.45">
      <c r="A791" s="3">
        <v>39817</v>
      </c>
      <c r="B791" s="2">
        <v>0.41666666666666669</v>
      </c>
      <c r="C791" t="s">
        <v>1737</v>
      </c>
      <c r="D791" t="s">
        <v>20</v>
      </c>
      <c r="E791">
        <v>100000</v>
      </c>
      <c r="F791" t="s">
        <v>63</v>
      </c>
      <c r="G791" t="s">
        <v>1396</v>
      </c>
      <c r="H791" t="s">
        <v>1397</v>
      </c>
      <c r="I791" t="s">
        <v>1387</v>
      </c>
      <c r="J791" s="5">
        <f>WEEKDAY(Table1_2[[#This Row],[Transaction date]])</f>
        <v>1</v>
      </c>
      <c r="K791"/>
    </row>
    <row r="792" spans="1:11" x14ac:dyDescent="0.45">
      <c r="A792" s="3">
        <v>39823</v>
      </c>
      <c r="B792" s="2">
        <v>0.16944444444444445</v>
      </c>
      <c r="C792" t="s">
        <v>1737</v>
      </c>
      <c r="D792" t="s">
        <v>10</v>
      </c>
      <c r="E792">
        <v>1200</v>
      </c>
      <c r="F792" t="s">
        <v>11</v>
      </c>
      <c r="G792" t="s">
        <v>626</v>
      </c>
      <c r="H792" t="s">
        <v>1398</v>
      </c>
      <c r="I792" t="s">
        <v>1387</v>
      </c>
      <c r="J792" s="5">
        <f>WEEKDAY(Table1_2[[#This Row],[Transaction date]])</f>
        <v>7</v>
      </c>
      <c r="K792"/>
    </row>
    <row r="793" spans="1:11" x14ac:dyDescent="0.45">
      <c r="A793" s="3">
        <v>39814</v>
      </c>
      <c r="B793" s="2">
        <v>0.42083333333333334</v>
      </c>
      <c r="C793" t="s">
        <v>1737</v>
      </c>
      <c r="D793" t="s">
        <v>20</v>
      </c>
      <c r="E793">
        <v>100000</v>
      </c>
      <c r="F793" t="s">
        <v>16</v>
      </c>
      <c r="G793" t="s">
        <v>1399</v>
      </c>
      <c r="H793" t="s">
        <v>1400</v>
      </c>
      <c r="I793" t="s">
        <v>1387</v>
      </c>
      <c r="J793" s="5">
        <f>WEEKDAY(Table1_2[[#This Row],[Transaction date]])</f>
        <v>5</v>
      </c>
      <c r="K793"/>
    </row>
    <row r="794" spans="1:11" x14ac:dyDescent="0.45">
      <c r="A794" s="3">
        <v>39820</v>
      </c>
      <c r="B794" s="2">
        <v>0.33333333333333331</v>
      </c>
      <c r="C794" t="s">
        <v>1737</v>
      </c>
      <c r="D794" t="s">
        <v>10</v>
      </c>
      <c r="E794">
        <v>1200</v>
      </c>
      <c r="F794" t="s">
        <v>16</v>
      </c>
      <c r="G794" t="s">
        <v>272</v>
      </c>
      <c r="H794" t="s">
        <v>1402</v>
      </c>
      <c r="I794" t="s">
        <v>1387</v>
      </c>
      <c r="J794" s="5">
        <f>WEEKDAY(Table1_2[[#This Row],[Transaction date]])</f>
        <v>4</v>
      </c>
      <c r="K794"/>
    </row>
    <row r="795" spans="1:11" x14ac:dyDescent="0.45">
      <c r="A795" s="3">
        <v>39817</v>
      </c>
      <c r="B795" s="2">
        <v>0.42777777777777776</v>
      </c>
      <c r="C795" t="s">
        <v>1737</v>
      </c>
      <c r="D795" t="s">
        <v>10</v>
      </c>
      <c r="E795">
        <v>1200</v>
      </c>
      <c r="F795" t="s">
        <v>16</v>
      </c>
      <c r="G795" t="s">
        <v>227</v>
      </c>
      <c r="H795" t="s">
        <v>1404</v>
      </c>
      <c r="I795" t="s">
        <v>1387</v>
      </c>
      <c r="J795" s="5">
        <f>WEEKDAY(Table1_2[[#This Row],[Transaction date]])</f>
        <v>1</v>
      </c>
      <c r="K795"/>
    </row>
    <row r="796" spans="1:11" x14ac:dyDescent="0.45">
      <c r="A796" s="3">
        <v>39825</v>
      </c>
      <c r="B796" s="2">
        <v>7.0833333333333331E-2</v>
      </c>
      <c r="C796" t="s">
        <v>1737</v>
      </c>
      <c r="D796" t="s">
        <v>10</v>
      </c>
      <c r="E796">
        <v>1200</v>
      </c>
      <c r="F796" t="s">
        <v>16</v>
      </c>
      <c r="G796" t="s">
        <v>1405</v>
      </c>
      <c r="H796" t="s">
        <v>1406</v>
      </c>
      <c r="I796" t="s">
        <v>1387</v>
      </c>
      <c r="J796" s="5">
        <f>WEEKDAY(Table1_2[[#This Row],[Transaction date]])</f>
        <v>2</v>
      </c>
      <c r="K796"/>
    </row>
    <row r="797" spans="1:11" x14ac:dyDescent="0.45">
      <c r="A797" s="3">
        <v>39820</v>
      </c>
      <c r="B797" s="2">
        <v>0.24513888888888888</v>
      </c>
      <c r="C797" t="s">
        <v>1737</v>
      </c>
      <c r="D797" t="s">
        <v>10</v>
      </c>
      <c r="E797">
        <v>1200</v>
      </c>
      <c r="F797" t="s">
        <v>11</v>
      </c>
      <c r="G797" t="s">
        <v>773</v>
      </c>
      <c r="H797" t="s">
        <v>1407</v>
      </c>
      <c r="I797" t="s">
        <v>1387</v>
      </c>
      <c r="J797" s="5">
        <f>WEEKDAY(Table1_2[[#This Row],[Transaction date]])</f>
        <v>4</v>
      </c>
      <c r="K797"/>
    </row>
    <row r="798" spans="1:11" x14ac:dyDescent="0.45">
      <c r="A798" s="3">
        <v>39842</v>
      </c>
      <c r="B798" s="2">
        <v>0.28402777777777777</v>
      </c>
      <c r="C798" t="s">
        <v>1737</v>
      </c>
      <c r="D798" t="s">
        <v>10</v>
      </c>
      <c r="E798">
        <v>1200</v>
      </c>
      <c r="F798" t="s">
        <v>16</v>
      </c>
      <c r="G798" t="s">
        <v>1408</v>
      </c>
      <c r="H798" t="s">
        <v>1409</v>
      </c>
      <c r="I798" t="s">
        <v>1387</v>
      </c>
      <c r="J798" s="5">
        <f>WEEKDAY(Table1_2[[#This Row],[Transaction date]])</f>
        <v>5</v>
      </c>
      <c r="K798"/>
    </row>
    <row r="799" spans="1:11" x14ac:dyDescent="0.45">
      <c r="A799" s="3">
        <v>39824</v>
      </c>
      <c r="B799" s="2">
        <v>0.40972222222222221</v>
      </c>
      <c r="C799" t="s">
        <v>1737</v>
      </c>
      <c r="D799" t="s">
        <v>10</v>
      </c>
      <c r="E799">
        <v>1200</v>
      </c>
      <c r="F799" t="s">
        <v>11</v>
      </c>
      <c r="G799" t="s">
        <v>1410</v>
      </c>
      <c r="H799" t="s">
        <v>1411</v>
      </c>
      <c r="I799" t="s">
        <v>1387</v>
      </c>
      <c r="J799" s="5">
        <f>WEEKDAY(Table1_2[[#This Row],[Transaction date]])</f>
        <v>1</v>
      </c>
      <c r="K799"/>
    </row>
    <row r="800" spans="1:11" x14ac:dyDescent="0.45">
      <c r="A800" s="3">
        <v>39821</v>
      </c>
      <c r="B800" s="2">
        <v>0.27013888888888887</v>
      </c>
      <c r="C800" t="s">
        <v>1737</v>
      </c>
      <c r="D800" t="s">
        <v>10</v>
      </c>
      <c r="E800">
        <v>1200</v>
      </c>
      <c r="F800" t="s">
        <v>11</v>
      </c>
      <c r="G800" t="s">
        <v>1413</v>
      </c>
      <c r="H800" t="s">
        <v>1414</v>
      </c>
      <c r="I800" t="s">
        <v>1387</v>
      </c>
      <c r="J800" s="5">
        <f>WEEKDAY(Table1_2[[#This Row],[Transaction date]])</f>
        <v>5</v>
      </c>
      <c r="K800"/>
    </row>
    <row r="801" spans="1:11" x14ac:dyDescent="0.45">
      <c r="A801" s="3">
        <v>39831</v>
      </c>
      <c r="B801" s="2">
        <v>0.52847222222222223</v>
      </c>
      <c r="C801" t="s">
        <v>1738</v>
      </c>
      <c r="D801" t="s">
        <v>20</v>
      </c>
      <c r="E801">
        <v>100000</v>
      </c>
      <c r="F801" t="s">
        <v>11</v>
      </c>
      <c r="G801" t="s">
        <v>1415</v>
      </c>
      <c r="H801" t="s">
        <v>1416</v>
      </c>
      <c r="I801" t="s">
        <v>1387</v>
      </c>
      <c r="J801" s="5">
        <f>WEEKDAY(Table1_2[[#This Row],[Transaction date]])</f>
        <v>1</v>
      </c>
      <c r="K801"/>
    </row>
    <row r="802" spans="1:11" x14ac:dyDescent="0.45">
      <c r="A802" s="3">
        <v>39829</v>
      </c>
      <c r="B802" s="2">
        <v>0.25277777777777777</v>
      </c>
      <c r="C802" t="s">
        <v>1737</v>
      </c>
      <c r="D802" t="s">
        <v>10</v>
      </c>
      <c r="E802">
        <v>1200</v>
      </c>
      <c r="F802" t="s">
        <v>16</v>
      </c>
      <c r="G802" t="s">
        <v>131</v>
      </c>
      <c r="H802" t="s">
        <v>1417</v>
      </c>
      <c r="I802" t="s">
        <v>1387</v>
      </c>
      <c r="J802" s="5">
        <f>WEEKDAY(Table1_2[[#This Row],[Transaction date]])</f>
        <v>6</v>
      </c>
      <c r="K802"/>
    </row>
    <row r="803" spans="1:11" x14ac:dyDescent="0.45">
      <c r="A803" s="3">
        <v>39823</v>
      </c>
      <c r="B803" s="2">
        <v>0.49513888888888891</v>
      </c>
      <c r="C803" t="s">
        <v>1737</v>
      </c>
      <c r="D803" t="s">
        <v>10</v>
      </c>
      <c r="E803">
        <v>1200</v>
      </c>
      <c r="F803" t="s">
        <v>11</v>
      </c>
      <c r="G803" t="s">
        <v>31</v>
      </c>
      <c r="H803" t="s">
        <v>1419</v>
      </c>
      <c r="I803" t="s">
        <v>1387</v>
      </c>
      <c r="J803" s="5">
        <f>WEEKDAY(Table1_2[[#This Row],[Transaction date]])</f>
        <v>7</v>
      </c>
      <c r="K803"/>
    </row>
    <row r="804" spans="1:11" x14ac:dyDescent="0.45">
      <c r="A804" s="3">
        <v>39829</v>
      </c>
      <c r="B804" s="2">
        <v>0.31597222222222221</v>
      </c>
      <c r="C804" t="s">
        <v>1737</v>
      </c>
      <c r="D804" t="s">
        <v>10</v>
      </c>
      <c r="E804">
        <v>1200</v>
      </c>
      <c r="F804" t="s">
        <v>63</v>
      </c>
      <c r="G804" t="s">
        <v>1420</v>
      </c>
      <c r="H804" t="s">
        <v>1421</v>
      </c>
      <c r="I804" t="s">
        <v>1387</v>
      </c>
      <c r="J804" s="5">
        <f>WEEKDAY(Table1_2[[#This Row],[Transaction date]])</f>
        <v>6</v>
      </c>
      <c r="K804"/>
    </row>
    <row r="805" spans="1:11" x14ac:dyDescent="0.45">
      <c r="A805" s="3">
        <v>39842</v>
      </c>
      <c r="B805" s="2">
        <v>0.31944444444444442</v>
      </c>
      <c r="C805" t="s">
        <v>1737</v>
      </c>
      <c r="D805" t="s">
        <v>10</v>
      </c>
      <c r="E805">
        <v>1200</v>
      </c>
      <c r="F805" t="s">
        <v>63</v>
      </c>
      <c r="G805" t="s">
        <v>1422</v>
      </c>
      <c r="H805" t="s">
        <v>1423</v>
      </c>
      <c r="I805" t="s">
        <v>1387</v>
      </c>
      <c r="J805" s="5">
        <f>WEEKDAY(Table1_2[[#This Row],[Transaction date]])</f>
        <v>5</v>
      </c>
      <c r="K805"/>
    </row>
    <row r="806" spans="1:11" x14ac:dyDescent="0.45">
      <c r="A806" s="3">
        <v>39832</v>
      </c>
      <c r="B806" s="2">
        <v>0.52638888888888891</v>
      </c>
      <c r="C806" t="s">
        <v>1738</v>
      </c>
      <c r="D806" t="s">
        <v>10</v>
      </c>
      <c r="E806">
        <v>1200</v>
      </c>
      <c r="F806" t="s">
        <v>11</v>
      </c>
      <c r="G806" t="s">
        <v>1424</v>
      </c>
      <c r="H806" t="s">
        <v>1400</v>
      </c>
      <c r="I806" t="s">
        <v>1387</v>
      </c>
      <c r="J806" s="5">
        <f>WEEKDAY(Table1_2[[#This Row],[Transaction date]])</f>
        <v>2</v>
      </c>
      <c r="K806"/>
    </row>
    <row r="807" spans="1:11" x14ac:dyDescent="0.45">
      <c r="A807" s="3">
        <v>39820</v>
      </c>
      <c r="B807" s="2">
        <v>6.805555555555555E-2</v>
      </c>
      <c r="C807" t="s">
        <v>1737</v>
      </c>
      <c r="D807" t="s">
        <v>10</v>
      </c>
      <c r="E807">
        <v>1200</v>
      </c>
      <c r="F807" t="s">
        <v>16</v>
      </c>
      <c r="G807" t="s">
        <v>712</v>
      </c>
      <c r="H807" t="s">
        <v>1421</v>
      </c>
      <c r="I807" t="s">
        <v>1387</v>
      </c>
      <c r="J807" s="5">
        <f>WEEKDAY(Table1_2[[#This Row],[Transaction date]])</f>
        <v>4</v>
      </c>
      <c r="K807"/>
    </row>
    <row r="808" spans="1:11" x14ac:dyDescent="0.45">
      <c r="A808" s="3">
        <v>39826</v>
      </c>
      <c r="B808" s="2">
        <v>7.9861111111111105E-2</v>
      </c>
      <c r="C808" t="s">
        <v>1737</v>
      </c>
      <c r="D808" t="s">
        <v>10</v>
      </c>
      <c r="E808">
        <v>1200</v>
      </c>
      <c r="F808" t="s">
        <v>16</v>
      </c>
      <c r="G808" t="s">
        <v>1425</v>
      </c>
      <c r="H808" t="s">
        <v>1426</v>
      </c>
      <c r="I808" t="s">
        <v>1387</v>
      </c>
      <c r="J808" s="5">
        <f>WEEKDAY(Table1_2[[#This Row],[Transaction date]])</f>
        <v>3</v>
      </c>
      <c r="K808"/>
    </row>
    <row r="809" spans="1:11" x14ac:dyDescent="0.45">
      <c r="A809" s="3">
        <v>39841</v>
      </c>
      <c r="B809" s="2">
        <v>0.48333333333333334</v>
      </c>
      <c r="C809" t="s">
        <v>1737</v>
      </c>
      <c r="D809" t="s">
        <v>10</v>
      </c>
      <c r="E809">
        <v>1200</v>
      </c>
      <c r="F809" t="s">
        <v>63</v>
      </c>
      <c r="G809" t="s">
        <v>1428</v>
      </c>
      <c r="H809" t="s">
        <v>1429</v>
      </c>
      <c r="I809" t="s">
        <v>1387</v>
      </c>
      <c r="J809" s="5">
        <f>WEEKDAY(Table1_2[[#This Row],[Transaction date]])</f>
        <v>4</v>
      </c>
      <c r="K809"/>
    </row>
    <row r="810" spans="1:11" x14ac:dyDescent="0.45">
      <c r="A810" s="3">
        <v>39823</v>
      </c>
      <c r="B810" s="2">
        <v>0.15486111111111112</v>
      </c>
      <c r="C810" t="s">
        <v>1737</v>
      </c>
      <c r="D810" t="s">
        <v>10</v>
      </c>
      <c r="E810">
        <v>1200</v>
      </c>
      <c r="F810" t="s">
        <v>11</v>
      </c>
      <c r="G810" t="s">
        <v>1430</v>
      </c>
      <c r="H810" t="s">
        <v>1421</v>
      </c>
      <c r="I810" t="s">
        <v>1387</v>
      </c>
      <c r="J810" s="5">
        <f>WEEKDAY(Table1_2[[#This Row],[Transaction date]])</f>
        <v>7</v>
      </c>
      <c r="K810"/>
    </row>
    <row r="811" spans="1:11" x14ac:dyDescent="0.45">
      <c r="A811" s="3">
        <v>39817</v>
      </c>
      <c r="B811" s="2">
        <v>9.0972222222222218E-2</v>
      </c>
      <c r="C811" t="s">
        <v>1737</v>
      </c>
      <c r="D811" t="s">
        <v>10</v>
      </c>
      <c r="E811">
        <v>1200</v>
      </c>
      <c r="F811" t="s">
        <v>11</v>
      </c>
      <c r="G811" t="s">
        <v>1431</v>
      </c>
      <c r="H811" t="s">
        <v>1432</v>
      </c>
      <c r="I811" t="s">
        <v>1434</v>
      </c>
      <c r="J811" s="5">
        <f>WEEKDAY(Table1_2[[#This Row],[Transaction date]])</f>
        <v>1</v>
      </c>
      <c r="K811"/>
    </row>
    <row r="812" spans="1:11" x14ac:dyDescent="0.45">
      <c r="A812" s="3">
        <v>39828</v>
      </c>
      <c r="B812" s="2">
        <v>0.15486111111111112</v>
      </c>
      <c r="C812" t="s">
        <v>1737</v>
      </c>
      <c r="D812" t="s">
        <v>10</v>
      </c>
      <c r="E812">
        <v>1200</v>
      </c>
      <c r="F812" t="s">
        <v>11</v>
      </c>
      <c r="G812" t="s">
        <v>540</v>
      </c>
      <c r="H812" t="s">
        <v>1435</v>
      </c>
      <c r="I812" t="s">
        <v>1434</v>
      </c>
      <c r="J812" s="5">
        <f>WEEKDAY(Table1_2[[#This Row],[Transaction date]])</f>
        <v>5</v>
      </c>
      <c r="K812"/>
    </row>
    <row r="813" spans="1:11" x14ac:dyDescent="0.45">
      <c r="A813" s="3">
        <v>39820</v>
      </c>
      <c r="B813" s="2">
        <v>0.25763888888888886</v>
      </c>
      <c r="C813" t="s">
        <v>1737</v>
      </c>
      <c r="D813" t="s">
        <v>20</v>
      </c>
      <c r="E813">
        <v>100000</v>
      </c>
      <c r="F813" t="s">
        <v>11</v>
      </c>
      <c r="G813" t="s">
        <v>1437</v>
      </c>
      <c r="H813" t="s">
        <v>1438</v>
      </c>
      <c r="I813" t="s">
        <v>1434</v>
      </c>
      <c r="J813" s="5">
        <f>WEEKDAY(Table1_2[[#This Row],[Transaction date]])</f>
        <v>4</v>
      </c>
      <c r="K813"/>
    </row>
    <row r="814" spans="1:11" x14ac:dyDescent="0.45">
      <c r="A814" s="3">
        <v>39818</v>
      </c>
      <c r="B814" s="2">
        <v>0.12291666666666666</v>
      </c>
      <c r="C814" t="s">
        <v>1737</v>
      </c>
      <c r="D814" t="s">
        <v>230</v>
      </c>
      <c r="E814">
        <v>100000</v>
      </c>
      <c r="F814" t="s">
        <v>11</v>
      </c>
      <c r="G814" t="s">
        <v>1060</v>
      </c>
      <c r="H814" t="s">
        <v>1439</v>
      </c>
      <c r="I814" t="s">
        <v>1434</v>
      </c>
      <c r="J814" s="5">
        <f>WEEKDAY(Table1_2[[#This Row],[Transaction date]])</f>
        <v>2</v>
      </c>
      <c r="K814"/>
    </row>
    <row r="815" spans="1:11" x14ac:dyDescent="0.45">
      <c r="A815" s="3">
        <v>39828</v>
      </c>
      <c r="B815" s="2">
        <v>7.013888888888889E-2</v>
      </c>
      <c r="C815" t="s">
        <v>1737</v>
      </c>
      <c r="D815" t="s">
        <v>10</v>
      </c>
      <c r="E815">
        <v>1200</v>
      </c>
      <c r="F815" t="s">
        <v>63</v>
      </c>
      <c r="G815" t="s">
        <v>592</v>
      </c>
      <c r="H815" t="s">
        <v>1440</v>
      </c>
      <c r="I815" t="s">
        <v>1434</v>
      </c>
      <c r="J815" s="5">
        <f>WEEKDAY(Table1_2[[#This Row],[Transaction date]])</f>
        <v>5</v>
      </c>
      <c r="K815"/>
    </row>
    <row r="816" spans="1:11" x14ac:dyDescent="0.45">
      <c r="A816" s="3">
        <v>39829</v>
      </c>
      <c r="B816" s="2">
        <v>0.21319444444444444</v>
      </c>
      <c r="C816" t="s">
        <v>1737</v>
      </c>
      <c r="D816" t="s">
        <v>10</v>
      </c>
      <c r="E816">
        <v>1200</v>
      </c>
      <c r="F816" t="s">
        <v>63</v>
      </c>
      <c r="G816" t="s">
        <v>50</v>
      </c>
      <c r="H816" t="s">
        <v>1442</v>
      </c>
      <c r="I816" t="s">
        <v>1434</v>
      </c>
      <c r="J816" s="5">
        <f>WEEKDAY(Table1_2[[#This Row],[Transaction date]])</f>
        <v>6</v>
      </c>
      <c r="K816"/>
    </row>
    <row r="817" spans="1:11" x14ac:dyDescent="0.45">
      <c r="A817" s="3">
        <v>39839</v>
      </c>
      <c r="B817" s="2">
        <v>0.15902777777777777</v>
      </c>
      <c r="C817" t="s">
        <v>1737</v>
      </c>
      <c r="D817" t="s">
        <v>20</v>
      </c>
      <c r="E817">
        <v>100000</v>
      </c>
      <c r="F817" t="s">
        <v>16</v>
      </c>
      <c r="G817" t="s">
        <v>1444</v>
      </c>
      <c r="H817" t="s">
        <v>1445</v>
      </c>
      <c r="I817" t="s">
        <v>1434</v>
      </c>
      <c r="J817" s="5">
        <f>WEEKDAY(Table1_2[[#This Row],[Transaction date]])</f>
        <v>2</v>
      </c>
      <c r="K817"/>
    </row>
    <row r="818" spans="1:11" x14ac:dyDescent="0.45">
      <c r="A818" s="3">
        <v>39822</v>
      </c>
      <c r="B818" s="2">
        <v>0.10069444444444445</v>
      </c>
      <c r="C818" t="s">
        <v>1737</v>
      </c>
      <c r="D818" t="s">
        <v>10</v>
      </c>
      <c r="E818">
        <v>1200</v>
      </c>
      <c r="F818" t="s">
        <v>63</v>
      </c>
      <c r="G818" t="s">
        <v>1446</v>
      </c>
      <c r="H818" t="s">
        <v>1447</v>
      </c>
      <c r="I818" t="s">
        <v>1434</v>
      </c>
      <c r="J818" s="5">
        <f>WEEKDAY(Table1_2[[#This Row],[Transaction date]])</f>
        <v>6</v>
      </c>
      <c r="K818"/>
    </row>
    <row r="819" spans="1:11" x14ac:dyDescent="0.45">
      <c r="A819" s="3">
        <v>39822</v>
      </c>
      <c r="B819" s="2">
        <v>0.05</v>
      </c>
      <c r="C819" t="s">
        <v>1737</v>
      </c>
      <c r="D819" t="s">
        <v>10</v>
      </c>
      <c r="E819">
        <v>1200</v>
      </c>
      <c r="F819" t="s">
        <v>11</v>
      </c>
      <c r="G819" t="s">
        <v>1448</v>
      </c>
      <c r="H819" t="s">
        <v>1449</v>
      </c>
      <c r="I819" t="s">
        <v>1434</v>
      </c>
      <c r="J819" s="5">
        <f>WEEKDAY(Table1_2[[#This Row],[Transaction date]])</f>
        <v>6</v>
      </c>
      <c r="K819"/>
    </row>
    <row r="820" spans="1:11" x14ac:dyDescent="0.45">
      <c r="A820" s="3">
        <v>39818</v>
      </c>
      <c r="B820" s="2">
        <v>0.25972222222222224</v>
      </c>
      <c r="C820" t="s">
        <v>1737</v>
      </c>
      <c r="D820" t="s">
        <v>10</v>
      </c>
      <c r="E820">
        <v>1200</v>
      </c>
      <c r="F820" t="s">
        <v>16</v>
      </c>
      <c r="G820" t="s">
        <v>396</v>
      </c>
      <c r="H820" t="s">
        <v>1450</v>
      </c>
      <c r="I820" t="s">
        <v>1434</v>
      </c>
      <c r="J820" s="5">
        <f>WEEKDAY(Table1_2[[#This Row],[Transaction date]])</f>
        <v>2</v>
      </c>
      <c r="K820"/>
    </row>
    <row r="821" spans="1:11" x14ac:dyDescent="0.45">
      <c r="A821" s="3">
        <v>39829</v>
      </c>
      <c r="B821" s="2">
        <v>0.30555555555555558</v>
      </c>
      <c r="C821" t="s">
        <v>1737</v>
      </c>
      <c r="D821" t="s">
        <v>20</v>
      </c>
      <c r="E821">
        <v>100000</v>
      </c>
      <c r="F821" t="s">
        <v>16</v>
      </c>
      <c r="G821" t="s">
        <v>1452</v>
      </c>
      <c r="H821" t="s">
        <v>1453</v>
      </c>
      <c r="I821" t="s">
        <v>1434</v>
      </c>
      <c r="J821" s="5">
        <f>WEEKDAY(Table1_2[[#This Row],[Transaction date]])</f>
        <v>6</v>
      </c>
      <c r="K821"/>
    </row>
    <row r="822" spans="1:11" x14ac:dyDescent="0.45">
      <c r="A822" s="3">
        <v>39826</v>
      </c>
      <c r="B822" s="2">
        <v>0.13819444444444445</v>
      </c>
      <c r="C822" t="s">
        <v>1737</v>
      </c>
      <c r="D822" t="s">
        <v>20</v>
      </c>
      <c r="E822">
        <v>100000</v>
      </c>
      <c r="F822" t="s">
        <v>11</v>
      </c>
      <c r="G822" t="s">
        <v>640</v>
      </c>
      <c r="H822" t="s">
        <v>1438</v>
      </c>
      <c r="I822" t="s">
        <v>1434</v>
      </c>
      <c r="J822" s="5">
        <f>WEEKDAY(Table1_2[[#This Row],[Transaction date]])</f>
        <v>3</v>
      </c>
      <c r="K822"/>
    </row>
    <row r="823" spans="1:11" x14ac:dyDescent="0.45">
      <c r="A823" s="3">
        <v>39841</v>
      </c>
      <c r="B823" s="2">
        <v>6.1111111111111109E-2</v>
      </c>
      <c r="C823" t="s">
        <v>1737</v>
      </c>
      <c r="D823" t="s">
        <v>10</v>
      </c>
      <c r="E823">
        <v>1200</v>
      </c>
      <c r="F823" t="s">
        <v>63</v>
      </c>
      <c r="G823" t="s">
        <v>1454</v>
      </c>
      <c r="H823" t="s">
        <v>1455</v>
      </c>
      <c r="I823" t="s">
        <v>1434</v>
      </c>
      <c r="J823" s="5">
        <f>WEEKDAY(Table1_2[[#This Row],[Transaction date]])</f>
        <v>4</v>
      </c>
      <c r="K823"/>
    </row>
    <row r="824" spans="1:11" x14ac:dyDescent="0.45">
      <c r="A824" s="3">
        <v>39835</v>
      </c>
      <c r="B824" s="2">
        <v>0.53819444444444442</v>
      </c>
      <c r="C824" t="s">
        <v>1738</v>
      </c>
      <c r="D824" t="s">
        <v>10</v>
      </c>
      <c r="E824">
        <v>1200</v>
      </c>
      <c r="F824" t="s">
        <v>11</v>
      </c>
      <c r="G824" t="s">
        <v>174</v>
      </c>
      <c r="H824" t="s">
        <v>1438</v>
      </c>
      <c r="I824" t="s">
        <v>1434</v>
      </c>
      <c r="J824" s="5">
        <f>WEEKDAY(Table1_2[[#This Row],[Transaction date]])</f>
        <v>5</v>
      </c>
      <c r="K824"/>
    </row>
    <row r="825" spans="1:11" x14ac:dyDescent="0.45">
      <c r="A825" s="3">
        <v>39840</v>
      </c>
      <c r="B825" s="2">
        <v>0.1076388888888889</v>
      </c>
      <c r="C825" t="s">
        <v>1737</v>
      </c>
      <c r="D825" t="s">
        <v>10</v>
      </c>
      <c r="E825">
        <v>1200</v>
      </c>
      <c r="F825" t="s">
        <v>11</v>
      </c>
      <c r="G825" t="s">
        <v>419</v>
      </c>
      <c r="H825" t="s">
        <v>1457</v>
      </c>
      <c r="I825" t="s">
        <v>1434</v>
      </c>
      <c r="J825" s="5">
        <f>WEEKDAY(Table1_2[[#This Row],[Transaction date]])</f>
        <v>3</v>
      </c>
      <c r="K825"/>
    </row>
    <row r="826" spans="1:11" x14ac:dyDescent="0.45">
      <c r="A826" s="3">
        <v>39827</v>
      </c>
      <c r="B826" s="2">
        <v>0.51041666666666663</v>
      </c>
      <c r="C826" t="s">
        <v>1738</v>
      </c>
      <c r="D826" t="s">
        <v>20</v>
      </c>
      <c r="E826">
        <v>100000</v>
      </c>
      <c r="F826" t="s">
        <v>11</v>
      </c>
      <c r="G826" t="s">
        <v>600</v>
      </c>
      <c r="H826" t="s">
        <v>1438</v>
      </c>
      <c r="I826" t="s">
        <v>1434</v>
      </c>
      <c r="J826" s="5">
        <f>WEEKDAY(Table1_2[[#This Row],[Transaction date]])</f>
        <v>4</v>
      </c>
      <c r="K826"/>
    </row>
    <row r="827" spans="1:11" x14ac:dyDescent="0.45">
      <c r="A827" s="3">
        <v>39835</v>
      </c>
      <c r="B827" s="2">
        <v>0.31597222222222221</v>
      </c>
      <c r="C827" t="s">
        <v>1737</v>
      </c>
      <c r="D827" t="s">
        <v>10</v>
      </c>
      <c r="E827">
        <v>1200</v>
      </c>
      <c r="F827" t="s">
        <v>11</v>
      </c>
      <c r="G827" t="s">
        <v>433</v>
      </c>
      <c r="H827" t="s">
        <v>1458</v>
      </c>
      <c r="I827" t="s">
        <v>1434</v>
      </c>
      <c r="J827" s="5">
        <f>WEEKDAY(Table1_2[[#This Row],[Transaction date]])</f>
        <v>5</v>
      </c>
      <c r="K827"/>
    </row>
    <row r="828" spans="1:11" x14ac:dyDescent="0.45">
      <c r="A828" s="3">
        <v>39842</v>
      </c>
      <c r="B828" s="2">
        <v>0.17152777777777778</v>
      </c>
      <c r="C828" t="s">
        <v>1737</v>
      </c>
      <c r="D828" t="s">
        <v>10</v>
      </c>
      <c r="E828">
        <v>1200</v>
      </c>
      <c r="F828" t="s">
        <v>63</v>
      </c>
      <c r="G828" t="s">
        <v>454</v>
      </c>
      <c r="H828" t="s">
        <v>1438</v>
      </c>
      <c r="I828" t="s">
        <v>1434</v>
      </c>
      <c r="J828" s="5">
        <f>WEEKDAY(Table1_2[[#This Row],[Transaction date]])</f>
        <v>5</v>
      </c>
      <c r="K828"/>
    </row>
    <row r="829" spans="1:11" x14ac:dyDescent="0.45">
      <c r="A829" s="3">
        <v>39825</v>
      </c>
      <c r="B829" s="2">
        <v>0.10902777777777778</v>
      </c>
      <c r="C829" t="s">
        <v>1737</v>
      </c>
      <c r="D829" t="s">
        <v>10</v>
      </c>
      <c r="E829">
        <v>100000</v>
      </c>
      <c r="F829" t="s">
        <v>16</v>
      </c>
      <c r="G829" t="s">
        <v>1459</v>
      </c>
      <c r="H829" t="s">
        <v>1460</v>
      </c>
      <c r="I829" t="s">
        <v>1434</v>
      </c>
      <c r="J829" s="5">
        <f>WEEKDAY(Table1_2[[#This Row],[Transaction date]])</f>
        <v>2</v>
      </c>
      <c r="K829"/>
    </row>
    <row r="830" spans="1:11" x14ac:dyDescent="0.45">
      <c r="A830" s="3">
        <v>39818</v>
      </c>
      <c r="B830" s="2">
        <v>0.22916666666666666</v>
      </c>
      <c r="C830" t="s">
        <v>1737</v>
      </c>
      <c r="D830" t="s">
        <v>10</v>
      </c>
      <c r="E830">
        <v>100000</v>
      </c>
      <c r="F830" t="s">
        <v>11</v>
      </c>
      <c r="G830" t="s">
        <v>1461</v>
      </c>
      <c r="H830" t="s">
        <v>1438</v>
      </c>
      <c r="I830" t="s">
        <v>1434</v>
      </c>
      <c r="J830" s="5">
        <f>WEEKDAY(Table1_2[[#This Row],[Transaction date]])</f>
        <v>2</v>
      </c>
      <c r="K830"/>
    </row>
    <row r="831" spans="1:11" x14ac:dyDescent="0.45">
      <c r="A831" s="3">
        <v>39839</v>
      </c>
      <c r="B831" s="2">
        <v>0.19930555555555557</v>
      </c>
      <c r="C831" t="s">
        <v>1737</v>
      </c>
      <c r="D831" t="s">
        <v>10</v>
      </c>
      <c r="E831">
        <v>100000</v>
      </c>
      <c r="F831" t="s">
        <v>11</v>
      </c>
      <c r="G831" t="s">
        <v>1462</v>
      </c>
      <c r="H831" t="s">
        <v>1463</v>
      </c>
      <c r="I831" t="s">
        <v>1434</v>
      </c>
      <c r="J831" s="5">
        <f>WEEKDAY(Table1_2[[#This Row],[Transaction date]])</f>
        <v>2</v>
      </c>
      <c r="K831"/>
    </row>
    <row r="832" spans="1:11" x14ac:dyDescent="0.45">
      <c r="A832" s="3">
        <v>39842</v>
      </c>
      <c r="B832" s="2">
        <v>0.53680555555555554</v>
      </c>
      <c r="C832" t="s">
        <v>1738</v>
      </c>
      <c r="D832" t="s">
        <v>10</v>
      </c>
      <c r="E832">
        <v>100000</v>
      </c>
      <c r="F832" t="s">
        <v>11</v>
      </c>
      <c r="G832" t="s">
        <v>84</v>
      </c>
      <c r="H832" t="s">
        <v>1464</v>
      </c>
      <c r="I832" t="s">
        <v>1434</v>
      </c>
      <c r="J832" s="5">
        <f>WEEKDAY(Table1_2[[#This Row],[Transaction date]])</f>
        <v>5</v>
      </c>
      <c r="K832"/>
    </row>
    <row r="833" spans="1:11" x14ac:dyDescent="0.45">
      <c r="A833" s="3">
        <v>39821</v>
      </c>
      <c r="B833" s="2">
        <v>0.40486111111111112</v>
      </c>
      <c r="C833" t="s">
        <v>1737</v>
      </c>
      <c r="D833" t="s">
        <v>10</v>
      </c>
      <c r="E833">
        <v>100000</v>
      </c>
      <c r="F833" t="s">
        <v>11</v>
      </c>
      <c r="G833" t="s">
        <v>1465</v>
      </c>
      <c r="H833" t="s">
        <v>1466</v>
      </c>
      <c r="I833" t="s">
        <v>1434</v>
      </c>
      <c r="J833" s="5">
        <f>WEEKDAY(Table1_2[[#This Row],[Transaction date]])</f>
        <v>5</v>
      </c>
      <c r="K833"/>
    </row>
    <row r="834" spans="1:11" x14ac:dyDescent="0.45">
      <c r="A834" s="3">
        <v>39815</v>
      </c>
      <c r="B834" s="2">
        <v>6.5972222222222224E-2</v>
      </c>
      <c r="C834" t="s">
        <v>1737</v>
      </c>
      <c r="D834" t="s">
        <v>10</v>
      </c>
      <c r="E834">
        <v>100000</v>
      </c>
      <c r="F834" t="s">
        <v>11</v>
      </c>
      <c r="G834" t="s">
        <v>944</v>
      </c>
      <c r="H834" t="s">
        <v>1467</v>
      </c>
      <c r="I834" t="s">
        <v>1434</v>
      </c>
      <c r="J834" s="5">
        <f>WEEKDAY(Table1_2[[#This Row],[Transaction date]])</f>
        <v>6</v>
      </c>
      <c r="K834"/>
    </row>
    <row r="835" spans="1:11" x14ac:dyDescent="0.45">
      <c r="A835" s="3">
        <v>39834</v>
      </c>
      <c r="B835" s="2">
        <v>0.48680555555555555</v>
      </c>
      <c r="C835" t="s">
        <v>1737</v>
      </c>
      <c r="D835" t="s">
        <v>10</v>
      </c>
      <c r="E835">
        <v>100000</v>
      </c>
      <c r="F835" t="s">
        <v>11</v>
      </c>
      <c r="G835" t="s">
        <v>1468</v>
      </c>
      <c r="H835" t="s">
        <v>1469</v>
      </c>
      <c r="I835" t="s">
        <v>1434</v>
      </c>
      <c r="J835" s="5">
        <f>WEEKDAY(Table1_2[[#This Row],[Transaction date]])</f>
        <v>4</v>
      </c>
      <c r="K835"/>
    </row>
    <row r="836" spans="1:11" x14ac:dyDescent="0.45">
      <c r="A836" s="3">
        <v>39832</v>
      </c>
      <c r="B836" s="2">
        <v>0.18194444444444444</v>
      </c>
      <c r="C836" t="s">
        <v>1737</v>
      </c>
      <c r="D836" t="s">
        <v>10</v>
      </c>
      <c r="E836">
        <v>100000</v>
      </c>
      <c r="F836" t="s">
        <v>63</v>
      </c>
      <c r="G836" t="s">
        <v>1471</v>
      </c>
      <c r="H836" t="s">
        <v>1472</v>
      </c>
      <c r="I836" t="s">
        <v>1434</v>
      </c>
      <c r="J836" s="5">
        <f>WEEKDAY(Table1_2[[#This Row],[Transaction date]])</f>
        <v>2</v>
      </c>
      <c r="K836"/>
    </row>
    <row r="837" spans="1:11" x14ac:dyDescent="0.45">
      <c r="A837" s="3">
        <v>39822</v>
      </c>
      <c r="B837" s="2">
        <v>0.12708333333333333</v>
      </c>
      <c r="C837" t="s">
        <v>1737</v>
      </c>
      <c r="D837" t="s">
        <v>20</v>
      </c>
      <c r="E837">
        <v>100000</v>
      </c>
      <c r="F837" t="s">
        <v>63</v>
      </c>
      <c r="G837" t="s">
        <v>1474</v>
      </c>
      <c r="H837" t="s">
        <v>1458</v>
      </c>
      <c r="I837" t="s">
        <v>1434</v>
      </c>
      <c r="J837" s="5">
        <f>WEEKDAY(Table1_2[[#This Row],[Transaction date]])</f>
        <v>6</v>
      </c>
      <c r="K837"/>
    </row>
    <row r="838" spans="1:11" x14ac:dyDescent="0.45">
      <c r="A838" s="3">
        <v>39815</v>
      </c>
      <c r="B838" s="2">
        <v>4.9305555555555554E-2</v>
      </c>
      <c r="C838" t="s">
        <v>1737</v>
      </c>
      <c r="D838" t="s">
        <v>10</v>
      </c>
      <c r="E838">
        <v>1200</v>
      </c>
      <c r="F838" t="s">
        <v>16</v>
      </c>
      <c r="G838" t="s">
        <v>1475</v>
      </c>
      <c r="H838" t="s">
        <v>1476</v>
      </c>
      <c r="I838" t="s">
        <v>1478</v>
      </c>
      <c r="J838" s="5">
        <f>WEEKDAY(Table1_2[[#This Row],[Transaction date]])</f>
        <v>6</v>
      </c>
      <c r="K838"/>
    </row>
    <row r="839" spans="1:11" x14ac:dyDescent="0.45">
      <c r="A839" s="3">
        <v>39839</v>
      </c>
      <c r="B839" s="2">
        <v>0.47152777777777777</v>
      </c>
      <c r="C839" t="s">
        <v>1737</v>
      </c>
      <c r="D839" t="s">
        <v>10</v>
      </c>
      <c r="E839">
        <v>1200</v>
      </c>
      <c r="F839" t="s">
        <v>16</v>
      </c>
      <c r="G839" t="s">
        <v>1479</v>
      </c>
      <c r="H839" t="s">
        <v>1480</v>
      </c>
      <c r="I839" t="s">
        <v>1478</v>
      </c>
      <c r="J839" s="5">
        <f>WEEKDAY(Table1_2[[#This Row],[Transaction date]])</f>
        <v>2</v>
      </c>
      <c r="K839"/>
    </row>
    <row r="840" spans="1:11" x14ac:dyDescent="0.45">
      <c r="A840" s="3">
        <v>39833</v>
      </c>
      <c r="B840" s="2">
        <v>9.5138888888888884E-2</v>
      </c>
      <c r="C840" t="s">
        <v>1737</v>
      </c>
      <c r="D840" t="s">
        <v>10</v>
      </c>
      <c r="E840">
        <v>1200</v>
      </c>
      <c r="F840" t="s">
        <v>63</v>
      </c>
      <c r="G840" t="s">
        <v>419</v>
      </c>
      <c r="H840" t="s">
        <v>1482</v>
      </c>
      <c r="I840" t="s">
        <v>1484</v>
      </c>
      <c r="J840" s="5">
        <f>WEEKDAY(Table1_2[[#This Row],[Transaction date]])</f>
        <v>3</v>
      </c>
      <c r="K840"/>
    </row>
    <row r="841" spans="1:11" x14ac:dyDescent="0.45">
      <c r="A841" s="3">
        <v>39816</v>
      </c>
      <c r="B841" s="2">
        <v>5.8333333333333334E-2</v>
      </c>
      <c r="C841" t="s">
        <v>1737</v>
      </c>
      <c r="D841" t="s">
        <v>10</v>
      </c>
      <c r="E841">
        <v>110000</v>
      </c>
      <c r="F841" t="s">
        <v>11</v>
      </c>
      <c r="G841" t="s">
        <v>1485</v>
      </c>
      <c r="H841" t="s">
        <v>1486</v>
      </c>
      <c r="I841" t="s">
        <v>1488</v>
      </c>
      <c r="J841" s="5">
        <f>WEEKDAY(Table1_2[[#This Row],[Transaction date]])</f>
        <v>7</v>
      </c>
      <c r="K841"/>
    </row>
    <row r="842" spans="1:11" x14ac:dyDescent="0.45">
      <c r="A842" s="3">
        <v>39816</v>
      </c>
      <c r="B842" s="2">
        <v>4.9305555555555554E-2</v>
      </c>
      <c r="C842" t="s">
        <v>1737</v>
      </c>
      <c r="D842" t="s">
        <v>10</v>
      </c>
      <c r="E842">
        <v>110000</v>
      </c>
      <c r="F842" t="s">
        <v>16</v>
      </c>
      <c r="G842" t="s">
        <v>1489</v>
      </c>
      <c r="H842" t="s">
        <v>1490</v>
      </c>
      <c r="I842" t="s">
        <v>1488</v>
      </c>
      <c r="J842" s="5">
        <f>WEEKDAY(Table1_2[[#This Row],[Transaction date]])</f>
        <v>7</v>
      </c>
      <c r="K842"/>
    </row>
    <row r="843" spans="1:11" x14ac:dyDescent="0.45">
      <c r="A843" s="3">
        <v>39815</v>
      </c>
      <c r="B843" s="2">
        <v>0.51249999999999996</v>
      </c>
      <c r="C843" t="s">
        <v>1738</v>
      </c>
      <c r="D843" t="s">
        <v>10</v>
      </c>
      <c r="E843">
        <v>110000</v>
      </c>
      <c r="F843" t="s">
        <v>11</v>
      </c>
      <c r="G843" t="s">
        <v>1491</v>
      </c>
      <c r="H843" t="s">
        <v>1492</v>
      </c>
      <c r="I843" t="s">
        <v>1488</v>
      </c>
      <c r="J843" s="5">
        <f>WEEKDAY(Table1_2[[#This Row],[Transaction date]])</f>
        <v>6</v>
      </c>
      <c r="K843"/>
    </row>
    <row r="844" spans="1:11" x14ac:dyDescent="0.45">
      <c r="A844" s="3">
        <v>39814</v>
      </c>
      <c r="B844" s="2">
        <v>7.7083333333333337E-2</v>
      </c>
      <c r="C844" t="s">
        <v>1737</v>
      </c>
      <c r="D844" t="s">
        <v>10</v>
      </c>
      <c r="E844">
        <v>110000</v>
      </c>
      <c r="F844" t="s">
        <v>16</v>
      </c>
      <c r="G844" t="s">
        <v>1494</v>
      </c>
      <c r="H844" t="s">
        <v>1495</v>
      </c>
      <c r="I844" t="s">
        <v>1488</v>
      </c>
      <c r="J844" s="5">
        <f>WEEKDAY(Table1_2[[#This Row],[Transaction date]])</f>
        <v>5</v>
      </c>
      <c r="K844"/>
    </row>
    <row r="845" spans="1:11" x14ac:dyDescent="0.45">
      <c r="A845" s="3">
        <v>39816</v>
      </c>
      <c r="B845" s="2">
        <v>0.33194444444444443</v>
      </c>
      <c r="C845" t="s">
        <v>1737</v>
      </c>
      <c r="D845" t="s">
        <v>10</v>
      </c>
      <c r="E845">
        <v>110000</v>
      </c>
      <c r="F845" t="s">
        <v>16</v>
      </c>
      <c r="G845" t="s">
        <v>1496</v>
      </c>
      <c r="H845" t="s">
        <v>1497</v>
      </c>
      <c r="I845" t="s">
        <v>1488</v>
      </c>
      <c r="J845" s="5">
        <f>WEEKDAY(Table1_2[[#This Row],[Transaction date]])</f>
        <v>7</v>
      </c>
      <c r="K845"/>
    </row>
    <row r="846" spans="1:11" x14ac:dyDescent="0.45">
      <c r="A846" s="3">
        <v>39818</v>
      </c>
      <c r="B846" s="2">
        <v>0.51944444444444449</v>
      </c>
      <c r="C846" t="s">
        <v>1738</v>
      </c>
      <c r="D846" t="s">
        <v>10</v>
      </c>
      <c r="E846">
        <v>110000</v>
      </c>
      <c r="F846" t="s">
        <v>11</v>
      </c>
      <c r="G846" t="s">
        <v>1498</v>
      </c>
      <c r="H846" t="s">
        <v>1499</v>
      </c>
      <c r="I846" t="s">
        <v>1488</v>
      </c>
      <c r="J846" s="5">
        <f>WEEKDAY(Table1_2[[#This Row],[Transaction date]])</f>
        <v>2</v>
      </c>
      <c r="K846"/>
    </row>
    <row r="847" spans="1:11" x14ac:dyDescent="0.45">
      <c r="A847" s="3">
        <v>39829</v>
      </c>
      <c r="B847" s="2">
        <v>0.45694444444444443</v>
      </c>
      <c r="C847" t="s">
        <v>1737</v>
      </c>
      <c r="D847" t="s">
        <v>10</v>
      </c>
      <c r="E847">
        <v>110000</v>
      </c>
      <c r="F847" t="s">
        <v>11</v>
      </c>
      <c r="G847" t="s">
        <v>1500</v>
      </c>
      <c r="H847" t="s">
        <v>1501</v>
      </c>
      <c r="I847" t="s">
        <v>1488</v>
      </c>
      <c r="J847" s="5">
        <f>WEEKDAY(Table1_2[[#This Row],[Transaction date]])</f>
        <v>6</v>
      </c>
      <c r="K847"/>
    </row>
    <row r="848" spans="1:11" x14ac:dyDescent="0.45">
      <c r="A848" s="3">
        <v>39826</v>
      </c>
      <c r="B848" s="2">
        <v>7.3611111111111113E-2</v>
      </c>
      <c r="C848" t="s">
        <v>1737</v>
      </c>
      <c r="D848" t="s">
        <v>10</v>
      </c>
      <c r="E848">
        <v>110000</v>
      </c>
      <c r="F848" t="s">
        <v>16</v>
      </c>
      <c r="G848" t="s">
        <v>1489</v>
      </c>
      <c r="H848" t="s">
        <v>1503</v>
      </c>
      <c r="I848" t="s">
        <v>1488</v>
      </c>
      <c r="J848" s="5">
        <f>WEEKDAY(Table1_2[[#This Row],[Transaction date]])</f>
        <v>3</v>
      </c>
      <c r="K848"/>
    </row>
    <row r="849" spans="1:11" x14ac:dyDescent="0.45">
      <c r="A849" s="3">
        <v>39842</v>
      </c>
      <c r="B849" s="2">
        <v>0.11666666666666667</v>
      </c>
      <c r="C849" t="s">
        <v>1737</v>
      </c>
      <c r="D849" t="s">
        <v>10</v>
      </c>
      <c r="E849">
        <v>110000</v>
      </c>
      <c r="F849" t="s">
        <v>11</v>
      </c>
      <c r="G849" t="s">
        <v>1504</v>
      </c>
      <c r="H849" t="s">
        <v>1492</v>
      </c>
      <c r="I849" t="s">
        <v>1488</v>
      </c>
      <c r="J849" s="5">
        <f>WEEKDAY(Table1_2[[#This Row],[Transaction date]])</f>
        <v>5</v>
      </c>
      <c r="K849"/>
    </row>
    <row r="850" spans="1:11" x14ac:dyDescent="0.45">
      <c r="A850" s="3">
        <v>39837</v>
      </c>
      <c r="B850" s="2">
        <v>0.15</v>
      </c>
      <c r="C850" t="s">
        <v>1737</v>
      </c>
      <c r="D850" t="s">
        <v>10</v>
      </c>
      <c r="E850">
        <v>110000</v>
      </c>
      <c r="F850" t="s">
        <v>11</v>
      </c>
      <c r="G850" t="s">
        <v>819</v>
      </c>
      <c r="H850" t="s">
        <v>1505</v>
      </c>
      <c r="I850" t="s">
        <v>1488</v>
      </c>
      <c r="J850" s="5">
        <f>WEEKDAY(Table1_2[[#This Row],[Transaction date]])</f>
        <v>7</v>
      </c>
      <c r="K850"/>
    </row>
    <row r="851" spans="1:11" x14ac:dyDescent="0.45">
      <c r="A851" s="3">
        <v>39819</v>
      </c>
      <c r="B851" s="2">
        <v>0.25486111111111109</v>
      </c>
      <c r="C851" t="s">
        <v>1737</v>
      </c>
      <c r="D851" t="s">
        <v>10</v>
      </c>
      <c r="E851">
        <v>110000</v>
      </c>
      <c r="F851" t="s">
        <v>11</v>
      </c>
      <c r="G851" t="s">
        <v>212</v>
      </c>
      <c r="H851" t="s">
        <v>1499</v>
      </c>
      <c r="I851" t="s">
        <v>1488</v>
      </c>
      <c r="J851" s="5">
        <f>WEEKDAY(Table1_2[[#This Row],[Transaction date]])</f>
        <v>3</v>
      </c>
      <c r="K851"/>
    </row>
    <row r="852" spans="1:11" x14ac:dyDescent="0.45">
      <c r="A852" s="3">
        <v>39834</v>
      </c>
      <c r="B852" s="2">
        <v>0.1986111111111111</v>
      </c>
      <c r="C852" t="s">
        <v>1737</v>
      </c>
      <c r="D852" t="s">
        <v>10</v>
      </c>
      <c r="E852">
        <v>110000</v>
      </c>
      <c r="F852" t="s">
        <v>11</v>
      </c>
      <c r="G852" t="s">
        <v>1507</v>
      </c>
      <c r="H852" t="s">
        <v>1508</v>
      </c>
      <c r="I852" t="s">
        <v>1488</v>
      </c>
      <c r="J852" s="5">
        <f>WEEKDAY(Table1_2[[#This Row],[Transaction date]])</f>
        <v>4</v>
      </c>
      <c r="K852"/>
    </row>
    <row r="853" spans="1:11" x14ac:dyDescent="0.45">
      <c r="A853" s="3">
        <v>39825</v>
      </c>
      <c r="B853" s="2">
        <v>0.51180555555555551</v>
      </c>
      <c r="C853" t="s">
        <v>1738</v>
      </c>
      <c r="D853" t="s">
        <v>10</v>
      </c>
      <c r="E853">
        <v>110000</v>
      </c>
      <c r="F853" t="s">
        <v>16</v>
      </c>
      <c r="G853" t="s">
        <v>234</v>
      </c>
      <c r="H853" t="s">
        <v>1509</v>
      </c>
      <c r="I853" t="s">
        <v>1488</v>
      </c>
      <c r="J853" s="5">
        <f>WEEKDAY(Table1_2[[#This Row],[Transaction date]])</f>
        <v>2</v>
      </c>
      <c r="K853"/>
    </row>
    <row r="854" spans="1:11" x14ac:dyDescent="0.45">
      <c r="A854" s="3">
        <v>39826</v>
      </c>
      <c r="B854" s="2">
        <v>0.53541666666666665</v>
      </c>
      <c r="C854" t="s">
        <v>1738</v>
      </c>
      <c r="D854" t="s">
        <v>10</v>
      </c>
      <c r="E854">
        <v>110000</v>
      </c>
      <c r="F854" t="s">
        <v>11</v>
      </c>
      <c r="G854" t="s">
        <v>1510</v>
      </c>
      <c r="H854" t="s">
        <v>1511</v>
      </c>
      <c r="I854" t="s">
        <v>1488</v>
      </c>
      <c r="J854" s="5">
        <f>WEEKDAY(Table1_2[[#This Row],[Transaction date]])</f>
        <v>3</v>
      </c>
      <c r="K854"/>
    </row>
    <row r="855" spans="1:11" x14ac:dyDescent="0.45">
      <c r="A855" s="3">
        <v>39818</v>
      </c>
      <c r="B855" s="2">
        <v>0.48888888888888887</v>
      </c>
      <c r="C855" t="s">
        <v>1737</v>
      </c>
      <c r="D855" t="s">
        <v>10</v>
      </c>
      <c r="E855">
        <v>110000</v>
      </c>
      <c r="F855" t="s">
        <v>11</v>
      </c>
      <c r="G855" t="s">
        <v>773</v>
      </c>
      <c r="H855" t="s">
        <v>1512</v>
      </c>
      <c r="I855" t="s">
        <v>1488</v>
      </c>
      <c r="J855" s="5">
        <f>WEEKDAY(Table1_2[[#This Row],[Transaction date]])</f>
        <v>2</v>
      </c>
      <c r="K855"/>
    </row>
    <row r="856" spans="1:11" x14ac:dyDescent="0.45">
      <c r="A856" s="3">
        <v>39834</v>
      </c>
      <c r="B856" s="2">
        <v>0.17430555555555555</v>
      </c>
      <c r="C856" t="s">
        <v>1737</v>
      </c>
      <c r="D856" t="s">
        <v>10</v>
      </c>
      <c r="E856">
        <v>110000</v>
      </c>
      <c r="F856" t="s">
        <v>11</v>
      </c>
      <c r="G856" t="s">
        <v>382</v>
      </c>
      <c r="H856" t="s">
        <v>1514</v>
      </c>
      <c r="I856" t="s">
        <v>1516</v>
      </c>
      <c r="J856" s="5">
        <f>WEEKDAY(Table1_2[[#This Row],[Transaction date]])</f>
        <v>4</v>
      </c>
      <c r="K856"/>
    </row>
    <row r="857" spans="1:11" x14ac:dyDescent="0.45">
      <c r="A857" s="3">
        <v>39842</v>
      </c>
      <c r="B857" s="2">
        <v>0.35208333333333336</v>
      </c>
      <c r="C857" t="s">
        <v>1737</v>
      </c>
      <c r="D857" t="s">
        <v>20</v>
      </c>
      <c r="E857">
        <v>100000</v>
      </c>
      <c r="F857" t="s">
        <v>11</v>
      </c>
      <c r="G857" t="s">
        <v>1049</v>
      </c>
      <c r="H857" t="s">
        <v>1515</v>
      </c>
      <c r="I857" t="s">
        <v>1516</v>
      </c>
      <c r="J857" s="5">
        <f>WEEKDAY(Table1_2[[#This Row],[Transaction date]])</f>
        <v>5</v>
      </c>
      <c r="K857"/>
    </row>
    <row r="858" spans="1:11" x14ac:dyDescent="0.45">
      <c r="A858" s="3">
        <v>39817</v>
      </c>
      <c r="B858" s="2">
        <v>0.21736111111111112</v>
      </c>
      <c r="C858" t="s">
        <v>1737</v>
      </c>
      <c r="D858" t="s">
        <v>10</v>
      </c>
      <c r="E858">
        <v>110000</v>
      </c>
      <c r="F858" t="s">
        <v>11</v>
      </c>
      <c r="G858" t="s">
        <v>773</v>
      </c>
      <c r="H858" t="s">
        <v>1518</v>
      </c>
      <c r="I858" t="s">
        <v>1516</v>
      </c>
      <c r="J858" s="5">
        <f>WEEKDAY(Table1_2[[#This Row],[Transaction date]])</f>
        <v>1</v>
      </c>
      <c r="K858"/>
    </row>
    <row r="859" spans="1:11" x14ac:dyDescent="0.45">
      <c r="A859" s="3">
        <v>39832</v>
      </c>
      <c r="B859" s="2">
        <v>0.28611111111111109</v>
      </c>
      <c r="C859" t="s">
        <v>1737</v>
      </c>
      <c r="D859" t="s">
        <v>10</v>
      </c>
      <c r="E859">
        <v>1200</v>
      </c>
      <c r="F859" t="s">
        <v>63</v>
      </c>
      <c r="G859" t="s">
        <v>1520</v>
      </c>
      <c r="H859" t="s">
        <v>1521</v>
      </c>
      <c r="I859" t="s">
        <v>1523</v>
      </c>
      <c r="J859" s="5">
        <f>WEEKDAY(Table1_2[[#This Row],[Transaction date]])</f>
        <v>2</v>
      </c>
      <c r="K859"/>
    </row>
    <row r="860" spans="1:11" x14ac:dyDescent="0.45">
      <c r="A860" s="3">
        <v>39834</v>
      </c>
      <c r="B860" s="2">
        <v>0.40069444444444446</v>
      </c>
      <c r="C860" t="s">
        <v>1737</v>
      </c>
      <c r="D860" t="s">
        <v>10</v>
      </c>
      <c r="E860">
        <v>1200</v>
      </c>
      <c r="F860" t="s">
        <v>11</v>
      </c>
      <c r="G860" t="s">
        <v>472</v>
      </c>
      <c r="H860" t="s">
        <v>1524</v>
      </c>
      <c r="I860" t="s">
        <v>1526</v>
      </c>
      <c r="J860" s="5">
        <f>WEEKDAY(Table1_2[[#This Row],[Transaction date]])</f>
        <v>4</v>
      </c>
      <c r="K860"/>
    </row>
    <row r="861" spans="1:11" x14ac:dyDescent="0.45">
      <c r="A861" s="3">
        <v>39834</v>
      </c>
      <c r="B861" s="2">
        <v>0.3347222222222222</v>
      </c>
      <c r="C861" t="s">
        <v>1737</v>
      </c>
      <c r="D861" t="s">
        <v>10</v>
      </c>
      <c r="E861">
        <v>1200</v>
      </c>
      <c r="F861" t="s">
        <v>16</v>
      </c>
      <c r="G861" t="s">
        <v>1527</v>
      </c>
      <c r="H861" t="s">
        <v>1528</v>
      </c>
      <c r="I861" t="s">
        <v>1529</v>
      </c>
      <c r="J861" s="5">
        <f>WEEKDAY(Table1_2[[#This Row],[Transaction date]])</f>
        <v>4</v>
      </c>
      <c r="K861"/>
    </row>
    <row r="862" spans="1:11" x14ac:dyDescent="0.45">
      <c r="A862" s="3">
        <v>39818</v>
      </c>
      <c r="B862" s="2">
        <v>0.48402777777777778</v>
      </c>
      <c r="C862" t="s">
        <v>1737</v>
      </c>
      <c r="D862" t="s">
        <v>10</v>
      </c>
      <c r="E862">
        <v>1200</v>
      </c>
      <c r="F862" t="s">
        <v>11</v>
      </c>
      <c r="G862" t="s">
        <v>169</v>
      </c>
      <c r="H862" t="s">
        <v>1530</v>
      </c>
      <c r="I862" t="s">
        <v>1532</v>
      </c>
      <c r="J862" s="5">
        <f>WEEKDAY(Table1_2[[#This Row],[Transaction date]])</f>
        <v>2</v>
      </c>
      <c r="K862"/>
    </row>
    <row r="863" spans="1:11" x14ac:dyDescent="0.45">
      <c r="A863" s="3">
        <v>39823</v>
      </c>
      <c r="B863" s="2">
        <v>0.40138888888888891</v>
      </c>
      <c r="C863" t="s">
        <v>1737</v>
      </c>
      <c r="D863" t="s">
        <v>10</v>
      </c>
      <c r="E863">
        <v>1200</v>
      </c>
      <c r="F863" t="s">
        <v>11</v>
      </c>
      <c r="G863" t="s">
        <v>1533</v>
      </c>
      <c r="H863" t="s">
        <v>1534</v>
      </c>
      <c r="I863" t="s">
        <v>1532</v>
      </c>
      <c r="J863" s="5">
        <f>WEEKDAY(Table1_2[[#This Row],[Transaction date]])</f>
        <v>7</v>
      </c>
      <c r="K863"/>
    </row>
    <row r="864" spans="1:11" x14ac:dyDescent="0.45">
      <c r="A864" s="3">
        <v>39817</v>
      </c>
      <c r="B864" s="2">
        <v>0.36041666666666666</v>
      </c>
      <c r="C864" t="s">
        <v>1737</v>
      </c>
      <c r="D864" t="s">
        <v>20</v>
      </c>
      <c r="E864">
        <v>100000</v>
      </c>
      <c r="F864" t="s">
        <v>63</v>
      </c>
      <c r="G864" t="s">
        <v>1536</v>
      </c>
      <c r="H864" t="s">
        <v>1537</v>
      </c>
      <c r="I864" t="s">
        <v>1532</v>
      </c>
      <c r="J864" s="5">
        <f>WEEKDAY(Table1_2[[#This Row],[Transaction date]])</f>
        <v>1</v>
      </c>
      <c r="K864"/>
    </row>
    <row r="865" spans="1:11" x14ac:dyDescent="0.45">
      <c r="A865" s="3">
        <v>39820</v>
      </c>
      <c r="B865" s="2">
        <v>0.34861111111111109</v>
      </c>
      <c r="C865" t="s">
        <v>1737</v>
      </c>
      <c r="D865" t="s">
        <v>10</v>
      </c>
      <c r="E865">
        <v>1200</v>
      </c>
      <c r="F865" t="s">
        <v>11</v>
      </c>
      <c r="G865" t="s">
        <v>1539</v>
      </c>
      <c r="H865" t="s">
        <v>1540</v>
      </c>
      <c r="I865" t="s">
        <v>1532</v>
      </c>
      <c r="J865" s="5">
        <f>WEEKDAY(Table1_2[[#This Row],[Transaction date]])</f>
        <v>4</v>
      </c>
      <c r="K865"/>
    </row>
    <row r="866" spans="1:11" x14ac:dyDescent="0.45">
      <c r="A866" s="3">
        <v>39821</v>
      </c>
      <c r="B866" s="2">
        <v>0.35555555555555557</v>
      </c>
      <c r="C866" t="s">
        <v>1737</v>
      </c>
      <c r="D866" t="s">
        <v>10</v>
      </c>
      <c r="E866">
        <v>1200</v>
      </c>
      <c r="F866" t="s">
        <v>11</v>
      </c>
      <c r="G866" t="s">
        <v>454</v>
      </c>
      <c r="H866" t="s">
        <v>1542</v>
      </c>
      <c r="I866" t="s">
        <v>1532</v>
      </c>
      <c r="J866" s="5">
        <f>WEEKDAY(Table1_2[[#This Row],[Transaction date]])</f>
        <v>5</v>
      </c>
      <c r="K866"/>
    </row>
    <row r="867" spans="1:11" x14ac:dyDescent="0.45">
      <c r="A867" s="3">
        <v>39821</v>
      </c>
      <c r="B867" s="2">
        <v>6.5277777777777782E-2</v>
      </c>
      <c r="C867" t="s">
        <v>1737</v>
      </c>
      <c r="D867" t="s">
        <v>10</v>
      </c>
      <c r="E867">
        <v>1200</v>
      </c>
      <c r="F867" t="s">
        <v>11</v>
      </c>
      <c r="G867" t="s">
        <v>1543</v>
      </c>
      <c r="H867" t="s">
        <v>1544</v>
      </c>
      <c r="I867" t="s">
        <v>1532</v>
      </c>
      <c r="J867" s="5">
        <f>WEEKDAY(Table1_2[[#This Row],[Transaction date]])</f>
        <v>5</v>
      </c>
      <c r="K867"/>
    </row>
    <row r="868" spans="1:11" x14ac:dyDescent="0.45">
      <c r="A868" s="3">
        <v>39825</v>
      </c>
      <c r="B868" s="2">
        <v>0.29444444444444445</v>
      </c>
      <c r="C868" t="s">
        <v>1737</v>
      </c>
      <c r="D868" t="s">
        <v>10</v>
      </c>
      <c r="E868">
        <v>1200</v>
      </c>
      <c r="F868" t="s">
        <v>11</v>
      </c>
      <c r="G868" t="s">
        <v>1545</v>
      </c>
      <c r="H868" t="s">
        <v>1546</v>
      </c>
      <c r="I868" t="s">
        <v>1532</v>
      </c>
      <c r="J868" s="5">
        <f>WEEKDAY(Table1_2[[#This Row],[Transaction date]])</f>
        <v>2</v>
      </c>
      <c r="K868"/>
    </row>
    <row r="869" spans="1:11" x14ac:dyDescent="0.45">
      <c r="A869" s="3">
        <v>39814</v>
      </c>
      <c r="B869" s="2">
        <v>0.3527777777777778</v>
      </c>
      <c r="C869" t="s">
        <v>1737</v>
      </c>
      <c r="D869" t="s">
        <v>10</v>
      </c>
      <c r="E869">
        <v>1200</v>
      </c>
      <c r="F869" t="s">
        <v>11</v>
      </c>
      <c r="G869" t="s">
        <v>1547</v>
      </c>
      <c r="H869" t="s">
        <v>1542</v>
      </c>
      <c r="I869" t="s">
        <v>1532</v>
      </c>
      <c r="J869" s="5">
        <f>WEEKDAY(Table1_2[[#This Row],[Transaction date]])</f>
        <v>5</v>
      </c>
      <c r="K869"/>
    </row>
    <row r="870" spans="1:11" x14ac:dyDescent="0.45">
      <c r="A870" s="3">
        <v>39816</v>
      </c>
      <c r="B870" s="2">
        <v>0.14027777777777778</v>
      </c>
      <c r="C870" t="s">
        <v>1737</v>
      </c>
      <c r="D870" t="s">
        <v>10</v>
      </c>
      <c r="E870">
        <v>1200</v>
      </c>
      <c r="F870" t="s">
        <v>16</v>
      </c>
      <c r="G870" t="s">
        <v>1548</v>
      </c>
      <c r="H870" t="s">
        <v>1549</v>
      </c>
      <c r="I870" t="s">
        <v>1532</v>
      </c>
      <c r="J870" s="5">
        <f>WEEKDAY(Table1_2[[#This Row],[Transaction date]])</f>
        <v>7</v>
      </c>
      <c r="K870"/>
    </row>
    <row r="871" spans="1:11" x14ac:dyDescent="0.45">
      <c r="A871" s="3">
        <v>39817</v>
      </c>
      <c r="B871" s="2">
        <v>0.32916666666666666</v>
      </c>
      <c r="C871" t="s">
        <v>1737</v>
      </c>
      <c r="D871" t="s">
        <v>10</v>
      </c>
      <c r="E871">
        <v>1200</v>
      </c>
      <c r="F871" t="s">
        <v>11</v>
      </c>
      <c r="G871" t="s">
        <v>1550</v>
      </c>
      <c r="H871" t="s">
        <v>1551</v>
      </c>
      <c r="I871" t="s">
        <v>1532</v>
      </c>
      <c r="J871" s="5">
        <f>WEEKDAY(Table1_2[[#This Row],[Transaction date]])</f>
        <v>1</v>
      </c>
      <c r="K871"/>
    </row>
    <row r="872" spans="1:11" x14ac:dyDescent="0.45">
      <c r="A872" s="3">
        <v>39819</v>
      </c>
      <c r="B872" s="2">
        <v>0.3840277777777778</v>
      </c>
      <c r="C872" t="s">
        <v>1737</v>
      </c>
      <c r="D872" t="s">
        <v>10</v>
      </c>
      <c r="E872">
        <v>90000</v>
      </c>
      <c r="F872" t="s">
        <v>11</v>
      </c>
      <c r="G872" t="s">
        <v>1552</v>
      </c>
      <c r="H872" t="s">
        <v>1549</v>
      </c>
      <c r="I872" t="s">
        <v>1532</v>
      </c>
      <c r="J872" s="5">
        <f>WEEKDAY(Table1_2[[#This Row],[Transaction date]])</f>
        <v>3</v>
      </c>
      <c r="K872"/>
    </row>
    <row r="873" spans="1:11" x14ac:dyDescent="0.45">
      <c r="A873" s="3">
        <v>39825</v>
      </c>
      <c r="B873" s="2">
        <v>0.49166666666666664</v>
      </c>
      <c r="C873" t="s">
        <v>1737</v>
      </c>
      <c r="D873" t="s">
        <v>10</v>
      </c>
      <c r="E873">
        <v>200000</v>
      </c>
      <c r="F873" t="s">
        <v>11</v>
      </c>
      <c r="G873" t="s">
        <v>355</v>
      </c>
      <c r="H873" t="s">
        <v>1553</v>
      </c>
      <c r="I873" t="s">
        <v>1532</v>
      </c>
      <c r="J873" s="5">
        <f>WEEKDAY(Table1_2[[#This Row],[Transaction date]])</f>
        <v>2</v>
      </c>
      <c r="K873"/>
    </row>
    <row r="874" spans="1:11" x14ac:dyDescent="0.45">
      <c r="A874" s="3">
        <v>39819</v>
      </c>
      <c r="B874" s="2">
        <v>0.30763888888888891</v>
      </c>
      <c r="C874" t="s">
        <v>1737</v>
      </c>
      <c r="D874" t="s">
        <v>10</v>
      </c>
      <c r="E874">
        <v>60000</v>
      </c>
      <c r="F874" t="s">
        <v>11</v>
      </c>
      <c r="G874" t="s">
        <v>174</v>
      </c>
      <c r="H874" t="s">
        <v>1554</v>
      </c>
      <c r="I874" t="s">
        <v>1532</v>
      </c>
      <c r="J874" s="5">
        <f>WEEKDAY(Table1_2[[#This Row],[Transaction date]])</f>
        <v>3</v>
      </c>
      <c r="K874"/>
    </row>
    <row r="875" spans="1:11" x14ac:dyDescent="0.45">
      <c r="A875" s="3">
        <v>39828</v>
      </c>
      <c r="B875" s="2">
        <v>0.49722222222222223</v>
      </c>
      <c r="C875" t="s">
        <v>1737</v>
      </c>
      <c r="D875" t="s">
        <v>10</v>
      </c>
      <c r="E875">
        <v>1200</v>
      </c>
      <c r="F875" t="s">
        <v>11</v>
      </c>
      <c r="G875" t="s">
        <v>346</v>
      </c>
      <c r="H875" t="s">
        <v>1542</v>
      </c>
      <c r="I875" t="s">
        <v>1532</v>
      </c>
      <c r="J875" s="5">
        <f>WEEKDAY(Table1_2[[#This Row],[Transaction date]])</f>
        <v>5</v>
      </c>
      <c r="K875"/>
    </row>
    <row r="876" spans="1:11" x14ac:dyDescent="0.45">
      <c r="A876" s="3">
        <v>39828</v>
      </c>
      <c r="B876" s="2">
        <v>0.49861111111111112</v>
      </c>
      <c r="C876" t="s">
        <v>1737</v>
      </c>
      <c r="D876" t="s">
        <v>10</v>
      </c>
      <c r="E876">
        <v>1200</v>
      </c>
      <c r="F876" t="s">
        <v>11</v>
      </c>
      <c r="G876" t="s">
        <v>626</v>
      </c>
      <c r="H876" t="s">
        <v>1555</v>
      </c>
      <c r="I876" t="s">
        <v>1532</v>
      </c>
      <c r="J876" s="5">
        <f>WEEKDAY(Table1_2[[#This Row],[Transaction date]])</f>
        <v>5</v>
      </c>
      <c r="K876"/>
    </row>
    <row r="877" spans="1:11" x14ac:dyDescent="0.45">
      <c r="A877" s="3">
        <v>39828</v>
      </c>
      <c r="B877" s="2">
        <v>0.53749999999999998</v>
      </c>
      <c r="C877" t="s">
        <v>1738</v>
      </c>
      <c r="D877" t="s">
        <v>10</v>
      </c>
      <c r="E877">
        <v>90000</v>
      </c>
      <c r="F877" t="s">
        <v>16</v>
      </c>
      <c r="G877" t="s">
        <v>1556</v>
      </c>
      <c r="H877" t="s">
        <v>1557</v>
      </c>
      <c r="I877" t="s">
        <v>1532</v>
      </c>
      <c r="J877" s="5">
        <f>WEEKDAY(Table1_2[[#This Row],[Transaction date]])</f>
        <v>5</v>
      </c>
      <c r="K877"/>
    </row>
    <row r="878" spans="1:11" x14ac:dyDescent="0.45">
      <c r="A878" s="3">
        <v>39817</v>
      </c>
      <c r="B878" s="2">
        <v>0.49166666666666664</v>
      </c>
      <c r="C878" t="s">
        <v>1737</v>
      </c>
      <c r="D878" t="s">
        <v>10</v>
      </c>
      <c r="E878">
        <v>200000</v>
      </c>
      <c r="F878" t="s">
        <v>63</v>
      </c>
      <c r="G878" t="s">
        <v>1559</v>
      </c>
      <c r="H878" t="s">
        <v>1560</v>
      </c>
      <c r="I878" t="s">
        <v>1532</v>
      </c>
      <c r="J878" s="5">
        <f>WEEKDAY(Table1_2[[#This Row],[Transaction date]])</f>
        <v>1</v>
      </c>
      <c r="K878"/>
    </row>
    <row r="879" spans="1:11" x14ac:dyDescent="0.45">
      <c r="A879" s="3">
        <v>39826</v>
      </c>
      <c r="B879" s="2">
        <v>0.37430555555555556</v>
      </c>
      <c r="C879" t="s">
        <v>1737</v>
      </c>
      <c r="D879" t="s">
        <v>10</v>
      </c>
      <c r="E879">
        <v>60000</v>
      </c>
      <c r="F879" t="s">
        <v>16</v>
      </c>
      <c r="G879" t="s">
        <v>1089</v>
      </c>
      <c r="H879" t="s">
        <v>1562</v>
      </c>
      <c r="I879" t="s">
        <v>1532</v>
      </c>
      <c r="J879" s="5">
        <f>WEEKDAY(Table1_2[[#This Row],[Transaction date]])</f>
        <v>3</v>
      </c>
      <c r="K879"/>
    </row>
    <row r="880" spans="1:11" x14ac:dyDescent="0.45">
      <c r="A880" s="3">
        <v>39817</v>
      </c>
      <c r="B880" s="2">
        <v>0.53402777777777777</v>
      </c>
      <c r="C880" t="s">
        <v>1738</v>
      </c>
      <c r="D880" t="s">
        <v>10</v>
      </c>
      <c r="E880">
        <v>1200</v>
      </c>
      <c r="F880" t="s">
        <v>63</v>
      </c>
      <c r="G880" t="s">
        <v>1564</v>
      </c>
      <c r="H880" t="s">
        <v>1565</v>
      </c>
      <c r="I880" t="s">
        <v>1532</v>
      </c>
      <c r="J880" s="5">
        <f>WEEKDAY(Table1_2[[#This Row],[Transaction date]])</f>
        <v>1</v>
      </c>
      <c r="K880"/>
    </row>
    <row r="881" spans="1:11" x14ac:dyDescent="0.45">
      <c r="A881" s="3">
        <v>39818</v>
      </c>
      <c r="B881" s="2">
        <v>0.2048611111111111</v>
      </c>
      <c r="C881" t="s">
        <v>1737</v>
      </c>
      <c r="D881" t="s">
        <v>10</v>
      </c>
      <c r="E881">
        <v>1200</v>
      </c>
      <c r="F881" t="s">
        <v>11</v>
      </c>
      <c r="G881" t="s">
        <v>1566</v>
      </c>
      <c r="H881" t="s">
        <v>1567</v>
      </c>
      <c r="I881" t="s">
        <v>1532</v>
      </c>
      <c r="J881" s="5">
        <f>WEEKDAY(Table1_2[[#This Row],[Transaction date]])</f>
        <v>2</v>
      </c>
      <c r="K881"/>
    </row>
    <row r="882" spans="1:11" x14ac:dyDescent="0.45">
      <c r="A882" s="3">
        <v>39817</v>
      </c>
      <c r="B882" s="2">
        <v>0.37638888888888888</v>
      </c>
      <c r="C882" t="s">
        <v>1737</v>
      </c>
      <c r="D882" t="s">
        <v>10</v>
      </c>
      <c r="E882">
        <v>90000</v>
      </c>
      <c r="F882" t="s">
        <v>11</v>
      </c>
      <c r="G882" t="s">
        <v>635</v>
      </c>
      <c r="H882" t="s">
        <v>1542</v>
      </c>
      <c r="I882" t="s">
        <v>1532</v>
      </c>
      <c r="J882" s="5">
        <f>WEEKDAY(Table1_2[[#This Row],[Transaction date]])</f>
        <v>1</v>
      </c>
      <c r="K882"/>
    </row>
    <row r="883" spans="1:11" x14ac:dyDescent="0.45">
      <c r="A883" s="3">
        <v>39826</v>
      </c>
      <c r="B883" s="2">
        <v>0.34861111111111109</v>
      </c>
      <c r="C883" t="s">
        <v>1737</v>
      </c>
      <c r="D883" t="s">
        <v>10</v>
      </c>
      <c r="E883">
        <v>200000</v>
      </c>
      <c r="F883" t="s">
        <v>11</v>
      </c>
      <c r="G883" t="s">
        <v>454</v>
      </c>
      <c r="H883" t="s">
        <v>1568</v>
      </c>
      <c r="I883" t="s">
        <v>1532</v>
      </c>
      <c r="J883" s="5">
        <f>WEEKDAY(Table1_2[[#This Row],[Transaction date]])</f>
        <v>3</v>
      </c>
      <c r="K883"/>
    </row>
    <row r="884" spans="1:11" x14ac:dyDescent="0.45">
      <c r="A884" s="3">
        <v>39814</v>
      </c>
      <c r="B884" s="2">
        <v>9.6527777777777782E-2</v>
      </c>
      <c r="C884" t="s">
        <v>1737</v>
      </c>
      <c r="D884" t="s">
        <v>10</v>
      </c>
      <c r="E884">
        <v>60000</v>
      </c>
      <c r="F884" t="s">
        <v>16</v>
      </c>
      <c r="G884" t="s">
        <v>1569</v>
      </c>
      <c r="H884" t="s">
        <v>1570</v>
      </c>
      <c r="I884" t="s">
        <v>1532</v>
      </c>
      <c r="J884" s="5">
        <f>WEEKDAY(Table1_2[[#This Row],[Transaction date]])</f>
        <v>5</v>
      </c>
      <c r="K884"/>
    </row>
    <row r="885" spans="1:11" x14ac:dyDescent="0.45">
      <c r="A885" s="3">
        <v>39839</v>
      </c>
      <c r="B885" s="2">
        <v>0.43333333333333335</v>
      </c>
      <c r="C885" t="s">
        <v>1737</v>
      </c>
      <c r="D885" t="s">
        <v>10</v>
      </c>
      <c r="E885">
        <v>1200</v>
      </c>
      <c r="F885" t="s">
        <v>11</v>
      </c>
      <c r="G885" t="s">
        <v>387</v>
      </c>
      <c r="H885" t="s">
        <v>1549</v>
      </c>
      <c r="I885" t="s">
        <v>1532</v>
      </c>
      <c r="J885" s="5">
        <f>WEEKDAY(Table1_2[[#This Row],[Transaction date]])</f>
        <v>2</v>
      </c>
      <c r="K885"/>
    </row>
    <row r="886" spans="1:11" x14ac:dyDescent="0.45">
      <c r="A886" s="3">
        <v>39826</v>
      </c>
      <c r="B886" s="2">
        <v>0.41041666666666665</v>
      </c>
      <c r="C886" t="s">
        <v>1737</v>
      </c>
      <c r="D886" t="s">
        <v>10</v>
      </c>
      <c r="E886">
        <v>1200</v>
      </c>
      <c r="F886" t="s">
        <v>16</v>
      </c>
      <c r="G886" t="s">
        <v>1571</v>
      </c>
      <c r="H886" t="s">
        <v>1542</v>
      </c>
      <c r="I886" t="s">
        <v>1532</v>
      </c>
      <c r="J886" s="5">
        <f>WEEKDAY(Table1_2[[#This Row],[Transaction date]])</f>
        <v>3</v>
      </c>
      <c r="K886"/>
    </row>
    <row r="887" spans="1:11" x14ac:dyDescent="0.45">
      <c r="A887" s="3">
        <v>39825</v>
      </c>
      <c r="B887" s="2">
        <v>0.42083333333333334</v>
      </c>
      <c r="C887" t="s">
        <v>1737</v>
      </c>
      <c r="D887" t="s">
        <v>10</v>
      </c>
      <c r="E887">
        <v>90000</v>
      </c>
      <c r="F887" t="s">
        <v>16</v>
      </c>
      <c r="G887" t="s">
        <v>1572</v>
      </c>
      <c r="H887" t="s">
        <v>1542</v>
      </c>
      <c r="I887" t="s">
        <v>1532</v>
      </c>
      <c r="J887" s="5">
        <f>WEEKDAY(Table1_2[[#This Row],[Transaction date]])</f>
        <v>2</v>
      </c>
      <c r="K887"/>
    </row>
    <row r="888" spans="1:11" x14ac:dyDescent="0.45">
      <c r="A888" s="3">
        <v>39814</v>
      </c>
      <c r="B888" s="2">
        <v>0.30902777777777779</v>
      </c>
      <c r="C888" t="s">
        <v>1737</v>
      </c>
      <c r="D888" t="s">
        <v>10</v>
      </c>
      <c r="E888">
        <v>200000</v>
      </c>
      <c r="F888" t="s">
        <v>63</v>
      </c>
      <c r="G888" t="s">
        <v>1573</v>
      </c>
      <c r="H888" t="s">
        <v>1574</v>
      </c>
      <c r="I888" t="s">
        <v>1532</v>
      </c>
      <c r="J888" s="5">
        <f>WEEKDAY(Table1_2[[#This Row],[Transaction date]])</f>
        <v>5</v>
      </c>
      <c r="K888"/>
    </row>
    <row r="889" spans="1:11" x14ac:dyDescent="0.45">
      <c r="A889" s="3">
        <v>39838</v>
      </c>
      <c r="B889" s="2">
        <v>0.35555555555555557</v>
      </c>
      <c r="C889" t="s">
        <v>1737</v>
      </c>
      <c r="D889" t="s">
        <v>10</v>
      </c>
      <c r="E889">
        <v>60000</v>
      </c>
      <c r="F889" t="s">
        <v>11</v>
      </c>
      <c r="G889" t="s">
        <v>1575</v>
      </c>
      <c r="H889" t="s">
        <v>1576</v>
      </c>
      <c r="I889" t="s">
        <v>1532</v>
      </c>
      <c r="J889" s="5">
        <f>WEEKDAY(Table1_2[[#This Row],[Transaction date]])</f>
        <v>1</v>
      </c>
      <c r="K889"/>
    </row>
    <row r="890" spans="1:11" x14ac:dyDescent="0.45">
      <c r="A890" s="3">
        <v>39841</v>
      </c>
      <c r="B890" s="2">
        <v>0.12986111111111112</v>
      </c>
      <c r="C890" t="s">
        <v>1737</v>
      </c>
      <c r="D890" t="s">
        <v>10</v>
      </c>
      <c r="E890">
        <v>1200</v>
      </c>
      <c r="F890" t="s">
        <v>11</v>
      </c>
      <c r="G890" t="s">
        <v>50</v>
      </c>
      <c r="H890" t="s">
        <v>1577</v>
      </c>
      <c r="I890" t="s">
        <v>1532</v>
      </c>
      <c r="J890" s="5">
        <f>WEEKDAY(Table1_2[[#This Row],[Transaction date]])</f>
        <v>4</v>
      </c>
      <c r="K890"/>
    </row>
    <row r="891" spans="1:11" x14ac:dyDescent="0.45">
      <c r="A891" s="3">
        <v>39836</v>
      </c>
      <c r="B891" s="2">
        <v>0.40902777777777777</v>
      </c>
      <c r="C891" t="s">
        <v>1737</v>
      </c>
      <c r="D891" t="s">
        <v>10</v>
      </c>
      <c r="E891">
        <v>1200</v>
      </c>
      <c r="F891" t="s">
        <v>11</v>
      </c>
      <c r="G891" t="s">
        <v>1578</v>
      </c>
      <c r="H891" t="s">
        <v>1579</v>
      </c>
      <c r="I891" t="s">
        <v>1532</v>
      </c>
      <c r="J891" s="5">
        <f>WEEKDAY(Table1_2[[#This Row],[Transaction date]])</f>
        <v>6</v>
      </c>
      <c r="K891"/>
    </row>
    <row r="892" spans="1:11" x14ac:dyDescent="0.45">
      <c r="A892" s="3">
        <v>39819</v>
      </c>
      <c r="B892" s="2">
        <v>0.41319444444444442</v>
      </c>
      <c r="C892" t="s">
        <v>1737</v>
      </c>
      <c r="D892" t="s">
        <v>10</v>
      </c>
      <c r="E892">
        <v>90000</v>
      </c>
      <c r="F892" t="s">
        <v>16</v>
      </c>
      <c r="G892" t="s">
        <v>635</v>
      </c>
      <c r="H892" t="s">
        <v>1549</v>
      </c>
      <c r="I892" t="s">
        <v>1532</v>
      </c>
      <c r="J892" s="5">
        <f>WEEKDAY(Table1_2[[#This Row],[Transaction date]])</f>
        <v>3</v>
      </c>
      <c r="K892"/>
    </row>
    <row r="893" spans="1:11" x14ac:dyDescent="0.45">
      <c r="A893" s="3">
        <v>39837</v>
      </c>
      <c r="B893" s="2">
        <v>0.21249999999999999</v>
      </c>
      <c r="C893" t="s">
        <v>1737</v>
      </c>
      <c r="D893" t="s">
        <v>10</v>
      </c>
      <c r="E893">
        <v>200000</v>
      </c>
      <c r="F893" t="s">
        <v>11</v>
      </c>
      <c r="G893" t="s">
        <v>1347</v>
      </c>
      <c r="H893" t="s">
        <v>1580</v>
      </c>
      <c r="I893" t="s">
        <v>1532</v>
      </c>
      <c r="J893" s="5">
        <f>WEEKDAY(Table1_2[[#This Row],[Transaction date]])</f>
        <v>7</v>
      </c>
      <c r="K893"/>
    </row>
    <row r="894" spans="1:11" x14ac:dyDescent="0.45">
      <c r="A894" s="3">
        <v>39820</v>
      </c>
      <c r="B894" s="2">
        <v>0.33541666666666664</v>
      </c>
      <c r="C894" t="s">
        <v>1737</v>
      </c>
      <c r="D894" t="s">
        <v>10</v>
      </c>
      <c r="E894">
        <v>60000</v>
      </c>
      <c r="F894" t="s">
        <v>63</v>
      </c>
      <c r="G894" t="s">
        <v>1581</v>
      </c>
      <c r="H894" t="s">
        <v>1530</v>
      </c>
      <c r="I894" t="s">
        <v>1532</v>
      </c>
      <c r="J894" s="5">
        <f>WEEKDAY(Table1_2[[#This Row],[Transaction date]])</f>
        <v>4</v>
      </c>
      <c r="K894"/>
    </row>
    <row r="895" spans="1:11" x14ac:dyDescent="0.45">
      <c r="A895" s="3">
        <v>39817</v>
      </c>
      <c r="B895" s="2">
        <v>0.38055555555555554</v>
      </c>
      <c r="C895" t="s">
        <v>1737</v>
      </c>
      <c r="D895" t="s">
        <v>10</v>
      </c>
      <c r="E895">
        <v>1200</v>
      </c>
      <c r="F895" t="s">
        <v>16</v>
      </c>
      <c r="G895" t="s">
        <v>1582</v>
      </c>
      <c r="H895" t="s">
        <v>1542</v>
      </c>
      <c r="I895" t="s">
        <v>1532</v>
      </c>
      <c r="J895" s="5">
        <f>WEEKDAY(Table1_2[[#This Row],[Transaction date]])</f>
        <v>1</v>
      </c>
      <c r="K895"/>
    </row>
    <row r="896" spans="1:11" x14ac:dyDescent="0.45">
      <c r="A896" s="3">
        <v>39823</v>
      </c>
      <c r="B896" s="2">
        <v>0.39930555555555558</v>
      </c>
      <c r="C896" t="s">
        <v>1737</v>
      </c>
      <c r="D896" t="s">
        <v>10</v>
      </c>
      <c r="E896">
        <v>1200</v>
      </c>
      <c r="F896" t="s">
        <v>16</v>
      </c>
      <c r="G896" t="s">
        <v>1583</v>
      </c>
      <c r="H896" t="s">
        <v>1584</v>
      </c>
      <c r="I896" t="s">
        <v>1532</v>
      </c>
      <c r="J896" s="5">
        <f>WEEKDAY(Table1_2[[#This Row],[Transaction date]])</f>
        <v>7</v>
      </c>
      <c r="K896"/>
    </row>
    <row r="897" spans="1:11" x14ac:dyDescent="0.45">
      <c r="A897" s="3">
        <v>39835</v>
      </c>
      <c r="B897" s="2">
        <v>0.30138888888888887</v>
      </c>
      <c r="C897" t="s">
        <v>1737</v>
      </c>
      <c r="D897" t="s">
        <v>10</v>
      </c>
      <c r="E897">
        <v>90000</v>
      </c>
      <c r="F897" t="s">
        <v>11</v>
      </c>
      <c r="G897" t="s">
        <v>1585</v>
      </c>
      <c r="H897" t="s">
        <v>1586</v>
      </c>
      <c r="I897" t="s">
        <v>1532</v>
      </c>
      <c r="J897" s="5">
        <f>WEEKDAY(Table1_2[[#This Row],[Transaction date]])</f>
        <v>5</v>
      </c>
      <c r="K897"/>
    </row>
    <row r="898" spans="1:11" x14ac:dyDescent="0.45">
      <c r="A898" s="3">
        <v>39841</v>
      </c>
      <c r="B898" s="2">
        <v>4.3749999999999997E-2</v>
      </c>
      <c r="C898" t="s">
        <v>1737</v>
      </c>
      <c r="D898" t="s">
        <v>20</v>
      </c>
      <c r="E898">
        <v>100000</v>
      </c>
      <c r="F898" t="s">
        <v>63</v>
      </c>
      <c r="G898" t="s">
        <v>674</v>
      </c>
      <c r="H898" t="s">
        <v>1554</v>
      </c>
      <c r="I898" t="s">
        <v>1532</v>
      </c>
      <c r="J898" s="5">
        <f>WEEKDAY(Table1_2[[#This Row],[Transaction date]])</f>
        <v>4</v>
      </c>
      <c r="K898"/>
    </row>
    <row r="899" spans="1:11" x14ac:dyDescent="0.45">
      <c r="A899" s="3">
        <v>39834</v>
      </c>
      <c r="B899" s="2">
        <v>0.34583333333333333</v>
      </c>
      <c r="C899" t="s">
        <v>1737</v>
      </c>
      <c r="D899" t="s">
        <v>10</v>
      </c>
      <c r="E899">
        <v>60000</v>
      </c>
      <c r="F899" t="s">
        <v>63</v>
      </c>
      <c r="G899" t="s">
        <v>1587</v>
      </c>
      <c r="H899" t="s">
        <v>1549</v>
      </c>
      <c r="I899" t="s">
        <v>1532</v>
      </c>
      <c r="J899" s="5">
        <f>WEEKDAY(Table1_2[[#This Row],[Transaction date]])</f>
        <v>4</v>
      </c>
      <c r="K899"/>
    </row>
    <row r="900" spans="1:11" x14ac:dyDescent="0.45">
      <c r="A900" s="3">
        <v>39825</v>
      </c>
      <c r="B900" s="2">
        <v>0.4861111111111111</v>
      </c>
      <c r="C900" t="s">
        <v>1737</v>
      </c>
      <c r="D900" t="s">
        <v>20</v>
      </c>
      <c r="E900">
        <v>100000</v>
      </c>
      <c r="F900" t="s">
        <v>11</v>
      </c>
      <c r="G900" t="s">
        <v>1588</v>
      </c>
      <c r="H900" t="s">
        <v>1574</v>
      </c>
      <c r="I900" t="s">
        <v>1532</v>
      </c>
      <c r="J900" s="5">
        <f>WEEKDAY(Table1_2[[#This Row],[Transaction date]])</f>
        <v>2</v>
      </c>
      <c r="K900"/>
    </row>
    <row r="901" spans="1:11" x14ac:dyDescent="0.45">
      <c r="A901" s="3">
        <v>39827</v>
      </c>
      <c r="B901" s="2">
        <v>0.34444444444444444</v>
      </c>
      <c r="C901" t="s">
        <v>1737</v>
      </c>
      <c r="D901" t="s">
        <v>20</v>
      </c>
      <c r="E901">
        <v>100000</v>
      </c>
      <c r="F901" t="s">
        <v>63</v>
      </c>
      <c r="G901" t="s">
        <v>177</v>
      </c>
      <c r="H901" t="s">
        <v>1589</v>
      </c>
      <c r="I901" t="s">
        <v>1532</v>
      </c>
      <c r="J901" s="5">
        <f>WEEKDAY(Table1_2[[#This Row],[Transaction date]])</f>
        <v>4</v>
      </c>
      <c r="K901"/>
    </row>
    <row r="902" spans="1:11" x14ac:dyDescent="0.45">
      <c r="A902" s="3">
        <v>39821</v>
      </c>
      <c r="B902" s="2">
        <v>0.42569444444444443</v>
      </c>
      <c r="C902" t="s">
        <v>1737</v>
      </c>
      <c r="D902" t="s">
        <v>10</v>
      </c>
      <c r="E902">
        <v>1200</v>
      </c>
      <c r="F902" t="s">
        <v>63</v>
      </c>
      <c r="G902" t="s">
        <v>1590</v>
      </c>
      <c r="H902" t="s">
        <v>1591</v>
      </c>
      <c r="I902" t="s">
        <v>1532</v>
      </c>
      <c r="J902" s="5">
        <f>WEEKDAY(Table1_2[[#This Row],[Transaction date]])</f>
        <v>5</v>
      </c>
      <c r="K902"/>
    </row>
    <row r="903" spans="1:11" x14ac:dyDescent="0.45">
      <c r="A903" s="3">
        <v>39823</v>
      </c>
      <c r="B903" s="2">
        <v>7.0833333333333331E-2</v>
      </c>
      <c r="C903" t="s">
        <v>1737</v>
      </c>
      <c r="D903" t="s">
        <v>10</v>
      </c>
      <c r="E903">
        <v>1200</v>
      </c>
      <c r="F903" t="s">
        <v>11</v>
      </c>
      <c r="G903" t="s">
        <v>472</v>
      </c>
      <c r="H903" t="s">
        <v>1592</v>
      </c>
      <c r="I903" t="s">
        <v>1532</v>
      </c>
      <c r="J903" s="5">
        <f>WEEKDAY(Table1_2[[#This Row],[Transaction date]])</f>
        <v>7</v>
      </c>
      <c r="K903"/>
    </row>
    <row r="904" spans="1:11" x14ac:dyDescent="0.45">
      <c r="A904" s="3">
        <v>39815</v>
      </c>
      <c r="B904" s="2">
        <v>0.45694444444444443</v>
      </c>
      <c r="C904" t="s">
        <v>1737</v>
      </c>
      <c r="D904" t="s">
        <v>20</v>
      </c>
      <c r="E904">
        <v>100000</v>
      </c>
      <c r="F904" t="s">
        <v>11</v>
      </c>
      <c r="G904" t="s">
        <v>1593</v>
      </c>
      <c r="H904" t="s">
        <v>1574</v>
      </c>
      <c r="I904" t="s">
        <v>1532</v>
      </c>
      <c r="J904" s="5">
        <f>WEEKDAY(Table1_2[[#This Row],[Transaction date]])</f>
        <v>6</v>
      </c>
      <c r="K904"/>
    </row>
    <row r="905" spans="1:11" x14ac:dyDescent="0.45">
      <c r="A905" s="3">
        <v>39828</v>
      </c>
      <c r="B905" s="2">
        <v>0.22708333333333333</v>
      </c>
      <c r="C905" t="s">
        <v>1737</v>
      </c>
      <c r="D905" t="s">
        <v>20</v>
      </c>
      <c r="E905">
        <v>100000</v>
      </c>
      <c r="F905" t="s">
        <v>11</v>
      </c>
      <c r="G905" t="s">
        <v>1594</v>
      </c>
      <c r="H905" t="s">
        <v>1586</v>
      </c>
      <c r="I905" t="s">
        <v>1532</v>
      </c>
      <c r="J905" s="5">
        <f>WEEKDAY(Table1_2[[#This Row],[Transaction date]])</f>
        <v>5</v>
      </c>
      <c r="K905"/>
    </row>
    <row r="906" spans="1:11" x14ac:dyDescent="0.45">
      <c r="A906" s="3">
        <v>39818</v>
      </c>
      <c r="B906" s="2">
        <v>0.52847222222222223</v>
      </c>
      <c r="C906" t="s">
        <v>1738</v>
      </c>
      <c r="D906" t="s">
        <v>10</v>
      </c>
      <c r="E906">
        <v>1200</v>
      </c>
      <c r="F906" t="s">
        <v>11</v>
      </c>
      <c r="G906" t="s">
        <v>1033</v>
      </c>
      <c r="H906" t="s">
        <v>1542</v>
      </c>
      <c r="I906" t="s">
        <v>1532</v>
      </c>
      <c r="J906" s="5">
        <f>WEEKDAY(Table1_2[[#This Row],[Transaction date]])</f>
        <v>2</v>
      </c>
      <c r="K906"/>
    </row>
    <row r="907" spans="1:11" x14ac:dyDescent="0.45">
      <c r="A907" s="3">
        <v>39841</v>
      </c>
      <c r="B907" s="2">
        <v>0.53749999999999998</v>
      </c>
      <c r="C907" t="s">
        <v>1738</v>
      </c>
      <c r="D907" t="s">
        <v>20</v>
      </c>
      <c r="E907">
        <v>100000</v>
      </c>
      <c r="F907" t="s">
        <v>16</v>
      </c>
      <c r="G907" t="s">
        <v>64</v>
      </c>
      <c r="H907" t="s">
        <v>1549</v>
      </c>
      <c r="I907" t="s">
        <v>1532</v>
      </c>
      <c r="J907" s="5">
        <f>WEEKDAY(Table1_2[[#This Row],[Transaction date]])</f>
        <v>4</v>
      </c>
      <c r="K907"/>
    </row>
    <row r="908" spans="1:11" x14ac:dyDescent="0.45">
      <c r="A908" s="3">
        <v>39821</v>
      </c>
      <c r="B908" s="2">
        <v>0.53194444444444444</v>
      </c>
      <c r="C908" t="s">
        <v>1738</v>
      </c>
      <c r="D908" t="s">
        <v>10</v>
      </c>
      <c r="E908">
        <v>1200</v>
      </c>
      <c r="F908" t="s">
        <v>16</v>
      </c>
      <c r="G908" t="s">
        <v>1595</v>
      </c>
      <c r="H908" t="s">
        <v>1596</v>
      </c>
      <c r="I908" t="s">
        <v>1532</v>
      </c>
      <c r="J908" s="5">
        <f>WEEKDAY(Table1_2[[#This Row],[Transaction date]])</f>
        <v>5</v>
      </c>
      <c r="K908"/>
    </row>
    <row r="909" spans="1:11" x14ac:dyDescent="0.45">
      <c r="A909" s="3">
        <v>39824</v>
      </c>
      <c r="B909" s="2">
        <v>0.41319444444444442</v>
      </c>
      <c r="C909" t="s">
        <v>1737</v>
      </c>
      <c r="D909" t="s">
        <v>10</v>
      </c>
      <c r="E909">
        <v>1200</v>
      </c>
      <c r="F909" t="s">
        <v>11</v>
      </c>
      <c r="G909" t="s">
        <v>1597</v>
      </c>
      <c r="H909" t="s">
        <v>1598</v>
      </c>
      <c r="I909" t="s">
        <v>1532</v>
      </c>
      <c r="J909" s="5">
        <f>WEEKDAY(Table1_2[[#This Row],[Transaction date]])</f>
        <v>1</v>
      </c>
      <c r="K909"/>
    </row>
    <row r="910" spans="1:11" x14ac:dyDescent="0.45">
      <c r="A910" s="3">
        <v>39822</v>
      </c>
      <c r="B910" s="2">
        <v>0.3576388888888889</v>
      </c>
      <c r="C910" t="s">
        <v>1737</v>
      </c>
      <c r="D910" t="s">
        <v>10</v>
      </c>
      <c r="E910">
        <v>1200</v>
      </c>
      <c r="F910" t="s">
        <v>63</v>
      </c>
      <c r="G910" t="s">
        <v>1599</v>
      </c>
      <c r="H910" t="s">
        <v>1600</v>
      </c>
      <c r="I910" t="s">
        <v>1532</v>
      </c>
      <c r="J910" s="5">
        <f>WEEKDAY(Table1_2[[#This Row],[Transaction date]])</f>
        <v>6</v>
      </c>
      <c r="K910"/>
    </row>
    <row r="911" spans="1:11" x14ac:dyDescent="0.45">
      <c r="A911" s="3">
        <v>39822</v>
      </c>
      <c r="B911" s="2">
        <v>0.35069444444444442</v>
      </c>
      <c r="C911" t="s">
        <v>1737</v>
      </c>
      <c r="D911" t="s">
        <v>10</v>
      </c>
      <c r="E911">
        <v>1200</v>
      </c>
      <c r="F911" t="s">
        <v>63</v>
      </c>
      <c r="G911" t="s">
        <v>1601</v>
      </c>
      <c r="H911" t="s">
        <v>1568</v>
      </c>
      <c r="I911" t="s">
        <v>1532</v>
      </c>
      <c r="J911" s="5">
        <f>WEEKDAY(Table1_2[[#This Row],[Transaction date]])</f>
        <v>6</v>
      </c>
      <c r="K911"/>
    </row>
    <row r="912" spans="1:11" x14ac:dyDescent="0.45">
      <c r="A912" s="3">
        <v>39828</v>
      </c>
      <c r="B912" s="2">
        <v>0.41180555555555554</v>
      </c>
      <c r="C912" t="s">
        <v>1737</v>
      </c>
      <c r="D912" t="s">
        <v>10</v>
      </c>
      <c r="E912">
        <v>1200</v>
      </c>
      <c r="F912" t="s">
        <v>11</v>
      </c>
      <c r="G912" t="s">
        <v>508</v>
      </c>
      <c r="H912" t="s">
        <v>1574</v>
      </c>
      <c r="I912" t="s">
        <v>1532</v>
      </c>
      <c r="J912" s="5">
        <f>WEEKDAY(Table1_2[[#This Row],[Transaction date]])</f>
        <v>5</v>
      </c>
      <c r="K912"/>
    </row>
    <row r="913" spans="1:11" x14ac:dyDescent="0.45">
      <c r="A913" s="3">
        <v>39826</v>
      </c>
      <c r="B913" s="2">
        <v>0.49722222222222223</v>
      </c>
      <c r="C913" t="s">
        <v>1737</v>
      </c>
      <c r="D913" t="s">
        <v>10</v>
      </c>
      <c r="E913">
        <v>1200</v>
      </c>
      <c r="F913" t="s">
        <v>63</v>
      </c>
      <c r="G913" t="s">
        <v>592</v>
      </c>
      <c r="H913" t="s">
        <v>1565</v>
      </c>
      <c r="I913" t="s">
        <v>1532</v>
      </c>
      <c r="J913" s="5">
        <f>WEEKDAY(Table1_2[[#This Row],[Transaction date]])</f>
        <v>3</v>
      </c>
      <c r="K913"/>
    </row>
    <row r="914" spans="1:11" x14ac:dyDescent="0.45">
      <c r="A914" s="3">
        <v>39837</v>
      </c>
      <c r="B914" s="2">
        <v>0.37361111111111112</v>
      </c>
      <c r="C914" t="s">
        <v>1737</v>
      </c>
      <c r="D914" t="s">
        <v>10</v>
      </c>
      <c r="E914">
        <v>1200</v>
      </c>
      <c r="F914" t="s">
        <v>11</v>
      </c>
      <c r="G914" t="s">
        <v>1602</v>
      </c>
      <c r="H914" t="s">
        <v>1603</v>
      </c>
      <c r="I914" t="s">
        <v>1532</v>
      </c>
      <c r="J914" s="5">
        <f>WEEKDAY(Table1_2[[#This Row],[Transaction date]])</f>
        <v>7</v>
      </c>
      <c r="K914"/>
    </row>
    <row r="915" spans="1:11" x14ac:dyDescent="0.45">
      <c r="A915" s="3">
        <v>39817</v>
      </c>
      <c r="B915" s="2">
        <v>0.44722222222222224</v>
      </c>
      <c r="C915" t="s">
        <v>1737</v>
      </c>
      <c r="D915" t="s">
        <v>10</v>
      </c>
      <c r="E915">
        <v>1200</v>
      </c>
      <c r="F915" t="s">
        <v>63</v>
      </c>
      <c r="G915" t="s">
        <v>1604</v>
      </c>
      <c r="H915" t="s">
        <v>1605</v>
      </c>
      <c r="I915" t="s">
        <v>1532</v>
      </c>
      <c r="J915" s="5">
        <f>WEEKDAY(Table1_2[[#This Row],[Transaction date]])</f>
        <v>1</v>
      </c>
      <c r="K915"/>
    </row>
    <row r="916" spans="1:11" x14ac:dyDescent="0.45">
      <c r="A916" s="3">
        <v>39816</v>
      </c>
      <c r="B916" s="2">
        <v>0.27986111111111112</v>
      </c>
      <c r="C916" t="s">
        <v>1737</v>
      </c>
      <c r="D916" t="s">
        <v>10</v>
      </c>
      <c r="E916">
        <v>1200</v>
      </c>
      <c r="F916" t="s">
        <v>11</v>
      </c>
      <c r="G916" t="s">
        <v>84</v>
      </c>
      <c r="H916" t="s">
        <v>1606</v>
      </c>
      <c r="I916" t="s">
        <v>1532</v>
      </c>
      <c r="J916" s="5">
        <f>WEEKDAY(Table1_2[[#This Row],[Transaction date]])</f>
        <v>7</v>
      </c>
      <c r="K916"/>
    </row>
    <row r="917" spans="1:11" x14ac:dyDescent="0.45">
      <c r="A917" s="3">
        <v>39821</v>
      </c>
      <c r="B917" s="2">
        <v>0.44722222222222224</v>
      </c>
      <c r="C917" t="s">
        <v>1737</v>
      </c>
      <c r="D917" t="s">
        <v>10</v>
      </c>
      <c r="E917">
        <v>1200</v>
      </c>
      <c r="F917" t="s">
        <v>11</v>
      </c>
      <c r="G917" t="s">
        <v>667</v>
      </c>
      <c r="H917" t="s">
        <v>1607</v>
      </c>
      <c r="I917" t="s">
        <v>1532</v>
      </c>
      <c r="J917" s="5">
        <f>WEEKDAY(Table1_2[[#This Row],[Transaction date]])</f>
        <v>5</v>
      </c>
      <c r="K917"/>
    </row>
    <row r="918" spans="1:11" x14ac:dyDescent="0.45">
      <c r="A918" s="3">
        <v>39837</v>
      </c>
      <c r="B918" s="2">
        <v>0.53888888888888886</v>
      </c>
      <c r="C918" t="s">
        <v>1738</v>
      </c>
      <c r="D918" t="s">
        <v>10</v>
      </c>
      <c r="E918">
        <v>1200</v>
      </c>
      <c r="F918" t="s">
        <v>11</v>
      </c>
      <c r="G918" t="s">
        <v>1608</v>
      </c>
      <c r="H918" t="s">
        <v>1609</v>
      </c>
      <c r="I918" t="s">
        <v>1532</v>
      </c>
      <c r="J918" s="5">
        <f>WEEKDAY(Table1_2[[#This Row],[Transaction date]])</f>
        <v>7</v>
      </c>
      <c r="K918"/>
    </row>
    <row r="919" spans="1:11" x14ac:dyDescent="0.45">
      <c r="A919" s="3">
        <v>39818</v>
      </c>
      <c r="B919" s="2">
        <v>0.38541666666666669</v>
      </c>
      <c r="C919" t="s">
        <v>1737</v>
      </c>
      <c r="D919" t="s">
        <v>10</v>
      </c>
      <c r="E919">
        <v>1200</v>
      </c>
      <c r="F919" t="s">
        <v>11</v>
      </c>
      <c r="G919" t="s">
        <v>1610</v>
      </c>
      <c r="H919" t="s">
        <v>1611</v>
      </c>
      <c r="I919" t="s">
        <v>1532</v>
      </c>
      <c r="J919" s="5">
        <f>WEEKDAY(Table1_2[[#This Row],[Transaction date]])</f>
        <v>2</v>
      </c>
      <c r="K919"/>
    </row>
    <row r="920" spans="1:11" x14ac:dyDescent="0.45">
      <c r="A920" s="3">
        <v>39839</v>
      </c>
      <c r="B920" s="2">
        <v>0.43472222222222223</v>
      </c>
      <c r="C920" t="s">
        <v>1737</v>
      </c>
      <c r="D920" t="s">
        <v>10</v>
      </c>
      <c r="E920">
        <v>1200</v>
      </c>
      <c r="F920" t="s">
        <v>11</v>
      </c>
      <c r="G920" t="s">
        <v>1612</v>
      </c>
      <c r="H920" t="s">
        <v>1542</v>
      </c>
      <c r="I920" t="s">
        <v>1532</v>
      </c>
      <c r="J920" s="5">
        <f>WEEKDAY(Table1_2[[#This Row],[Transaction date]])</f>
        <v>2</v>
      </c>
      <c r="K920"/>
    </row>
    <row r="921" spans="1:11" x14ac:dyDescent="0.45">
      <c r="A921" s="3">
        <v>39841</v>
      </c>
      <c r="B921" s="2">
        <v>0.30972222222222223</v>
      </c>
      <c r="C921" t="s">
        <v>1737</v>
      </c>
      <c r="D921" t="s">
        <v>10</v>
      </c>
      <c r="E921">
        <v>1200</v>
      </c>
      <c r="F921" t="s">
        <v>11</v>
      </c>
      <c r="G921" t="s">
        <v>1613</v>
      </c>
      <c r="H921" t="s">
        <v>1614</v>
      </c>
      <c r="I921" t="s">
        <v>1532</v>
      </c>
      <c r="J921" s="5">
        <f>WEEKDAY(Table1_2[[#This Row],[Transaction date]])</f>
        <v>4</v>
      </c>
      <c r="K921"/>
    </row>
    <row r="922" spans="1:11" x14ac:dyDescent="0.45">
      <c r="A922" s="3">
        <v>39833</v>
      </c>
      <c r="B922" s="2">
        <v>0.37361111111111112</v>
      </c>
      <c r="C922" t="s">
        <v>1737</v>
      </c>
      <c r="D922" t="s">
        <v>10</v>
      </c>
      <c r="E922">
        <v>1200</v>
      </c>
      <c r="F922" t="s">
        <v>11</v>
      </c>
      <c r="G922" t="s">
        <v>1446</v>
      </c>
      <c r="H922" t="s">
        <v>1600</v>
      </c>
      <c r="I922" t="s">
        <v>1532</v>
      </c>
      <c r="J922" s="5">
        <f>WEEKDAY(Table1_2[[#This Row],[Transaction date]])</f>
        <v>3</v>
      </c>
      <c r="K922"/>
    </row>
    <row r="923" spans="1:11" x14ac:dyDescent="0.45">
      <c r="A923" s="3">
        <v>39830</v>
      </c>
      <c r="B923" s="2">
        <v>0.42638888888888887</v>
      </c>
      <c r="C923" t="s">
        <v>1737</v>
      </c>
      <c r="D923" t="s">
        <v>10</v>
      </c>
      <c r="E923">
        <v>1200</v>
      </c>
      <c r="F923" t="s">
        <v>16</v>
      </c>
      <c r="G923" t="s">
        <v>81</v>
      </c>
      <c r="H923" t="s">
        <v>1615</v>
      </c>
      <c r="I923" t="s">
        <v>1532</v>
      </c>
      <c r="J923" s="5">
        <f>WEEKDAY(Table1_2[[#This Row],[Transaction date]])</f>
        <v>7</v>
      </c>
      <c r="K923"/>
    </row>
    <row r="924" spans="1:11" x14ac:dyDescent="0.45">
      <c r="A924" s="3">
        <v>39844</v>
      </c>
      <c r="B924" s="2">
        <v>5.9722222222222225E-2</v>
      </c>
      <c r="C924" t="s">
        <v>1737</v>
      </c>
      <c r="D924" t="s">
        <v>10</v>
      </c>
      <c r="E924">
        <v>1200</v>
      </c>
      <c r="F924" t="s">
        <v>11</v>
      </c>
      <c r="G924" t="s">
        <v>1616</v>
      </c>
      <c r="H924" t="s">
        <v>1319</v>
      </c>
      <c r="I924" t="s">
        <v>1532</v>
      </c>
      <c r="J924" s="5">
        <f>WEEKDAY(Table1_2[[#This Row],[Transaction date]])</f>
        <v>7</v>
      </c>
      <c r="K924"/>
    </row>
    <row r="925" spans="1:11" x14ac:dyDescent="0.45">
      <c r="A925" s="3">
        <v>39838</v>
      </c>
      <c r="B925" s="2">
        <v>0.17222222222222222</v>
      </c>
      <c r="C925" t="s">
        <v>1737</v>
      </c>
      <c r="D925" t="s">
        <v>10</v>
      </c>
      <c r="E925">
        <v>1200</v>
      </c>
      <c r="F925" t="s">
        <v>63</v>
      </c>
      <c r="G925" t="s">
        <v>260</v>
      </c>
      <c r="H925" t="s">
        <v>1549</v>
      </c>
      <c r="I925" t="s">
        <v>1532</v>
      </c>
      <c r="J925" s="5">
        <f>WEEKDAY(Table1_2[[#This Row],[Transaction date]])</f>
        <v>1</v>
      </c>
      <c r="K925"/>
    </row>
    <row r="926" spans="1:11" x14ac:dyDescent="0.45">
      <c r="A926" s="3">
        <v>39817</v>
      </c>
      <c r="B926" s="2">
        <v>0.42916666666666664</v>
      </c>
      <c r="C926" t="s">
        <v>1737</v>
      </c>
      <c r="D926" t="s">
        <v>20</v>
      </c>
      <c r="E926">
        <v>100000</v>
      </c>
      <c r="F926" t="s">
        <v>16</v>
      </c>
      <c r="G926" t="s">
        <v>1617</v>
      </c>
      <c r="H926" t="s">
        <v>1618</v>
      </c>
      <c r="I926" t="s">
        <v>1532</v>
      </c>
      <c r="J926" s="5">
        <f>WEEKDAY(Table1_2[[#This Row],[Transaction date]])</f>
        <v>1</v>
      </c>
      <c r="K926"/>
    </row>
    <row r="927" spans="1:11" x14ac:dyDescent="0.45">
      <c r="A927" s="3">
        <v>39842</v>
      </c>
      <c r="B927" s="2">
        <v>0.40277777777777779</v>
      </c>
      <c r="C927" t="s">
        <v>1737</v>
      </c>
      <c r="D927" t="s">
        <v>10</v>
      </c>
      <c r="E927">
        <v>1200</v>
      </c>
      <c r="F927" t="s">
        <v>11</v>
      </c>
      <c r="G927" t="s">
        <v>1619</v>
      </c>
      <c r="H927" t="s">
        <v>1549</v>
      </c>
      <c r="I927" t="s">
        <v>1532</v>
      </c>
      <c r="J927" s="5">
        <f>WEEKDAY(Table1_2[[#This Row],[Transaction date]])</f>
        <v>5</v>
      </c>
      <c r="K927"/>
    </row>
    <row r="928" spans="1:11" x14ac:dyDescent="0.45">
      <c r="A928" s="3">
        <v>39820</v>
      </c>
      <c r="B928" s="2">
        <v>0.30416666666666664</v>
      </c>
      <c r="C928" t="s">
        <v>1737</v>
      </c>
      <c r="D928" t="s">
        <v>10</v>
      </c>
      <c r="E928">
        <v>1200</v>
      </c>
      <c r="F928" t="s">
        <v>16</v>
      </c>
      <c r="G928" t="s">
        <v>1620</v>
      </c>
      <c r="H928" t="s">
        <v>1530</v>
      </c>
      <c r="I928" t="s">
        <v>1532</v>
      </c>
      <c r="J928" s="5">
        <f>WEEKDAY(Table1_2[[#This Row],[Transaction date]])</f>
        <v>4</v>
      </c>
      <c r="K928"/>
    </row>
    <row r="929" spans="1:11" x14ac:dyDescent="0.45">
      <c r="A929" s="3">
        <v>39819</v>
      </c>
      <c r="B929" s="2">
        <v>0.36041666666666666</v>
      </c>
      <c r="C929" t="s">
        <v>1737</v>
      </c>
      <c r="D929" t="s">
        <v>20</v>
      </c>
      <c r="E929">
        <v>3600</v>
      </c>
      <c r="F929" t="s">
        <v>16</v>
      </c>
      <c r="G929" t="s">
        <v>82</v>
      </c>
      <c r="H929" t="s">
        <v>1621</v>
      </c>
      <c r="I929" t="s">
        <v>1532</v>
      </c>
      <c r="J929" s="5">
        <f>WEEKDAY(Table1_2[[#This Row],[Transaction date]])</f>
        <v>3</v>
      </c>
      <c r="K929"/>
    </row>
    <row r="930" spans="1:11" x14ac:dyDescent="0.45">
      <c r="A930" s="3">
        <v>39833</v>
      </c>
      <c r="B930" s="2">
        <v>0.22430555555555556</v>
      </c>
      <c r="C930" t="s">
        <v>1737</v>
      </c>
      <c r="D930" t="s">
        <v>20</v>
      </c>
      <c r="E930">
        <v>200000</v>
      </c>
      <c r="F930" t="s">
        <v>11</v>
      </c>
      <c r="G930" t="s">
        <v>626</v>
      </c>
      <c r="H930" t="s">
        <v>1574</v>
      </c>
      <c r="I930" t="s">
        <v>1532</v>
      </c>
      <c r="J930" s="5">
        <f>WEEKDAY(Table1_2[[#This Row],[Transaction date]])</f>
        <v>3</v>
      </c>
      <c r="K930"/>
    </row>
    <row r="931" spans="1:11" x14ac:dyDescent="0.45">
      <c r="A931" s="3">
        <v>39815</v>
      </c>
      <c r="B931" s="2">
        <v>0.43888888888888888</v>
      </c>
      <c r="C931" t="s">
        <v>1737</v>
      </c>
      <c r="D931" t="s">
        <v>10</v>
      </c>
      <c r="E931">
        <v>1200</v>
      </c>
      <c r="F931" t="s">
        <v>16</v>
      </c>
      <c r="G931" t="s">
        <v>1622</v>
      </c>
      <c r="H931" t="s">
        <v>1600</v>
      </c>
      <c r="I931" t="s">
        <v>1532</v>
      </c>
      <c r="J931" s="5">
        <f>WEEKDAY(Table1_2[[#This Row],[Transaction date]])</f>
        <v>6</v>
      </c>
      <c r="K931"/>
    </row>
    <row r="932" spans="1:11" x14ac:dyDescent="0.45">
      <c r="A932" s="3">
        <v>39821</v>
      </c>
      <c r="B932" s="2">
        <v>0.50208333333333333</v>
      </c>
      <c r="C932" t="s">
        <v>1738</v>
      </c>
      <c r="D932" t="s">
        <v>10</v>
      </c>
      <c r="E932">
        <v>1200</v>
      </c>
      <c r="F932" t="s">
        <v>63</v>
      </c>
      <c r="G932" t="s">
        <v>234</v>
      </c>
      <c r="H932" t="s">
        <v>1542</v>
      </c>
      <c r="I932" t="s">
        <v>1532</v>
      </c>
      <c r="J932" s="5">
        <f>WEEKDAY(Table1_2[[#This Row],[Transaction date]])</f>
        <v>5</v>
      </c>
      <c r="K932"/>
    </row>
    <row r="933" spans="1:11" x14ac:dyDescent="0.45">
      <c r="A933" s="3">
        <v>39820</v>
      </c>
      <c r="B933" s="2">
        <v>5.9722222222222225E-2</v>
      </c>
      <c r="C933" t="s">
        <v>1737</v>
      </c>
      <c r="D933" t="s">
        <v>10</v>
      </c>
      <c r="E933">
        <v>1200</v>
      </c>
      <c r="F933" t="s">
        <v>11</v>
      </c>
      <c r="G933" t="s">
        <v>419</v>
      </c>
      <c r="H933" t="s">
        <v>550</v>
      </c>
      <c r="I933" t="s">
        <v>1532</v>
      </c>
      <c r="J933" s="5">
        <f>WEEKDAY(Table1_2[[#This Row],[Transaction date]])</f>
        <v>4</v>
      </c>
      <c r="K933"/>
    </row>
    <row r="934" spans="1:11" x14ac:dyDescent="0.45">
      <c r="A934" s="3">
        <v>39835</v>
      </c>
      <c r="B934" s="2">
        <v>0.16597222222222222</v>
      </c>
      <c r="C934" t="s">
        <v>1737</v>
      </c>
      <c r="D934" t="s">
        <v>20</v>
      </c>
      <c r="E934">
        <v>200000</v>
      </c>
      <c r="F934" t="s">
        <v>11</v>
      </c>
      <c r="G934" t="s">
        <v>50</v>
      </c>
      <c r="H934" t="s">
        <v>1530</v>
      </c>
      <c r="I934" t="s">
        <v>1532</v>
      </c>
      <c r="J934" s="5">
        <f>WEEKDAY(Table1_2[[#This Row],[Transaction date]])</f>
        <v>5</v>
      </c>
      <c r="K934"/>
    </row>
    <row r="935" spans="1:11" x14ac:dyDescent="0.45">
      <c r="A935" s="3">
        <v>39826</v>
      </c>
      <c r="B935" s="2">
        <v>5.486111111111111E-2</v>
      </c>
      <c r="C935" t="s">
        <v>1737</v>
      </c>
      <c r="D935" t="s">
        <v>20</v>
      </c>
      <c r="E935">
        <v>200000</v>
      </c>
      <c r="F935" t="s">
        <v>16</v>
      </c>
      <c r="G935" t="s">
        <v>385</v>
      </c>
      <c r="H935" t="s">
        <v>1574</v>
      </c>
      <c r="I935" t="s">
        <v>1532</v>
      </c>
      <c r="J935" s="5">
        <f>WEEKDAY(Table1_2[[#This Row],[Transaction date]])</f>
        <v>3</v>
      </c>
      <c r="K935"/>
    </row>
    <row r="936" spans="1:11" x14ac:dyDescent="0.45">
      <c r="A936" s="3">
        <v>39843</v>
      </c>
      <c r="B936" s="2">
        <v>0.37361111111111112</v>
      </c>
      <c r="C936" t="s">
        <v>1737</v>
      </c>
      <c r="D936" t="s">
        <v>20</v>
      </c>
      <c r="E936">
        <v>200000</v>
      </c>
      <c r="F936" t="s">
        <v>16</v>
      </c>
      <c r="G936" t="s">
        <v>1623</v>
      </c>
      <c r="H936" t="s">
        <v>1624</v>
      </c>
      <c r="I936" t="s">
        <v>1532</v>
      </c>
      <c r="J936" s="5">
        <f>WEEKDAY(Table1_2[[#This Row],[Transaction date]])</f>
        <v>6</v>
      </c>
      <c r="K936"/>
    </row>
    <row r="937" spans="1:11" x14ac:dyDescent="0.45">
      <c r="A937" s="3">
        <v>39833</v>
      </c>
      <c r="B937" s="2">
        <v>0.4201388888888889</v>
      </c>
      <c r="C937" t="s">
        <v>1737</v>
      </c>
      <c r="D937" t="s">
        <v>20</v>
      </c>
      <c r="E937">
        <v>200000</v>
      </c>
      <c r="F937" t="s">
        <v>11</v>
      </c>
      <c r="G937" t="s">
        <v>1626</v>
      </c>
      <c r="H937" t="s">
        <v>1542</v>
      </c>
      <c r="I937" t="s">
        <v>1532</v>
      </c>
      <c r="J937" s="5">
        <f>WEEKDAY(Table1_2[[#This Row],[Transaction date]])</f>
        <v>3</v>
      </c>
      <c r="K937"/>
    </row>
    <row r="938" spans="1:11" x14ac:dyDescent="0.45">
      <c r="A938" s="3">
        <v>39832</v>
      </c>
      <c r="B938" s="2">
        <v>0.13819444444444445</v>
      </c>
      <c r="C938" t="s">
        <v>1737</v>
      </c>
      <c r="D938" t="s">
        <v>10</v>
      </c>
      <c r="E938">
        <v>1200</v>
      </c>
      <c r="F938" t="s">
        <v>16</v>
      </c>
      <c r="G938" t="s">
        <v>1627</v>
      </c>
      <c r="H938" t="s">
        <v>1628</v>
      </c>
      <c r="I938" t="s">
        <v>1630</v>
      </c>
      <c r="J938" s="5">
        <f>WEEKDAY(Table1_2[[#This Row],[Transaction date]])</f>
        <v>2</v>
      </c>
      <c r="K938"/>
    </row>
    <row r="939" spans="1:11" x14ac:dyDescent="0.45">
      <c r="A939" s="3">
        <v>39830</v>
      </c>
      <c r="B939" s="2">
        <v>0.46458333333333335</v>
      </c>
      <c r="C939" t="s">
        <v>1737</v>
      </c>
      <c r="D939" t="s">
        <v>10</v>
      </c>
      <c r="E939">
        <v>1200</v>
      </c>
      <c r="F939" t="s">
        <v>16</v>
      </c>
      <c r="G939" t="s">
        <v>1631</v>
      </c>
      <c r="H939" t="s">
        <v>1632</v>
      </c>
      <c r="I939" t="s">
        <v>1634</v>
      </c>
      <c r="J939" s="5">
        <f>WEEKDAY(Table1_2[[#This Row],[Transaction date]])</f>
        <v>7</v>
      </c>
      <c r="K939"/>
    </row>
    <row r="940" spans="1:11" x14ac:dyDescent="0.45">
      <c r="A940" s="3">
        <v>39827</v>
      </c>
      <c r="B940" s="2">
        <v>0.43888888888888888</v>
      </c>
      <c r="C940" t="s">
        <v>1737</v>
      </c>
      <c r="D940" t="s">
        <v>230</v>
      </c>
      <c r="E940">
        <v>200000</v>
      </c>
      <c r="F940" t="s">
        <v>16</v>
      </c>
      <c r="G940" t="s">
        <v>1220</v>
      </c>
      <c r="H940" t="s">
        <v>1635</v>
      </c>
      <c r="I940" t="s">
        <v>1634</v>
      </c>
      <c r="J940" s="5">
        <f>WEEKDAY(Table1_2[[#This Row],[Transaction date]])</f>
        <v>4</v>
      </c>
      <c r="K940"/>
    </row>
    <row r="941" spans="1:11" x14ac:dyDescent="0.45">
      <c r="A941" s="3">
        <v>39837</v>
      </c>
      <c r="B941" s="2">
        <v>0.43472222222222223</v>
      </c>
      <c r="C941" t="s">
        <v>1737</v>
      </c>
      <c r="D941" t="s">
        <v>10</v>
      </c>
      <c r="E941">
        <v>1200</v>
      </c>
      <c r="F941" t="s">
        <v>11</v>
      </c>
      <c r="G941" t="s">
        <v>1608</v>
      </c>
      <c r="H941" t="s">
        <v>1637</v>
      </c>
      <c r="I941" t="s">
        <v>1634</v>
      </c>
      <c r="J941" s="5">
        <f>WEEKDAY(Table1_2[[#This Row],[Transaction date]])</f>
        <v>7</v>
      </c>
      <c r="K941"/>
    </row>
    <row r="942" spans="1:11" x14ac:dyDescent="0.45">
      <c r="A942" s="3">
        <v>39838</v>
      </c>
      <c r="B942" s="2">
        <v>0.32222222222222224</v>
      </c>
      <c r="C942" t="s">
        <v>1737</v>
      </c>
      <c r="D942" t="s">
        <v>10</v>
      </c>
      <c r="E942">
        <v>1200</v>
      </c>
      <c r="F942" t="s">
        <v>16</v>
      </c>
      <c r="G942" t="s">
        <v>1639</v>
      </c>
      <c r="H942" t="s">
        <v>1640</v>
      </c>
      <c r="I942" t="s">
        <v>1634</v>
      </c>
      <c r="J942" s="5">
        <f>WEEKDAY(Table1_2[[#This Row],[Transaction date]])</f>
        <v>1</v>
      </c>
      <c r="K942"/>
    </row>
    <row r="943" spans="1:11" x14ac:dyDescent="0.45">
      <c r="A943" s="3">
        <v>39831</v>
      </c>
      <c r="B943" s="2">
        <v>0.24652777777777779</v>
      </c>
      <c r="C943" t="s">
        <v>1737</v>
      </c>
      <c r="D943" t="s">
        <v>10</v>
      </c>
      <c r="E943">
        <v>1200</v>
      </c>
      <c r="F943" t="s">
        <v>63</v>
      </c>
      <c r="G943" t="s">
        <v>1642</v>
      </c>
      <c r="H943" t="s">
        <v>1643</v>
      </c>
      <c r="I943" t="s">
        <v>1634</v>
      </c>
      <c r="J943" s="5">
        <f>WEEKDAY(Table1_2[[#This Row],[Transaction date]])</f>
        <v>1</v>
      </c>
      <c r="K943"/>
    </row>
    <row r="944" spans="1:11" x14ac:dyDescent="0.45">
      <c r="A944" s="3">
        <v>39836</v>
      </c>
      <c r="B944" s="2">
        <v>0.30069444444444443</v>
      </c>
      <c r="C944" t="s">
        <v>1737</v>
      </c>
      <c r="D944" t="s">
        <v>10</v>
      </c>
      <c r="E944">
        <v>1200</v>
      </c>
      <c r="F944" t="s">
        <v>11</v>
      </c>
      <c r="G944" t="s">
        <v>674</v>
      </c>
      <c r="H944" t="s">
        <v>1592</v>
      </c>
      <c r="I944" t="s">
        <v>1645</v>
      </c>
      <c r="J944" s="5">
        <f>WEEKDAY(Table1_2[[#This Row],[Transaction date]])</f>
        <v>6</v>
      </c>
      <c r="K944"/>
    </row>
    <row r="945" spans="1:11" x14ac:dyDescent="0.45">
      <c r="A945" s="3">
        <v>39824</v>
      </c>
      <c r="B945" s="2">
        <v>9.5138888888888884E-2</v>
      </c>
      <c r="C945" t="s">
        <v>1737</v>
      </c>
      <c r="D945" t="s">
        <v>10</v>
      </c>
      <c r="E945">
        <v>1200</v>
      </c>
      <c r="F945" t="s">
        <v>11</v>
      </c>
      <c r="G945" t="s">
        <v>540</v>
      </c>
      <c r="H945" t="s">
        <v>1646</v>
      </c>
      <c r="I945" t="s">
        <v>1648</v>
      </c>
      <c r="J945" s="5">
        <f>WEEKDAY(Table1_2[[#This Row],[Transaction date]])</f>
        <v>1</v>
      </c>
      <c r="K945"/>
    </row>
    <row r="946" spans="1:11" x14ac:dyDescent="0.45">
      <c r="A946" s="3">
        <v>39820</v>
      </c>
      <c r="B946" s="2">
        <v>0.30486111111111114</v>
      </c>
      <c r="C946" t="s">
        <v>1737</v>
      </c>
      <c r="D946" t="s">
        <v>10</v>
      </c>
      <c r="E946">
        <v>1200</v>
      </c>
      <c r="F946" t="s">
        <v>63</v>
      </c>
      <c r="G946" t="s">
        <v>1649</v>
      </c>
      <c r="H946" t="s">
        <v>1650</v>
      </c>
      <c r="I946" t="s">
        <v>1648</v>
      </c>
      <c r="J946" s="5">
        <f>WEEKDAY(Table1_2[[#This Row],[Transaction date]])</f>
        <v>4</v>
      </c>
      <c r="K946"/>
    </row>
    <row r="947" spans="1:11" x14ac:dyDescent="0.45">
      <c r="A947" s="3">
        <v>39843</v>
      </c>
      <c r="B947" s="2">
        <v>0.21736111111111112</v>
      </c>
      <c r="C947" t="s">
        <v>1737</v>
      </c>
      <c r="D947" t="s">
        <v>10</v>
      </c>
      <c r="E947">
        <v>1200</v>
      </c>
      <c r="F947" t="s">
        <v>11</v>
      </c>
      <c r="G947" t="s">
        <v>1651</v>
      </c>
      <c r="H947" t="s">
        <v>1652</v>
      </c>
      <c r="I947" t="s">
        <v>1648</v>
      </c>
      <c r="J947" s="5">
        <f>WEEKDAY(Table1_2[[#This Row],[Transaction date]])</f>
        <v>6</v>
      </c>
      <c r="K947"/>
    </row>
    <row r="948" spans="1:11" x14ac:dyDescent="0.45">
      <c r="A948" s="3">
        <v>39839</v>
      </c>
      <c r="B948" s="2">
        <v>7.2222222222222215E-2</v>
      </c>
      <c r="C948" t="s">
        <v>1737</v>
      </c>
      <c r="D948" t="s">
        <v>20</v>
      </c>
      <c r="E948">
        <v>200000</v>
      </c>
      <c r="F948" t="s">
        <v>11</v>
      </c>
      <c r="G948" t="s">
        <v>1653</v>
      </c>
      <c r="H948" t="s">
        <v>1646</v>
      </c>
      <c r="I948" t="s">
        <v>1648</v>
      </c>
      <c r="J948" s="5">
        <f>WEEKDAY(Table1_2[[#This Row],[Transaction date]])</f>
        <v>2</v>
      </c>
      <c r="K948"/>
    </row>
    <row r="949" spans="1:11" x14ac:dyDescent="0.45">
      <c r="A949" s="3">
        <v>39837</v>
      </c>
      <c r="B949" s="2">
        <v>0.49583333333333335</v>
      </c>
      <c r="C949" t="s">
        <v>1737</v>
      </c>
      <c r="D949" t="s">
        <v>10</v>
      </c>
      <c r="E949">
        <v>1200</v>
      </c>
      <c r="F949" t="s">
        <v>11</v>
      </c>
      <c r="G949" t="s">
        <v>1654</v>
      </c>
      <c r="H949" t="s">
        <v>1650</v>
      </c>
      <c r="I949" t="s">
        <v>1648</v>
      </c>
      <c r="J949" s="5">
        <f>WEEKDAY(Table1_2[[#This Row],[Transaction date]])</f>
        <v>7</v>
      </c>
      <c r="K949"/>
    </row>
    <row r="950" spans="1:11" x14ac:dyDescent="0.45">
      <c r="A950" s="3">
        <v>39832</v>
      </c>
      <c r="B950" s="2">
        <v>0.28472222222222221</v>
      </c>
      <c r="C950" t="s">
        <v>1737</v>
      </c>
      <c r="D950" t="s">
        <v>10</v>
      </c>
      <c r="E950">
        <v>1200</v>
      </c>
      <c r="F950" t="s">
        <v>63</v>
      </c>
      <c r="G950" t="s">
        <v>533</v>
      </c>
      <c r="H950" t="s">
        <v>1650</v>
      </c>
      <c r="I950" t="s">
        <v>1648</v>
      </c>
      <c r="J950" s="5">
        <f>WEEKDAY(Table1_2[[#This Row],[Transaction date]])</f>
        <v>2</v>
      </c>
      <c r="K950"/>
    </row>
    <row r="951" spans="1:11" x14ac:dyDescent="0.45">
      <c r="A951" s="3">
        <v>39819</v>
      </c>
      <c r="B951" s="2">
        <v>8.8888888888888892E-2</v>
      </c>
      <c r="C951" t="s">
        <v>1737</v>
      </c>
      <c r="D951" t="s">
        <v>10</v>
      </c>
      <c r="E951">
        <v>1200</v>
      </c>
      <c r="F951" t="s">
        <v>16</v>
      </c>
      <c r="G951" t="s">
        <v>454</v>
      </c>
      <c r="H951" t="s">
        <v>1646</v>
      </c>
      <c r="I951" t="s">
        <v>1648</v>
      </c>
      <c r="J951" s="5">
        <f>WEEKDAY(Table1_2[[#This Row],[Transaction date]])</f>
        <v>3</v>
      </c>
      <c r="K951"/>
    </row>
    <row r="952" spans="1:11" x14ac:dyDescent="0.45">
      <c r="A952" s="3">
        <v>39819</v>
      </c>
      <c r="B952" s="2">
        <v>0.27152777777777776</v>
      </c>
      <c r="C952" t="s">
        <v>1737</v>
      </c>
      <c r="D952" t="s">
        <v>10</v>
      </c>
      <c r="E952">
        <v>1200</v>
      </c>
      <c r="F952" t="s">
        <v>11</v>
      </c>
      <c r="G952" t="s">
        <v>1655</v>
      </c>
      <c r="H952" t="s">
        <v>1656</v>
      </c>
      <c r="I952" t="s">
        <v>1648</v>
      </c>
      <c r="J952" s="5">
        <f>WEEKDAY(Table1_2[[#This Row],[Transaction date]])</f>
        <v>3</v>
      </c>
      <c r="K952"/>
    </row>
    <row r="953" spans="1:11" x14ac:dyDescent="0.45">
      <c r="A953" s="3">
        <v>39825</v>
      </c>
      <c r="B953" s="2">
        <v>0.27777777777777779</v>
      </c>
      <c r="C953" t="s">
        <v>1737</v>
      </c>
      <c r="D953" t="s">
        <v>10</v>
      </c>
      <c r="E953">
        <v>1200</v>
      </c>
      <c r="F953" t="s">
        <v>11</v>
      </c>
      <c r="G953" t="s">
        <v>1658</v>
      </c>
      <c r="H953" t="s">
        <v>1659</v>
      </c>
      <c r="I953" t="s">
        <v>1661</v>
      </c>
      <c r="J953" s="5">
        <f>WEEKDAY(Table1_2[[#This Row],[Transaction date]])</f>
        <v>2</v>
      </c>
      <c r="K953"/>
    </row>
    <row r="954" spans="1:11" x14ac:dyDescent="0.45">
      <c r="A954" s="3">
        <v>39829</v>
      </c>
      <c r="B954" s="2">
        <v>7.7083333333333337E-2</v>
      </c>
      <c r="C954" t="s">
        <v>1737</v>
      </c>
      <c r="D954" t="s">
        <v>10</v>
      </c>
      <c r="E954">
        <v>1200</v>
      </c>
      <c r="F954" t="s">
        <v>11</v>
      </c>
      <c r="G954" t="s">
        <v>88</v>
      </c>
      <c r="H954" t="s">
        <v>222</v>
      </c>
      <c r="I954" t="s">
        <v>1662</v>
      </c>
      <c r="J954" s="5">
        <f>WEEKDAY(Table1_2[[#This Row],[Transaction date]])</f>
        <v>6</v>
      </c>
      <c r="K954"/>
    </row>
    <row r="955" spans="1:11" x14ac:dyDescent="0.45">
      <c r="A955" s="3">
        <v>39837</v>
      </c>
      <c r="B955" s="2">
        <v>0.34791666666666665</v>
      </c>
      <c r="C955" t="s">
        <v>1737</v>
      </c>
      <c r="D955" t="s">
        <v>10</v>
      </c>
      <c r="E955">
        <v>1200</v>
      </c>
      <c r="F955" t="s">
        <v>16</v>
      </c>
      <c r="G955" t="s">
        <v>1663</v>
      </c>
      <c r="H955" t="s">
        <v>1664</v>
      </c>
      <c r="I955" t="s">
        <v>1662</v>
      </c>
      <c r="J955" s="5">
        <f>WEEKDAY(Table1_2[[#This Row],[Transaction date]])</f>
        <v>7</v>
      </c>
      <c r="K955"/>
    </row>
    <row r="956" spans="1:11" x14ac:dyDescent="0.45">
      <c r="A956" s="3">
        <v>39837</v>
      </c>
      <c r="B956" s="2">
        <v>0.35069444444444442</v>
      </c>
      <c r="C956" t="s">
        <v>1737</v>
      </c>
      <c r="D956" t="s">
        <v>10</v>
      </c>
      <c r="E956">
        <v>1200</v>
      </c>
      <c r="F956" t="s">
        <v>16</v>
      </c>
      <c r="G956" t="s">
        <v>1665</v>
      </c>
      <c r="H956" t="s">
        <v>1664</v>
      </c>
      <c r="I956" t="s">
        <v>1662</v>
      </c>
      <c r="J956" s="5">
        <f>WEEKDAY(Table1_2[[#This Row],[Transaction date]])</f>
        <v>7</v>
      </c>
      <c r="K956"/>
    </row>
    <row r="957" spans="1:11" x14ac:dyDescent="0.45">
      <c r="A957" s="3">
        <v>39819</v>
      </c>
      <c r="B957" s="2">
        <v>0.21527777777777779</v>
      </c>
      <c r="C957" t="s">
        <v>1737</v>
      </c>
      <c r="D957" t="s">
        <v>10</v>
      </c>
      <c r="E957">
        <v>1200</v>
      </c>
      <c r="F957" t="s">
        <v>11</v>
      </c>
      <c r="G957" t="s">
        <v>914</v>
      </c>
      <c r="H957" t="s">
        <v>1666</v>
      </c>
      <c r="I957" t="s">
        <v>1662</v>
      </c>
      <c r="J957" s="5">
        <f>WEEKDAY(Table1_2[[#This Row],[Transaction date]])</f>
        <v>3</v>
      </c>
      <c r="K957"/>
    </row>
    <row r="958" spans="1:11" x14ac:dyDescent="0.45">
      <c r="A958" s="3">
        <v>39834</v>
      </c>
      <c r="B958" s="2">
        <v>0.10694444444444444</v>
      </c>
      <c r="C958" t="s">
        <v>1737</v>
      </c>
      <c r="D958" t="s">
        <v>10</v>
      </c>
      <c r="E958">
        <v>1200</v>
      </c>
      <c r="F958" t="s">
        <v>16</v>
      </c>
      <c r="G958" t="s">
        <v>1668</v>
      </c>
      <c r="H958" t="s">
        <v>1669</v>
      </c>
      <c r="I958" t="s">
        <v>1662</v>
      </c>
      <c r="J958" s="5">
        <f>WEEKDAY(Table1_2[[#This Row],[Transaction date]])</f>
        <v>4</v>
      </c>
      <c r="K958"/>
    </row>
    <row r="959" spans="1:11" x14ac:dyDescent="0.45">
      <c r="A959" s="3">
        <v>39838</v>
      </c>
      <c r="B959" s="2">
        <v>0.49444444444444446</v>
      </c>
      <c r="C959" t="s">
        <v>1737</v>
      </c>
      <c r="D959" t="s">
        <v>20</v>
      </c>
      <c r="E959">
        <v>200000</v>
      </c>
      <c r="F959" t="s">
        <v>16</v>
      </c>
      <c r="G959" t="s">
        <v>1354</v>
      </c>
      <c r="H959" t="s">
        <v>1670</v>
      </c>
      <c r="I959" t="s">
        <v>1662</v>
      </c>
      <c r="J959" s="5">
        <f>WEEKDAY(Table1_2[[#This Row],[Transaction date]])</f>
        <v>1</v>
      </c>
      <c r="K959"/>
    </row>
    <row r="960" spans="1:11" x14ac:dyDescent="0.45">
      <c r="A960" s="3">
        <v>39818</v>
      </c>
      <c r="B960" s="2">
        <v>5.7638888888888892E-2</v>
      </c>
      <c r="C960" t="s">
        <v>1737</v>
      </c>
      <c r="D960" t="s">
        <v>10</v>
      </c>
      <c r="E960">
        <v>1200</v>
      </c>
      <c r="F960" t="s">
        <v>11</v>
      </c>
      <c r="G960" t="s">
        <v>1672</v>
      </c>
      <c r="H960" t="s">
        <v>1673</v>
      </c>
      <c r="I960" t="s">
        <v>1662</v>
      </c>
      <c r="J960" s="5">
        <f>WEEKDAY(Table1_2[[#This Row],[Transaction date]])</f>
        <v>2</v>
      </c>
      <c r="K960"/>
    </row>
    <row r="961" spans="1:11" x14ac:dyDescent="0.45">
      <c r="A961" s="3">
        <v>39816</v>
      </c>
      <c r="B961" s="2">
        <v>0.11388888888888889</v>
      </c>
      <c r="C961" t="s">
        <v>1737</v>
      </c>
      <c r="D961" t="s">
        <v>10</v>
      </c>
      <c r="E961">
        <v>1200</v>
      </c>
      <c r="F961" t="s">
        <v>11</v>
      </c>
      <c r="G961" t="s">
        <v>1674</v>
      </c>
      <c r="H961" t="s">
        <v>1675</v>
      </c>
      <c r="I961" t="s">
        <v>1677</v>
      </c>
      <c r="J961" s="5">
        <f>WEEKDAY(Table1_2[[#This Row],[Transaction date]])</f>
        <v>7</v>
      </c>
      <c r="K961"/>
    </row>
    <row r="962" spans="1:11" x14ac:dyDescent="0.45">
      <c r="A962" s="3">
        <v>39818</v>
      </c>
      <c r="B962" s="2">
        <v>0.33333333333333331</v>
      </c>
      <c r="C962" t="s">
        <v>1737</v>
      </c>
      <c r="D962" t="s">
        <v>20</v>
      </c>
      <c r="E962">
        <v>200000</v>
      </c>
      <c r="F962" t="s">
        <v>11</v>
      </c>
      <c r="G962" t="s">
        <v>1446</v>
      </c>
      <c r="H962" t="s">
        <v>1678</v>
      </c>
      <c r="I962" t="s">
        <v>1677</v>
      </c>
      <c r="J962" s="5">
        <f>WEEKDAY(Table1_2[[#This Row],[Transaction date]])</f>
        <v>2</v>
      </c>
      <c r="K962"/>
    </row>
    <row r="963" spans="1:11" x14ac:dyDescent="0.45">
      <c r="A963" s="3">
        <v>39819</v>
      </c>
      <c r="B963" s="2">
        <v>5.5555555555555552E-2</v>
      </c>
      <c r="C963" t="s">
        <v>1737</v>
      </c>
      <c r="D963" t="s">
        <v>10</v>
      </c>
      <c r="E963">
        <v>1200</v>
      </c>
      <c r="F963" t="s">
        <v>16</v>
      </c>
      <c r="G963" t="s">
        <v>216</v>
      </c>
      <c r="H963" t="s">
        <v>1680</v>
      </c>
      <c r="I963" t="s">
        <v>1677</v>
      </c>
      <c r="J963" s="5">
        <f>WEEKDAY(Table1_2[[#This Row],[Transaction date]])</f>
        <v>3</v>
      </c>
      <c r="K963"/>
    </row>
    <row r="964" spans="1:11" x14ac:dyDescent="0.45">
      <c r="A964" s="3">
        <v>39824</v>
      </c>
      <c r="B964" s="2">
        <v>8.611111111111111E-2</v>
      </c>
      <c r="C964" t="s">
        <v>1737</v>
      </c>
      <c r="D964" t="s">
        <v>10</v>
      </c>
      <c r="E964">
        <v>1200</v>
      </c>
      <c r="F964" t="s">
        <v>11</v>
      </c>
      <c r="G964" t="s">
        <v>819</v>
      </c>
      <c r="H964" t="s">
        <v>1681</v>
      </c>
      <c r="I964" t="s">
        <v>1677</v>
      </c>
      <c r="J964" s="5">
        <f>WEEKDAY(Table1_2[[#This Row],[Transaction date]])</f>
        <v>1</v>
      </c>
      <c r="K964"/>
    </row>
    <row r="965" spans="1:11" x14ac:dyDescent="0.45">
      <c r="A965" s="3">
        <v>39825</v>
      </c>
      <c r="B965" s="2">
        <v>6.7361111111111108E-2</v>
      </c>
      <c r="C965" t="s">
        <v>1737</v>
      </c>
      <c r="D965" t="s">
        <v>10</v>
      </c>
      <c r="E965">
        <v>1200</v>
      </c>
      <c r="F965" t="s">
        <v>11</v>
      </c>
      <c r="G965" t="s">
        <v>1682</v>
      </c>
      <c r="H965" t="s">
        <v>1683</v>
      </c>
      <c r="I965" t="s">
        <v>1677</v>
      </c>
      <c r="J965" s="5">
        <f>WEEKDAY(Table1_2[[#This Row],[Transaction date]])</f>
        <v>2</v>
      </c>
      <c r="K965"/>
    </row>
    <row r="966" spans="1:11" x14ac:dyDescent="0.45">
      <c r="A966" s="3">
        <v>39817</v>
      </c>
      <c r="B966" s="2">
        <v>6.805555555555555E-2</v>
      </c>
      <c r="C966" t="s">
        <v>1737</v>
      </c>
      <c r="D966" t="s">
        <v>10</v>
      </c>
      <c r="E966">
        <v>1200</v>
      </c>
      <c r="F966" t="s">
        <v>63</v>
      </c>
      <c r="G966" t="s">
        <v>1684</v>
      </c>
      <c r="H966" t="s">
        <v>1685</v>
      </c>
      <c r="I966" t="s">
        <v>1677</v>
      </c>
      <c r="J966" s="5">
        <f>WEEKDAY(Table1_2[[#This Row],[Transaction date]])</f>
        <v>1</v>
      </c>
      <c r="K966"/>
    </row>
    <row r="967" spans="1:11" x14ac:dyDescent="0.45">
      <c r="A967" s="3">
        <v>39833</v>
      </c>
      <c r="B967" s="2">
        <v>0.16041666666666668</v>
      </c>
      <c r="C967" t="s">
        <v>1737</v>
      </c>
      <c r="D967" t="s">
        <v>10</v>
      </c>
      <c r="E967">
        <v>1200</v>
      </c>
      <c r="F967" t="s">
        <v>11</v>
      </c>
      <c r="G967" t="s">
        <v>674</v>
      </c>
      <c r="H967" t="s">
        <v>1687</v>
      </c>
      <c r="I967" t="s">
        <v>1677</v>
      </c>
      <c r="J967" s="5">
        <f>WEEKDAY(Table1_2[[#This Row],[Transaction date]])</f>
        <v>3</v>
      </c>
      <c r="K967"/>
    </row>
    <row r="968" spans="1:11" x14ac:dyDescent="0.45">
      <c r="A968" s="3">
        <v>39822</v>
      </c>
      <c r="B968" s="2">
        <v>0.11874999999999999</v>
      </c>
      <c r="C968" t="s">
        <v>1737</v>
      </c>
      <c r="D968" t="s">
        <v>10</v>
      </c>
      <c r="E968">
        <v>1200</v>
      </c>
      <c r="F968" t="s">
        <v>11</v>
      </c>
      <c r="G968" t="s">
        <v>1688</v>
      </c>
      <c r="H968" t="s">
        <v>1689</v>
      </c>
      <c r="I968" t="s">
        <v>1677</v>
      </c>
      <c r="J968" s="5">
        <f>WEEKDAY(Table1_2[[#This Row],[Transaction date]])</f>
        <v>6</v>
      </c>
      <c r="K968"/>
    </row>
    <row r="969" spans="1:11" x14ac:dyDescent="0.45">
      <c r="A969" s="3">
        <v>39829</v>
      </c>
      <c r="B969" s="2">
        <v>0.27500000000000002</v>
      </c>
      <c r="C969" t="s">
        <v>1737</v>
      </c>
      <c r="D969" t="s">
        <v>10</v>
      </c>
      <c r="E969">
        <v>1200</v>
      </c>
      <c r="F969" t="s">
        <v>11</v>
      </c>
      <c r="G969" t="s">
        <v>674</v>
      </c>
      <c r="H969" t="s">
        <v>1690</v>
      </c>
      <c r="I969" t="s">
        <v>1677</v>
      </c>
      <c r="J969" s="5">
        <f>WEEKDAY(Table1_2[[#This Row],[Transaction date]])</f>
        <v>6</v>
      </c>
      <c r="K969"/>
    </row>
    <row r="970" spans="1:11" x14ac:dyDescent="0.45">
      <c r="A970" s="3">
        <v>39815</v>
      </c>
      <c r="B970" s="2">
        <v>0.10277777777777777</v>
      </c>
      <c r="C970" t="s">
        <v>1737</v>
      </c>
      <c r="D970" t="s">
        <v>10</v>
      </c>
      <c r="E970">
        <v>1200</v>
      </c>
      <c r="F970" t="s">
        <v>16</v>
      </c>
      <c r="G970" t="s">
        <v>1691</v>
      </c>
      <c r="H970" t="s">
        <v>1692</v>
      </c>
      <c r="I970" t="s">
        <v>1677</v>
      </c>
      <c r="J970" s="5">
        <f>WEEKDAY(Table1_2[[#This Row],[Transaction date]])</f>
        <v>6</v>
      </c>
      <c r="K970"/>
    </row>
    <row r="971" spans="1:11" x14ac:dyDescent="0.45">
      <c r="A971" s="3">
        <v>39824</v>
      </c>
      <c r="B971" s="2">
        <v>0.43194444444444446</v>
      </c>
      <c r="C971" t="s">
        <v>1737</v>
      </c>
      <c r="D971" t="s">
        <v>20</v>
      </c>
      <c r="E971">
        <v>200000</v>
      </c>
      <c r="F971" t="s">
        <v>11</v>
      </c>
      <c r="G971" t="s">
        <v>1693</v>
      </c>
      <c r="H971" t="s">
        <v>1694</v>
      </c>
      <c r="I971" t="s">
        <v>1677</v>
      </c>
      <c r="J971" s="5">
        <f>WEEKDAY(Table1_2[[#This Row],[Transaction date]])</f>
        <v>1</v>
      </c>
      <c r="K971"/>
    </row>
    <row r="972" spans="1:11" x14ac:dyDescent="0.45">
      <c r="A972" s="3">
        <v>39820</v>
      </c>
      <c r="B972" s="2">
        <v>0.41875000000000001</v>
      </c>
      <c r="C972" t="s">
        <v>1737</v>
      </c>
      <c r="D972" t="s">
        <v>10</v>
      </c>
      <c r="E972">
        <v>1200</v>
      </c>
      <c r="F972" t="s">
        <v>16</v>
      </c>
      <c r="G972" t="s">
        <v>1695</v>
      </c>
      <c r="H972" t="s">
        <v>1689</v>
      </c>
      <c r="I972" t="s">
        <v>1677</v>
      </c>
      <c r="J972" s="5">
        <f>WEEKDAY(Table1_2[[#This Row],[Transaction date]])</f>
        <v>4</v>
      </c>
      <c r="K972"/>
    </row>
    <row r="973" spans="1:11" x14ac:dyDescent="0.45">
      <c r="A973" s="3">
        <v>39831</v>
      </c>
      <c r="B973" s="2">
        <v>0.15694444444444444</v>
      </c>
      <c r="C973" t="s">
        <v>1737</v>
      </c>
      <c r="D973" t="s">
        <v>10</v>
      </c>
      <c r="E973">
        <v>1200</v>
      </c>
      <c r="F973" t="s">
        <v>11</v>
      </c>
      <c r="G973" t="s">
        <v>403</v>
      </c>
      <c r="H973" t="s">
        <v>1696</v>
      </c>
      <c r="I973" t="s">
        <v>1677</v>
      </c>
      <c r="J973" s="5">
        <f>WEEKDAY(Table1_2[[#This Row],[Transaction date]])</f>
        <v>1</v>
      </c>
      <c r="K973"/>
    </row>
    <row r="974" spans="1:11" x14ac:dyDescent="0.45">
      <c r="A974" s="3">
        <v>39814</v>
      </c>
      <c r="B974" s="2">
        <v>0.33958333333333335</v>
      </c>
      <c r="C974" t="s">
        <v>1737</v>
      </c>
      <c r="D974" t="s">
        <v>10</v>
      </c>
      <c r="E974">
        <v>1200</v>
      </c>
      <c r="F974" t="s">
        <v>16</v>
      </c>
      <c r="G974" t="s">
        <v>81</v>
      </c>
      <c r="H974" t="s">
        <v>1697</v>
      </c>
      <c r="I974" t="s">
        <v>1677</v>
      </c>
      <c r="J974" s="5">
        <f>WEEKDAY(Table1_2[[#This Row],[Transaction date]])</f>
        <v>5</v>
      </c>
      <c r="K974"/>
    </row>
    <row r="975" spans="1:11" x14ac:dyDescent="0.45">
      <c r="A975" s="3">
        <v>39843</v>
      </c>
      <c r="B975" s="2">
        <v>0.23125000000000001</v>
      </c>
      <c r="C975" t="s">
        <v>1737</v>
      </c>
      <c r="D975" t="s">
        <v>10</v>
      </c>
      <c r="E975">
        <v>1200</v>
      </c>
      <c r="F975" t="s">
        <v>11</v>
      </c>
      <c r="G975" t="s">
        <v>1698</v>
      </c>
      <c r="H975" t="s">
        <v>550</v>
      </c>
      <c r="I975" t="s">
        <v>1677</v>
      </c>
      <c r="J975" s="5">
        <f>WEEKDAY(Table1_2[[#This Row],[Transaction date]])</f>
        <v>6</v>
      </c>
      <c r="K975"/>
    </row>
    <row r="976" spans="1:11" x14ac:dyDescent="0.45">
      <c r="A976" s="3">
        <v>39817</v>
      </c>
      <c r="B976" s="2">
        <v>0.2076388888888889</v>
      </c>
      <c r="C976" t="s">
        <v>1737</v>
      </c>
      <c r="D976" t="s">
        <v>10</v>
      </c>
      <c r="E976">
        <v>1200</v>
      </c>
      <c r="F976" t="s">
        <v>11</v>
      </c>
      <c r="G976" t="s">
        <v>143</v>
      </c>
      <c r="H976" t="s">
        <v>1699</v>
      </c>
      <c r="I976" t="s">
        <v>1677</v>
      </c>
      <c r="J976" s="5">
        <f>WEEKDAY(Table1_2[[#This Row],[Transaction date]])</f>
        <v>1</v>
      </c>
      <c r="K976"/>
    </row>
    <row r="977" spans="1:11" x14ac:dyDescent="0.45">
      <c r="A977" s="3">
        <v>39815</v>
      </c>
      <c r="B977" s="2">
        <v>0.44722222222222224</v>
      </c>
      <c r="C977" t="s">
        <v>1737</v>
      </c>
      <c r="D977" t="s">
        <v>20</v>
      </c>
      <c r="E977">
        <v>200000</v>
      </c>
      <c r="F977" t="s">
        <v>11</v>
      </c>
      <c r="G977" t="s">
        <v>1700</v>
      </c>
      <c r="H977" t="s">
        <v>1701</v>
      </c>
      <c r="I977" t="s">
        <v>1677</v>
      </c>
      <c r="J977" s="5">
        <f>WEEKDAY(Table1_2[[#This Row],[Transaction date]])</f>
        <v>6</v>
      </c>
      <c r="K977"/>
    </row>
    <row r="978" spans="1:11" x14ac:dyDescent="0.45">
      <c r="A978" s="3">
        <v>39839</v>
      </c>
      <c r="B978" s="2">
        <v>0.34583333333333333</v>
      </c>
      <c r="C978" t="s">
        <v>1737</v>
      </c>
      <c r="D978" t="s">
        <v>10</v>
      </c>
      <c r="E978">
        <v>1200</v>
      </c>
      <c r="F978" t="s">
        <v>16</v>
      </c>
      <c r="G978" t="s">
        <v>606</v>
      </c>
      <c r="H978" t="s">
        <v>1702</v>
      </c>
      <c r="I978" t="s">
        <v>1677</v>
      </c>
      <c r="J978" s="5">
        <f>WEEKDAY(Table1_2[[#This Row],[Transaction date]])</f>
        <v>2</v>
      </c>
      <c r="K978"/>
    </row>
    <row r="979" spans="1:11" x14ac:dyDescent="0.45">
      <c r="A979" s="3">
        <v>39821</v>
      </c>
      <c r="B979" s="2">
        <v>0.4861111111111111</v>
      </c>
      <c r="C979" t="s">
        <v>1737</v>
      </c>
      <c r="D979" t="s">
        <v>10</v>
      </c>
      <c r="E979">
        <v>1200</v>
      </c>
      <c r="F979" t="s">
        <v>11</v>
      </c>
      <c r="G979" t="s">
        <v>282</v>
      </c>
      <c r="H979" t="s">
        <v>1703</v>
      </c>
      <c r="I979" t="s">
        <v>1677</v>
      </c>
      <c r="J979" s="5">
        <f>WEEKDAY(Table1_2[[#This Row],[Transaction date]])</f>
        <v>5</v>
      </c>
      <c r="K979"/>
    </row>
    <row r="980" spans="1:11" x14ac:dyDescent="0.45">
      <c r="A980" s="3">
        <v>39837</v>
      </c>
      <c r="B980" s="2">
        <v>0.27083333333333331</v>
      </c>
      <c r="C980" t="s">
        <v>1737</v>
      </c>
      <c r="D980" t="s">
        <v>10</v>
      </c>
      <c r="E980">
        <v>1200</v>
      </c>
      <c r="F980" t="s">
        <v>11</v>
      </c>
      <c r="G980" t="s">
        <v>1704</v>
      </c>
      <c r="H980" t="s">
        <v>1680</v>
      </c>
      <c r="I980" t="s">
        <v>1677</v>
      </c>
      <c r="J980" s="5">
        <f>WEEKDAY(Table1_2[[#This Row],[Transaction date]])</f>
        <v>7</v>
      </c>
      <c r="K980"/>
    </row>
    <row r="981" spans="1:11" x14ac:dyDescent="0.45">
      <c r="A981" s="3">
        <v>39827</v>
      </c>
      <c r="B981" s="2">
        <v>0.27430555555555558</v>
      </c>
      <c r="C981" t="s">
        <v>1737</v>
      </c>
      <c r="D981" t="s">
        <v>10</v>
      </c>
      <c r="E981">
        <v>1200</v>
      </c>
      <c r="F981" t="s">
        <v>11</v>
      </c>
      <c r="G981" t="s">
        <v>290</v>
      </c>
      <c r="H981" t="s">
        <v>1680</v>
      </c>
      <c r="I981" t="s">
        <v>1677</v>
      </c>
      <c r="J981" s="5">
        <f>WEEKDAY(Table1_2[[#This Row],[Transaction date]])</f>
        <v>4</v>
      </c>
      <c r="K981"/>
    </row>
    <row r="982" spans="1:11" x14ac:dyDescent="0.45">
      <c r="A982" s="3">
        <v>39844</v>
      </c>
      <c r="B982" s="2">
        <v>0.46458333333333335</v>
      </c>
      <c r="C982" t="s">
        <v>1737</v>
      </c>
      <c r="D982" t="s">
        <v>10</v>
      </c>
      <c r="E982">
        <v>1200</v>
      </c>
      <c r="F982" t="s">
        <v>63</v>
      </c>
      <c r="G982" t="s">
        <v>1705</v>
      </c>
      <c r="H982" t="s">
        <v>1706</v>
      </c>
      <c r="I982" t="s">
        <v>1677</v>
      </c>
      <c r="J982" s="5">
        <f>WEEKDAY(Table1_2[[#This Row],[Transaction date]])</f>
        <v>7</v>
      </c>
      <c r="K982"/>
    </row>
    <row r="983" spans="1:11" x14ac:dyDescent="0.45">
      <c r="A983" s="3">
        <v>39837</v>
      </c>
      <c r="B983" s="2">
        <v>0.1423611111111111</v>
      </c>
      <c r="C983" t="s">
        <v>1737</v>
      </c>
      <c r="D983" t="s">
        <v>10</v>
      </c>
      <c r="E983">
        <v>1200</v>
      </c>
      <c r="F983" t="s">
        <v>11</v>
      </c>
      <c r="G983" t="s">
        <v>959</v>
      </c>
      <c r="H983" t="s">
        <v>1707</v>
      </c>
      <c r="I983" t="s">
        <v>1677</v>
      </c>
      <c r="J983" s="5">
        <f>WEEKDAY(Table1_2[[#This Row],[Transaction date]])</f>
        <v>7</v>
      </c>
      <c r="K983"/>
    </row>
    <row r="984" spans="1:11" x14ac:dyDescent="0.45">
      <c r="A984" s="3">
        <v>39825</v>
      </c>
      <c r="B984" s="2">
        <v>0.4826388888888889</v>
      </c>
      <c r="C984" t="s">
        <v>1737</v>
      </c>
      <c r="D984" t="s">
        <v>10</v>
      </c>
      <c r="E984">
        <v>1200</v>
      </c>
      <c r="F984" t="s">
        <v>11</v>
      </c>
      <c r="G984" t="s">
        <v>50</v>
      </c>
      <c r="H984" t="s">
        <v>886</v>
      </c>
      <c r="I984" t="s">
        <v>1677</v>
      </c>
      <c r="J984" s="5">
        <f>WEEKDAY(Table1_2[[#This Row],[Transaction date]])</f>
        <v>2</v>
      </c>
      <c r="K984"/>
    </row>
    <row r="985" spans="1:11" x14ac:dyDescent="0.45">
      <c r="A985" s="3">
        <v>39814</v>
      </c>
      <c r="B985" s="2">
        <v>0.40277777777777779</v>
      </c>
      <c r="C985" t="s">
        <v>1737</v>
      </c>
      <c r="D985" t="s">
        <v>10</v>
      </c>
      <c r="E985">
        <v>1200</v>
      </c>
      <c r="F985" t="s">
        <v>16</v>
      </c>
      <c r="G985" t="s">
        <v>1572</v>
      </c>
      <c r="H985" t="s">
        <v>1710</v>
      </c>
      <c r="I985" t="s">
        <v>1677</v>
      </c>
      <c r="J985" s="5">
        <f>WEEKDAY(Table1_2[[#This Row],[Transaction date]])</f>
        <v>5</v>
      </c>
      <c r="K985"/>
    </row>
    <row r="986" spans="1:11" x14ac:dyDescent="0.45">
      <c r="A986" s="3">
        <v>39835</v>
      </c>
      <c r="B986" s="2">
        <v>0.10555555555555556</v>
      </c>
      <c r="C986" t="s">
        <v>1737</v>
      </c>
      <c r="D986" t="s">
        <v>10</v>
      </c>
      <c r="E986">
        <v>1200</v>
      </c>
      <c r="F986" t="s">
        <v>11</v>
      </c>
      <c r="G986" t="s">
        <v>760</v>
      </c>
      <c r="H986" t="s">
        <v>1711</v>
      </c>
      <c r="I986" t="s">
        <v>1677</v>
      </c>
      <c r="J986" s="5">
        <f>WEEKDAY(Table1_2[[#This Row],[Transaction date]])</f>
        <v>5</v>
      </c>
      <c r="K986"/>
    </row>
    <row r="987" spans="1:11" x14ac:dyDescent="0.45">
      <c r="A987" s="3">
        <v>39836</v>
      </c>
      <c r="B987" s="2">
        <v>0.21805555555555556</v>
      </c>
      <c r="C987" t="s">
        <v>1737</v>
      </c>
      <c r="D987" t="s">
        <v>10</v>
      </c>
      <c r="E987">
        <v>1200</v>
      </c>
      <c r="F987" t="s">
        <v>11</v>
      </c>
      <c r="G987" t="s">
        <v>1712</v>
      </c>
      <c r="H987" t="s">
        <v>1680</v>
      </c>
      <c r="I987" t="s">
        <v>1677</v>
      </c>
      <c r="J987" s="5">
        <f>WEEKDAY(Table1_2[[#This Row],[Transaction date]])</f>
        <v>6</v>
      </c>
      <c r="K987"/>
    </row>
    <row r="988" spans="1:11" x14ac:dyDescent="0.45">
      <c r="A988" s="3">
        <v>39816</v>
      </c>
      <c r="B988" s="2">
        <v>9.5138888888888884E-2</v>
      </c>
      <c r="C988" t="s">
        <v>1737</v>
      </c>
      <c r="D988" t="s">
        <v>20</v>
      </c>
      <c r="E988">
        <v>200000</v>
      </c>
      <c r="F988" t="s">
        <v>11</v>
      </c>
      <c r="G988" t="s">
        <v>1713</v>
      </c>
      <c r="H988" t="s">
        <v>1714</v>
      </c>
      <c r="I988" t="s">
        <v>1677</v>
      </c>
      <c r="J988" s="5">
        <f>WEEKDAY(Table1_2[[#This Row],[Transaction date]])</f>
        <v>7</v>
      </c>
      <c r="K988"/>
    </row>
    <row r="989" spans="1:11" x14ac:dyDescent="0.45">
      <c r="A989" s="3">
        <v>39817</v>
      </c>
      <c r="B989" s="2">
        <v>0.23194444444444445</v>
      </c>
      <c r="C989" t="s">
        <v>1737</v>
      </c>
      <c r="D989" t="s">
        <v>10</v>
      </c>
      <c r="E989">
        <v>1200</v>
      </c>
      <c r="F989" t="s">
        <v>16</v>
      </c>
      <c r="G989" t="s">
        <v>1716</v>
      </c>
      <c r="H989" t="s">
        <v>1717</v>
      </c>
      <c r="I989" t="s">
        <v>1677</v>
      </c>
      <c r="J989" s="5">
        <f>WEEKDAY(Table1_2[[#This Row],[Transaction date]])</f>
        <v>1</v>
      </c>
      <c r="K989"/>
    </row>
    <row r="990" spans="1:11" x14ac:dyDescent="0.45">
      <c r="A990" s="3">
        <v>39832</v>
      </c>
      <c r="B990" s="2">
        <v>7.7777777777777779E-2</v>
      </c>
      <c r="C990" t="s">
        <v>1737</v>
      </c>
      <c r="D990" t="s">
        <v>10</v>
      </c>
      <c r="E990">
        <v>1200</v>
      </c>
      <c r="F990" t="s">
        <v>63</v>
      </c>
      <c r="G990" t="s">
        <v>1718</v>
      </c>
      <c r="H990" t="s">
        <v>1680</v>
      </c>
      <c r="I990" t="s">
        <v>1677</v>
      </c>
      <c r="J990" s="5">
        <f>WEEKDAY(Table1_2[[#This Row],[Transaction date]])</f>
        <v>2</v>
      </c>
      <c r="K990"/>
    </row>
    <row r="991" spans="1:11" x14ac:dyDescent="0.45">
      <c r="A991" s="3">
        <v>39827</v>
      </c>
      <c r="B991" s="2">
        <v>0.50208333333333333</v>
      </c>
      <c r="C991" t="s">
        <v>1738</v>
      </c>
      <c r="D991" t="s">
        <v>20</v>
      </c>
      <c r="E991">
        <v>200000</v>
      </c>
      <c r="F991" t="s">
        <v>16</v>
      </c>
      <c r="G991" t="s">
        <v>1719</v>
      </c>
      <c r="H991" t="s">
        <v>1720</v>
      </c>
      <c r="I991" t="s">
        <v>1677</v>
      </c>
      <c r="J991" s="5">
        <f>WEEKDAY(Table1_2[[#This Row],[Transaction date]])</f>
        <v>4</v>
      </c>
      <c r="K991"/>
    </row>
    <row r="992" spans="1:11" x14ac:dyDescent="0.45">
      <c r="A992" s="3">
        <v>39833</v>
      </c>
      <c r="B992" s="2">
        <v>7.9166666666666663E-2</v>
      </c>
      <c r="C992" t="s">
        <v>1737</v>
      </c>
      <c r="D992" t="s">
        <v>10</v>
      </c>
      <c r="E992">
        <v>1200</v>
      </c>
      <c r="F992" t="s">
        <v>16</v>
      </c>
      <c r="G992" t="s">
        <v>690</v>
      </c>
      <c r="H992" t="s">
        <v>1721</v>
      </c>
      <c r="I992" t="s">
        <v>1677</v>
      </c>
      <c r="J992" s="5">
        <f>WEEKDAY(Table1_2[[#This Row],[Transaction date]])</f>
        <v>3</v>
      </c>
      <c r="K992"/>
    </row>
    <row r="993" spans="1:11" x14ac:dyDescent="0.45">
      <c r="A993" s="3">
        <v>39836</v>
      </c>
      <c r="B993" s="2">
        <v>0.39930555555555558</v>
      </c>
      <c r="C993" t="s">
        <v>1737</v>
      </c>
      <c r="D993" t="s">
        <v>10</v>
      </c>
      <c r="E993">
        <v>1200</v>
      </c>
      <c r="F993" t="s">
        <v>11</v>
      </c>
      <c r="G993" t="s">
        <v>313</v>
      </c>
      <c r="H993" t="s">
        <v>1683</v>
      </c>
      <c r="I993" t="s">
        <v>1677</v>
      </c>
      <c r="J993" s="5">
        <f>WEEKDAY(Table1_2[[#This Row],[Transaction date]])</f>
        <v>6</v>
      </c>
      <c r="K993"/>
    </row>
    <row r="994" spans="1:11" x14ac:dyDescent="0.45">
      <c r="A994" s="3">
        <v>39819</v>
      </c>
      <c r="B994" s="2">
        <v>0.11180555555555556</v>
      </c>
      <c r="C994" t="s">
        <v>1737</v>
      </c>
      <c r="D994" t="s">
        <v>10</v>
      </c>
      <c r="E994">
        <v>1200</v>
      </c>
      <c r="F994" t="s">
        <v>11</v>
      </c>
      <c r="G994" t="s">
        <v>1722</v>
      </c>
      <c r="H994" t="s">
        <v>886</v>
      </c>
      <c r="I994" t="s">
        <v>1677</v>
      </c>
      <c r="J994" s="5">
        <f>WEEKDAY(Table1_2[[#This Row],[Transaction date]])</f>
        <v>3</v>
      </c>
      <c r="K994"/>
    </row>
    <row r="995" spans="1:11" x14ac:dyDescent="0.45">
      <c r="A995" s="3">
        <v>39815</v>
      </c>
      <c r="B995" s="2">
        <v>0.22500000000000001</v>
      </c>
      <c r="C995" t="s">
        <v>1737</v>
      </c>
      <c r="D995" t="s">
        <v>20</v>
      </c>
      <c r="E995">
        <v>200000</v>
      </c>
      <c r="F995" t="s">
        <v>63</v>
      </c>
      <c r="G995" t="s">
        <v>1723</v>
      </c>
      <c r="H995" t="s">
        <v>886</v>
      </c>
      <c r="I995" t="s">
        <v>1677</v>
      </c>
      <c r="J995" s="5">
        <f>WEEKDAY(Table1_2[[#This Row],[Transaction date]])</f>
        <v>6</v>
      </c>
      <c r="K995"/>
    </row>
    <row r="996" spans="1:11" x14ac:dyDescent="0.45">
      <c r="A996" s="3">
        <v>39817</v>
      </c>
      <c r="B996" s="2">
        <v>0.28958333333333336</v>
      </c>
      <c r="C996" t="s">
        <v>1737</v>
      </c>
      <c r="D996" t="s">
        <v>10</v>
      </c>
      <c r="E996">
        <v>1200</v>
      </c>
      <c r="F996" t="s">
        <v>16</v>
      </c>
      <c r="G996" t="s">
        <v>1724</v>
      </c>
      <c r="H996" t="s">
        <v>1725</v>
      </c>
      <c r="I996" t="s">
        <v>1677</v>
      </c>
      <c r="J996" s="5">
        <f>WEEKDAY(Table1_2[[#This Row],[Transaction date]])</f>
        <v>1</v>
      </c>
      <c r="K996"/>
    </row>
    <row r="997" spans="1:11" x14ac:dyDescent="0.45">
      <c r="A997" s="3">
        <v>39836</v>
      </c>
      <c r="B997" s="2">
        <v>0.52916666666666667</v>
      </c>
      <c r="C997" t="s">
        <v>1738</v>
      </c>
      <c r="D997" t="s">
        <v>20</v>
      </c>
      <c r="E997">
        <v>200000</v>
      </c>
      <c r="F997" t="s">
        <v>16</v>
      </c>
      <c r="G997" t="s">
        <v>1726</v>
      </c>
      <c r="H997" t="s">
        <v>1727</v>
      </c>
      <c r="I997" t="s">
        <v>1677</v>
      </c>
      <c r="J997" s="5">
        <f>WEEKDAY(Table1_2[[#This Row],[Transaction date]])</f>
        <v>6</v>
      </c>
      <c r="K997"/>
    </row>
    <row r="998" spans="1:11" x14ac:dyDescent="0.45">
      <c r="A998" s="3">
        <v>39820</v>
      </c>
      <c r="B998" s="2">
        <v>0.32500000000000001</v>
      </c>
      <c r="C998" t="s">
        <v>1737</v>
      </c>
      <c r="D998" t="s">
        <v>20</v>
      </c>
      <c r="E998">
        <v>200000</v>
      </c>
      <c r="F998" t="s">
        <v>16</v>
      </c>
      <c r="G998" t="s">
        <v>1728</v>
      </c>
      <c r="H998" t="s">
        <v>1689</v>
      </c>
      <c r="I998" t="s">
        <v>1677</v>
      </c>
      <c r="J998" s="5">
        <f>WEEKDAY(Table1_2[[#This Row],[Transaction date]])</f>
        <v>4</v>
      </c>
      <c r="K998"/>
    </row>
    <row r="999" spans="1:11" x14ac:dyDescent="0.45">
      <c r="A999" s="3">
        <v>39838</v>
      </c>
      <c r="B999" s="2">
        <v>0.24791666666666667</v>
      </c>
      <c r="C999" t="s">
        <v>1737</v>
      </c>
      <c r="D999" t="s">
        <v>10</v>
      </c>
      <c r="E999">
        <v>1200</v>
      </c>
      <c r="F999" t="s">
        <v>63</v>
      </c>
      <c r="G999" t="s">
        <v>1729</v>
      </c>
      <c r="H999" t="s">
        <v>1730</v>
      </c>
      <c r="I999" t="s">
        <v>1732</v>
      </c>
      <c r="J999" s="5">
        <f>WEEKDAY(Table1_2[[#This Row],[Transaction date]])</f>
        <v>1</v>
      </c>
      <c r="K999"/>
    </row>
  </sheetData>
  <phoneticPr fontId="18"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B9A25-8FD9-4D18-AD7C-EB0775CD1E03}">
  <dimension ref="B2:AM551"/>
  <sheetViews>
    <sheetView zoomScale="53" zoomScaleNormal="130" workbookViewId="0">
      <selection activeCell="AD19" sqref="AD19"/>
    </sheetView>
  </sheetViews>
  <sheetFormatPr defaultRowHeight="14.25" x14ac:dyDescent="0.45"/>
  <cols>
    <col min="2" max="2" width="13.796875" style="3" bestFit="1" customWidth="1"/>
    <col min="3" max="3" width="11.6640625" bestFit="1" customWidth="1"/>
    <col min="4" max="4" width="16" bestFit="1" customWidth="1"/>
    <col min="5" max="5" width="12.1328125" bestFit="1" customWidth="1"/>
    <col min="6" max="6" width="16" customWidth="1"/>
    <col min="7" max="7" width="14.53125" bestFit="1" customWidth="1"/>
    <col min="8" max="8" width="11.6640625" bestFit="1" customWidth="1"/>
    <col min="10" max="10" width="14.53125" bestFit="1" customWidth="1"/>
    <col min="11" max="11" width="11.6640625" bestFit="1" customWidth="1"/>
    <col min="12" max="12" width="12.6640625" bestFit="1" customWidth="1"/>
    <col min="13" max="13" width="22.59765625" bestFit="1" customWidth="1"/>
    <col min="14" max="14" width="14.53125" bestFit="1" customWidth="1"/>
    <col min="15" max="15" width="13.1328125" bestFit="1" customWidth="1"/>
    <col min="16" max="16" width="12.6640625" bestFit="1" customWidth="1"/>
    <col min="17" max="17" width="11.6640625" bestFit="1" customWidth="1"/>
    <col min="18" max="18" width="16.06640625" bestFit="1" customWidth="1"/>
    <col min="19" max="19" width="10.86328125" bestFit="1" customWidth="1"/>
    <col min="20" max="20" width="14.53125" bestFit="1" customWidth="1"/>
    <col min="21" max="21" width="12.1328125" bestFit="1" customWidth="1"/>
    <col min="22" max="22" width="12.3984375" bestFit="1" customWidth="1"/>
    <col min="23" max="23" width="53.59765625" bestFit="1" customWidth="1"/>
    <col min="24" max="24" width="12.1328125" bestFit="1" customWidth="1"/>
    <col min="25" max="25" width="8.86328125" customWidth="1"/>
    <col min="27" max="27" width="18.3984375" bestFit="1" customWidth="1"/>
    <col min="28" max="28" width="11.6640625" bestFit="1" customWidth="1"/>
    <col min="31" max="31" width="14.53125" bestFit="1" customWidth="1"/>
    <col min="35" max="35" width="19.53125" bestFit="1" customWidth="1"/>
    <col min="36" max="36" width="11.6640625" bestFit="1" customWidth="1"/>
    <col min="37" max="37" width="16" bestFit="1" customWidth="1"/>
    <col min="38" max="38" width="19.53125" bestFit="1" customWidth="1"/>
    <col min="39" max="39" width="11.6640625" bestFit="1" customWidth="1"/>
  </cols>
  <sheetData>
    <row r="2" spans="2:39" x14ac:dyDescent="0.45">
      <c r="J2" t="s">
        <v>1743</v>
      </c>
      <c r="W2" t="s">
        <v>1757</v>
      </c>
      <c r="AA2" t="s">
        <v>1752</v>
      </c>
      <c r="AE2" t="s">
        <v>1753</v>
      </c>
      <c r="AI2" t="s">
        <v>1755</v>
      </c>
      <c r="AL2" t="s">
        <v>1756</v>
      </c>
    </row>
    <row r="3" spans="2:39" x14ac:dyDescent="0.45">
      <c r="B3" s="20" t="s">
        <v>1742</v>
      </c>
      <c r="C3" s="20" t="s">
        <v>1741</v>
      </c>
      <c r="E3" s="20" t="s">
        <v>1741</v>
      </c>
      <c r="G3" s="20" t="s">
        <v>1739</v>
      </c>
      <c r="H3" s="20" t="s">
        <v>1741</v>
      </c>
      <c r="J3" s="20" t="s">
        <v>1739</v>
      </c>
      <c r="K3" s="20" t="s">
        <v>1741</v>
      </c>
      <c r="L3" s="20" t="s">
        <v>1744</v>
      </c>
      <c r="N3" s="20" t="s">
        <v>1739</v>
      </c>
      <c r="O3" s="20" t="s">
        <v>1745</v>
      </c>
      <c r="P3" s="20" t="s">
        <v>1744</v>
      </c>
      <c r="Q3" s="20" t="s">
        <v>1741</v>
      </c>
      <c r="R3" s="20" t="s">
        <v>1749</v>
      </c>
      <c r="T3" s="20" t="s">
        <v>1739</v>
      </c>
      <c r="W3" s="20" t="s">
        <v>1760</v>
      </c>
      <c r="X3" s="20" t="s">
        <v>1741</v>
      </c>
      <c r="AA3" s="20" t="s">
        <v>5</v>
      </c>
      <c r="AB3" s="20" t="s">
        <v>1741</v>
      </c>
      <c r="AE3" s="18" t="s">
        <v>1743</v>
      </c>
      <c r="AI3" s="19" t="s">
        <v>1733</v>
      </c>
      <c r="AJ3" s="20" t="s">
        <v>1741</v>
      </c>
      <c r="AL3" s="19" t="s">
        <v>1733</v>
      </c>
      <c r="AM3" s="20" t="s">
        <v>1741</v>
      </c>
    </row>
    <row r="4" spans="2:39" x14ac:dyDescent="0.45">
      <c r="B4" s="22">
        <v>1</v>
      </c>
      <c r="C4" s="12">
        <v>2400</v>
      </c>
      <c r="E4" s="12">
        <v>19637500</v>
      </c>
      <c r="G4" s="14" t="s">
        <v>10</v>
      </c>
      <c r="H4" s="12">
        <v>1200</v>
      </c>
      <c r="J4" s="14" t="s">
        <v>1737</v>
      </c>
      <c r="K4" s="12">
        <v>214400</v>
      </c>
      <c r="L4" s="15">
        <v>0.98892988929889303</v>
      </c>
      <c r="N4" s="14" t="s">
        <v>63</v>
      </c>
      <c r="O4" s="16">
        <v>2</v>
      </c>
      <c r="P4" s="15">
        <v>0.25</v>
      </c>
      <c r="Q4" s="12">
        <v>2400</v>
      </c>
      <c r="R4" s="12">
        <v>1200</v>
      </c>
      <c r="T4" s="14" t="s">
        <v>63</v>
      </c>
      <c r="U4">
        <f>COUNTA(T4:T7)</f>
        <v>1</v>
      </c>
      <c r="W4" s="11" t="s">
        <v>1764</v>
      </c>
      <c r="X4" s="12">
        <v>2400</v>
      </c>
      <c r="AA4" s="11" t="s">
        <v>15</v>
      </c>
      <c r="AB4" s="12">
        <v>1200</v>
      </c>
      <c r="AE4" t="s">
        <v>1738</v>
      </c>
      <c r="AF4">
        <f>COUNTA(AE4:AE5)</f>
        <v>1</v>
      </c>
      <c r="AI4" s="17">
        <v>39830</v>
      </c>
      <c r="AJ4" s="12">
        <v>1200</v>
      </c>
      <c r="AL4" s="17">
        <v>39823</v>
      </c>
      <c r="AM4" s="12">
        <v>1200</v>
      </c>
    </row>
    <row r="5" spans="2:39" x14ac:dyDescent="0.45">
      <c r="B5" s="22">
        <v>2</v>
      </c>
      <c r="C5" s="12">
        <v>1200</v>
      </c>
      <c r="G5" s="14" t="s">
        <v>230</v>
      </c>
      <c r="H5" s="12">
        <v>1200</v>
      </c>
      <c r="J5" s="14" t="s">
        <v>1738</v>
      </c>
      <c r="K5" s="12">
        <v>2400</v>
      </c>
      <c r="L5" s="15">
        <v>1.107011070110701E-2</v>
      </c>
      <c r="N5" s="14" t="s">
        <v>16</v>
      </c>
      <c r="O5" s="16">
        <v>2</v>
      </c>
      <c r="P5" s="15">
        <v>0.25</v>
      </c>
      <c r="Q5" s="12">
        <v>2400</v>
      </c>
      <c r="R5" s="12">
        <v>1200</v>
      </c>
      <c r="AA5" s="11" t="s">
        <v>1179</v>
      </c>
      <c r="AB5" s="12">
        <v>1200</v>
      </c>
      <c r="AI5" s="17">
        <v>39823</v>
      </c>
      <c r="AJ5" s="12">
        <v>1200</v>
      </c>
      <c r="AL5" s="17">
        <v>39830</v>
      </c>
      <c r="AM5" s="12">
        <v>1200</v>
      </c>
    </row>
    <row r="6" spans="2:39" x14ac:dyDescent="0.45">
      <c r="B6" s="22">
        <v>3</v>
      </c>
      <c r="C6" s="12">
        <v>3600</v>
      </c>
      <c r="G6" s="13" t="s">
        <v>1740</v>
      </c>
      <c r="H6" s="12">
        <v>2400</v>
      </c>
      <c r="J6" s="13" t="s">
        <v>1740</v>
      </c>
      <c r="K6" s="12">
        <v>216800</v>
      </c>
      <c r="L6" s="15">
        <v>1</v>
      </c>
      <c r="N6" s="14" t="s">
        <v>11</v>
      </c>
      <c r="O6" s="16">
        <v>4</v>
      </c>
      <c r="P6" s="15">
        <v>0.5</v>
      </c>
      <c r="Q6" s="12">
        <v>4800</v>
      </c>
      <c r="R6" s="12">
        <v>1200</v>
      </c>
      <c r="AA6" s="11" t="s">
        <v>1662</v>
      </c>
      <c r="AB6" s="12"/>
    </row>
    <row r="7" spans="2:39" x14ac:dyDescent="0.45">
      <c r="B7" s="22">
        <v>4</v>
      </c>
      <c r="C7" s="12">
        <v>1200</v>
      </c>
      <c r="N7" s="13" t="s">
        <v>1740</v>
      </c>
      <c r="O7" s="16">
        <v>8</v>
      </c>
      <c r="P7" s="15">
        <v>1</v>
      </c>
      <c r="Q7" s="12">
        <v>9600</v>
      </c>
      <c r="R7" s="12">
        <v>1200</v>
      </c>
      <c r="AA7" s="11" t="s">
        <v>1677</v>
      </c>
      <c r="AB7" s="12"/>
      <c r="AE7" s="23" t="s">
        <v>1754</v>
      </c>
    </row>
    <row r="8" spans="2:39" x14ac:dyDescent="0.45">
      <c r="B8" s="22">
        <v>5</v>
      </c>
      <c r="C8" s="12">
        <v>6000</v>
      </c>
      <c r="O8" s="10"/>
      <c r="AA8" s="11" t="s">
        <v>1056</v>
      </c>
      <c r="AB8" s="12"/>
      <c r="AE8" s="23" t="str">
        <f>IF(AF4=1,"Displayed sales made at "&amp;AE4," Sales for all time RANGES")</f>
        <v>Displayed sales made at PM</v>
      </c>
    </row>
    <row r="9" spans="2:39" x14ac:dyDescent="0.45">
      <c r="B9" s="22">
        <v>6</v>
      </c>
      <c r="C9" s="12"/>
      <c r="O9" s="10"/>
      <c r="AA9" s="11" t="s">
        <v>1661</v>
      </c>
      <c r="AB9" s="12"/>
    </row>
    <row r="10" spans="2:39" x14ac:dyDescent="0.45">
      <c r="B10" s="22">
        <v>7</v>
      </c>
      <c r="C10" s="12">
        <v>2400</v>
      </c>
      <c r="J10" s="23" t="str">
        <f>J4</f>
        <v>AM</v>
      </c>
      <c r="K10" s="24">
        <f>L4</f>
        <v>0.98892988929889303</v>
      </c>
      <c r="N10" s="23" t="str">
        <f>T4</f>
        <v>Amex</v>
      </c>
      <c r="O10" s="7">
        <f>IF(U4=1,VLOOKUP(N10,N4:P6,3,0),100%)</f>
        <v>0.25</v>
      </c>
      <c r="P10" s="9">
        <f>IF(U4=1,VLOOKUP(N10,N4:R6,2,0),O7)</f>
        <v>2</v>
      </c>
      <c r="Q10" s="8">
        <f>IF(U4=1,VLOOKUP(N10,N4:R6,4,0),Q7)</f>
        <v>2400</v>
      </c>
      <c r="R10" s="8">
        <f>IF(U4=1,VLOOKUP(N10,N4:R6,5,0),R7)</f>
        <v>1200</v>
      </c>
      <c r="AA10" s="11" t="s">
        <v>1224</v>
      </c>
      <c r="AB10" s="12"/>
    </row>
    <row r="11" spans="2:39" x14ac:dyDescent="0.45">
      <c r="B11" s="21" t="s">
        <v>1740</v>
      </c>
      <c r="C11" s="12">
        <v>16800</v>
      </c>
      <c r="J11" s="23" t="str">
        <f>J5</f>
        <v>PM</v>
      </c>
      <c r="K11" s="24">
        <f>L5</f>
        <v>1.107011070110701E-2</v>
      </c>
      <c r="N11" s="23" t="s">
        <v>1750</v>
      </c>
      <c r="O11" s="7" t="str">
        <f>TEXT(O10,"0.0%")&amp;" of "&amp;"100%"</f>
        <v>25.0% of 100%</v>
      </c>
      <c r="AA11" s="11" t="s">
        <v>1648</v>
      </c>
      <c r="AB11" s="12"/>
    </row>
    <row r="12" spans="2:39" x14ac:dyDescent="0.45">
      <c r="B12"/>
      <c r="N12" s="23" t="s">
        <v>1751</v>
      </c>
      <c r="O12" s="7" t="str">
        <f>IF(U4=1,O11,O10)</f>
        <v>25.0% of 100%</v>
      </c>
      <c r="AA12" s="11" t="s">
        <v>1121</v>
      </c>
      <c r="AB12" s="12"/>
    </row>
    <row r="13" spans="2:39" x14ac:dyDescent="0.45">
      <c r="B13"/>
      <c r="N13" s="23"/>
      <c r="AA13" s="11" t="s">
        <v>1645</v>
      </c>
      <c r="AB13" s="12"/>
    </row>
    <row r="14" spans="2:39" x14ac:dyDescent="0.45">
      <c r="B14"/>
      <c r="N14" s="23" t="s">
        <v>1747</v>
      </c>
      <c r="T14" t="s">
        <v>1746</v>
      </c>
      <c r="AA14" s="11" t="s">
        <v>968</v>
      </c>
      <c r="AB14" s="12"/>
    </row>
    <row r="15" spans="2:39" x14ac:dyDescent="0.45">
      <c r="B15"/>
      <c r="N15" s="23" t="str">
        <f>IF(U4=1,VLOOKUP(N10,S15:T17,2,0),"All cards")</f>
        <v>American Express</v>
      </c>
      <c r="S15" s="14" t="str">
        <f>N6</f>
        <v>Visa</v>
      </c>
      <c r="T15" s="11" t="s">
        <v>1763</v>
      </c>
      <c r="AA15" s="11" t="s">
        <v>1634</v>
      </c>
      <c r="AB15" s="12"/>
    </row>
    <row r="16" spans="2:39" x14ac:dyDescent="0.45">
      <c r="B16"/>
      <c r="S16" s="14" t="str">
        <f>N4</f>
        <v>Amex</v>
      </c>
      <c r="T16" s="11" t="s">
        <v>1748</v>
      </c>
      <c r="AA16" s="11" t="s">
        <v>1230</v>
      </c>
      <c r="AB16" s="12"/>
    </row>
    <row r="17" spans="2:28" x14ac:dyDescent="0.45">
      <c r="B17"/>
      <c r="S17" s="14" t="str">
        <f>N5</f>
        <v>Mastercard</v>
      </c>
      <c r="T17" s="11" t="s">
        <v>16</v>
      </c>
      <c r="AA17" s="11" t="s">
        <v>1630</v>
      </c>
      <c r="AB17" s="12"/>
    </row>
    <row r="18" spans="2:28" x14ac:dyDescent="0.45">
      <c r="B18"/>
      <c r="AA18" s="11" t="s">
        <v>1218</v>
      </c>
      <c r="AB18" s="12"/>
    </row>
    <row r="19" spans="2:28" x14ac:dyDescent="0.45">
      <c r="B19"/>
      <c r="AA19" s="11" t="s">
        <v>1213</v>
      </c>
      <c r="AB19" s="12"/>
    </row>
    <row r="20" spans="2:28" x14ac:dyDescent="0.45">
      <c r="B20"/>
      <c r="AA20" s="11" t="s">
        <v>1141</v>
      </c>
      <c r="AB20" s="12"/>
    </row>
    <row r="21" spans="2:28" x14ac:dyDescent="0.45">
      <c r="B21"/>
      <c r="AA21" s="11" t="s">
        <v>1532</v>
      </c>
      <c r="AB21" s="12"/>
    </row>
    <row r="22" spans="2:28" x14ac:dyDescent="0.45">
      <c r="B22"/>
      <c r="AA22" s="11" t="s">
        <v>1129</v>
      </c>
      <c r="AB22" s="12"/>
    </row>
    <row r="23" spans="2:28" x14ac:dyDescent="0.45">
      <c r="B23"/>
      <c r="W23">
        <f>COUNTA(W27:W29)</f>
        <v>3</v>
      </c>
      <c r="AA23" s="11" t="s">
        <v>1529</v>
      </c>
      <c r="AB23" s="12"/>
    </row>
    <row r="24" spans="2:28" x14ac:dyDescent="0.45">
      <c r="B24"/>
      <c r="AA24" s="11" t="s">
        <v>1106</v>
      </c>
      <c r="AB24" s="12"/>
    </row>
    <row r="25" spans="2:28" x14ac:dyDescent="0.45">
      <c r="B25"/>
      <c r="AA25" s="11" t="s">
        <v>1526</v>
      </c>
      <c r="AB25" s="12"/>
    </row>
    <row r="26" spans="2:28" x14ac:dyDescent="0.45">
      <c r="B26"/>
      <c r="V26" s="23" t="s">
        <v>1762</v>
      </c>
      <c r="W26" t="s">
        <v>1758</v>
      </c>
      <c r="X26" t="s">
        <v>1759</v>
      </c>
      <c r="AA26" s="11" t="s">
        <v>987</v>
      </c>
      <c r="AB26" s="12"/>
    </row>
    <row r="27" spans="2:28" x14ac:dyDescent="0.45">
      <c r="B27"/>
      <c r="V27" s="23">
        <v>1</v>
      </c>
      <c r="W27" s="6">
        <f>IFERROR(LARGE($X$4:$X$15,V27),"")</f>
        <v>2400</v>
      </c>
      <c r="X27" t="str">
        <f>IFERROR(INDEX(W4:W15,MATCH(W27,X4:X15,0)),"")</f>
        <v>12 PM</v>
      </c>
      <c r="AA27" s="11" t="s">
        <v>1523</v>
      </c>
      <c r="AB27" s="12"/>
    </row>
    <row r="28" spans="2:28" x14ac:dyDescent="0.45">
      <c r="B28"/>
      <c r="V28" s="23">
        <v>2</v>
      </c>
      <c r="W28" s="6" t="str">
        <f t="shared" ref="W28:W29" si="0">IFERROR(LARGE($X$4:$X$15,V28),"")</f>
        <v/>
      </c>
      <c r="X28" t="str">
        <f t="shared" ref="X28:X29" si="1">IFERROR(INDEX(W5:W16,MATCH(W28,X5:X16,0)),"")</f>
        <v/>
      </c>
      <c r="AA28" s="11" t="s">
        <v>954</v>
      </c>
      <c r="AB28" s="12"/>
    </row>
    <row r="29" spans="2:28" x14ac:dyDescent="0.45">
      <c r="B29"/>
      <c r="V29" s="23">
        <v>3</v>
      </c>
      <c r="W29" s="6" t="str">
        <f t="shared" si="0"/>
        <v/>
      </c>
      <c r="X29" t="str">
        <f t="shared" si="1"/>
        <v/>
      </c>
      <c r="AA29" s="11" t="s">
        <v>1516</v>
      </c>
      <c r="AB29" s="12"/>
    </row>
    <row r="30" spans="2:28" x14ac:dyDescent="0.45">
      <c r="B30"/>
      <c r="V30" s="23"/>
      <c r="AA30" s="11" t="s">
        <v>1233</v>
      </c>
      <c r="AB30" s="12"/>
    </row>
    <row r="31" spans="2:28" x14ac:dyDescent="0.45">
      <c r="B31"/>
      <c r="V31" s="23" t="s">
        <v>1754</v>
      </c>
      <c r="W31" t="str">
        <f>"An ideal selling time should be at "&amp;X27&amp;", "&amp;X28&amp;" and "&amp;X29</f>
        <v xml:space="preserve">An ideal selling time should be at 12 PM,  and </v>
      </c>
      <c r="AA31" s="11" t="s">
        <v>1488</v>
      </c>
      <c r="AB31" s="12"/>
    </row>
    <row r="32" spans="2:28" x14ac:dyDescent="0.45">
      <c r="B32"/>
      <c r="V32" s="23" t="s">
        <v>1761</v>
      </c>
      <c r="W32" t="str">
        <f>IF(OR(W23=1,X27="12 pm"),"There is no enough data to display insight",W31)</f>
        <v>There is no enough data to display insight</v>
      </c>
      <c r="AA32" s="11" t="s">
        <v>1227</v>
      </c>
      <c r="AB32" s="12"/>
    </row>
    <row r="33" spans="2:28" x14ac:dyDescent="0.45">
      <c r="B33"/>
      <c r="AA33" s="11" t="s">
        <v>1484</v>
      </c>
      <c r="AB33" s="12"/>
    </row>
    <row r="34" spans="2:28" x14ac:dyDescent="0.45">
      <c r="B34"/>
      <c r="AA34" s="11" t="s">
        <v>1222</v>
      </c>
      <c r="AB34" s="12"/>
    </row>
    <row r="35" spans="2:28" x14ac:dyDescent="0.45">
      <c r="B35"/>
      <c r="AA35" s="11" t="s">
        <v>1478</v>
      </c>
      <c r="AB35" s="12"/>
    </row>
    <row r="36" spans="2:28" x14ac:dyDescent="0.45">
      <c r="B36"/>
      <c r="AA36" s="11" t="s">
        <v>1215</v>
      </c>
      <c r="AB36" s="12"/>
    </row>
    <row r="37" spans="2:28" x14ac:dyDescent="0.45">
      <c r="B37"/>
      <c r="AA37" s="11" t="s">
        <v>1434</v>
      </c>
      <c r="AB37" s="12"/>
    </row>
    <row r="38" spans="2:28" x14ac:dyDescent="0.45">
      <c r="B38"/>
      <c r="AA38" s="11" t="s">
        <v>1209</v>
      </c>
      <c r="AB38" s="12"/>
    </row>
    <row r="39" spans="2:28" x14ac:dyDescent="0.45">
      <c r="B39"/>
      <c r="AA39" s="11" t="s">
        <v>1387</v>
      </c>
      <c r="AB39" s="12"/>
    </row>
    <row r="40" spans="2:28" x14ac:dyDescent="0.45">
      <c r="B40"/>
      <c r="AA40" s="11" t="s">
        <v>1170</v>
      </c>
      <c r="AB40" s="12"/>
    </row>
    <row r="41" spans="2:28" x14ac:dyDescent="0.45">
      <c r="B41"/>
      <c r="AA41" s="11" t="s">
        <v>1383</v>
      </c>
      <c r="AB41" s="12"/>
    </row>
    <row r="42" spans="2:28" x14ac:dyDescent="0.45">
      <c r="B42"/>
      <c r="AA42" s="11" t="s">
        <v>1135</v>
      </c>
      <c r="AB42" s="12"/>
    </row>
    <row r="43" spans="2:28" x14ac:dyDescent="0.45">
      <c r="B43"/>
      <c r="AA43" s="11" t="s">
        <v>1379</v>
      </c>
      <c r="AB43" s="12"/>
    </row>
    <row r="44" spans="2:28" x14ac:dyDescent="0.45">
      <c r="B44"/>
      <c r="AA44" s="11" t="s">
        <v>1125</v>
      </c>
      <c r="AB44" s="12"/>
    </row>
    <row r="45" spans="2:28" x14ac:dyDescent="0.45">
      <c r="B45"/>
      <c r="AA45" s="11" t="s">
        <v>1376</v>
      </c>
      <c r="AB45" s="12"/>
    </row>
    <row r="46" spans="2:28" x14ac:dyDescent="0.45">
      <c r="B46"/>
      <c r="AA46" s="11" t="s">
        <v>1109</v>
      </c>
      <c r="AB46" s="12"/>
    </row>
    <row r="47" spans="2:28" x14ac:dyDescent="0.45">
      <c r="B47"/>
      <c r="AA47" s="11" t="s">
        <v>1368</v>
      </c>
      <c r="AB47" s="12"/>
    </row>
    <row r="48" spans="2:28" x14ac:dyDescent="0.45">
      <c r="B48"/>
      <c r="AA48" s="11" t="s">
        <v>1082</v>
      </c>
      <c r="AB48" s="12"/>
    </row>
    <row r="49" spans="2:28" x14ac:dyDescent="0.45">
      <c r="B49"/>
      <c r="AA49" s="11" t="s">
        <v>1364</v>
      </c>
      <c r="AB49" s="12"/>
    </row>
    <row r="50" spans="2:28" x14ac:dyDescent="0.45">
      <c r="B50"/>
      <c r="AA50" s="11" t="s">
        <v>993</v>
      </c>
      <c r="AB50" s="12"/>
    </row>
    <row r="51" spans="2:28" x14ac:dyDescent="0.45">
      <c r="B51"/>
      <c r="AA51" s="11" t="s">
        <v>1359</v>
      </c>
      <c r="AB51" s="12"/>
    </row>
    <row r="52" spans="2:28" x14ac:dyDescent="0.45">
      <c r="B52"/>
      <c r="AA52" s="11" t="s">
        <v>980</v>
      </c>
      <c r="AB52" s="12"/>
    </row>
    <row r="53" spans="2:28" x14ac:dyDescent="0.45">
      <c r="B53"/>
      <c r="AA53" s="11" t="s">
        <v>1274</v>
      </c>
      <c r="AB53" s="12"/>
    </row>
    <row r="54" spans="2:28" x14ac:dyDescent="0.45">
      <c r="B54"/>
      <c r="AA54" s="11" t="s">
        <v>964</v>
      </c>
      <c r="AB54" s="12"/>
    </row>
    <row r="55" spans="2:28" x14ac:dyDescent="0.45">
      <c r="B55"/>
      <c r="AA55" s="11" t="s">
        <v>1270</v>
      </c>
      <c r="AB55" s="12"/>
    </row>
    <row r="56" spans="2:28" x14ac:dyDescent="0.45">
      <c r="B56"/>
      <c r="AA56" s="11" t="s">
        <v>814</v>
      </c>
      <c r="AB56" s="12"/>
    </row>
    <row r="57" spans="2:28" x14ac:dyDescent="0.45">
      <c r="B57"/>
      <c r="AA57" s="11" t="s">
        <v>1242</v>
      </c>
      <c r="AB57" s="12"/>
    </row>
    <row r="58" spans="2:28" x14ac:dyDescent="0.45">
      <c r="B58"/>
      <c r="AA58" s="11" t="s">
        <v>1732</v>
      </c>
      <c r="AB58" s="12"/>
    </row>
    <row r="59" spans="2:28" x14ac:dyDescent="0.45">
      <c r="B59"/>
      <c r="AA59" s="11" t="s">
        <v>1237</v>
      </c>
      <c r="AB59" s="12"/>
    </row>
    <row r="60" spans="2:28" x14ac:dyDescent="0.45">
      <c r="B60"/>
      <c r="AA60" s="21" t="s">
        <v>1740</v>
      </c>
      <c r="AB60" s="12">
        <v>2400</v>
      </c>
    </row>
    <row r="61" spans="2:28" x14ac:dyDescent="0.45">
      <c r="B61"/>
    </row>
    <row r="62" spans="2:28" x14ac:dyDescent="0.45">
      <c r="B62"/>
    </row>
    <row r="63" spans="2:28" x14ac:dyDescent="0.45">
      <c r="B63"/>
    </row>
    <row r="64" spans="2:28" x14ac:dyDescent="0.45">
      <c r="B64"/>
    </row>
    <row r="65" spans="2:2" x14ac:dyDescent="0.45">
      <c r="B65"/>
    </row>
    <row r="66" spans="2:2" x14ac:dyDescent="0.45">
      <c r="B66"/>
    </row>
    <row r="67" spans="2:2" x14ac:dyDescent="0.45">
      <c r="B67"/>
    </row>
    <row r="68" spans="2:2" x14ac:dyDescent="0.45">
      <c r="B68"/>
    </row>
    <row r="69" spans="2:2" x14ac:dyDescent="0.45">
      <c r="B69"/>
    </row>
    <row r="70" spans="2:2" x14ac:dyDescent="0.45">
      <c r="B70"/>
    </row>
    <row r="71" spans="2:2" x14ac:dyDescent="0.45">
      <c r="B71"/>
    </row>
    <row r="72" spans="2:2" x14ac:dyDescent="0.45">
      <c r="B72"/>
    </row>
    <row r="73" spans="2:2" x14ac:dyDescent="0.45">
      <c r="B73"/>
    </row>
    <row r="74" spans="2:2" x14ac:dyDescent="0.45">
      <c r="B74"/>
    </row>
    <row r="75" spans="2:2" x14ac:dyDescent="0.45">
      <c r="B75"/>
    </row>
    <row r="76" spans="2:2" x14ac:dyDescent="0.45">
      <c r="B76"/>
    </row>
    <row r="77" spans="2:2" x14ac:dyDescent="0.45">
      <c r="B77"/>
    </row>
    <row r="78" spans="2:2" x14ac:dyDescent="0.45">
      <c r="B78"/>
    </row>
    <row r="79" spans="2:2" x14ac:dyDescent="0.45">
      <c r="B79"/>
    </row>
    <row r="80" spans="2:2" x14ac:dyDescent="0.45">
      <c r="B80"/>
    </row>
    <row r="81" spans="2:2" x14ac:dyDescent="0.45">
      <c r="B81"/>
    </row>
    <row r="82" spans="2:2" x14ac:dyDescent="0.45">
      <c r="B82"/>
    </row>
    <row r="83" spans="2:2" x14ac:dyDescent="0.45">
      <c r="B83"/>
    </row>
    <row r="84" spans="2:2" x14ac:dyDescent="0.45">
      <c r="B84"/>
    </row>
    <row r="85" spans="2:2" x14ac:dyDescent="0.45">
      <c r="B85"/>
    </row>
    <row r="86" spans="2:2" x14ac:dyDescent="0.45">
      <c r="B86"/>
    </row>
    <row r="87" spans="2:2" x14ac:dyDescent="0.45">
      <c r="B87"/>
    </row>
    <row r="88" spans="2:2" x14ac:dyDescent="0.45">
      <c r="B88"/>
    </row>
    <row r="89" spans="2:2" x14ac:dyDescent="0.45">
      <c r="B89"/>
    </row>
    <row r="90" spans="2:2" x14ac:dyDescent="0.45">
      <c r="B90"/>
    </row>
    <row r="91" spans="2:2" x14ac:dyDescent="0.45">
      <c r="B91"/>
    </row>
    <row r="92" spans="2:2" x14ac:dyDescent="0.45">
      <c r="B92"/>
    </row>
    <row r="93" spans="2:2" x14ac:dyDescent="0.45">
      <c r="B93"/>
    </row>
    <row r="94" spans="2:2" x14ac:dyDescent="0.45">
      <c r="B94"/>
    </row>
    <row r="95" spans="2:2" x14ac:dyDescent="0.45">
      <c r="B95"/>
    </row>
    <row r="96" spans="2:2" x14ac:dyDescent="0.45">
      <c r="B96"/>
    </row>
    <row r="97" spans="2:2" x14ac:dyDescent="0.45">
      <c r="B97"/>
    </row>
    <row r="98" spans="2:2" x14ac:dyDescent="0.45">
      <c r="B98"/>
    </row>
    <row r="99" spans="2:2" x14ac:dyDescent="0.45">
      <c r="B99"/>
    </row>
    <row r="100" spans="2:2" x14ac:dyDescent="0.45">
      <c r="B100"/>
    </row>
    <row r="101" spans="2:2" x14ac:dyDescent="0.45">
      <c r="B101"/>
    </row>
    <row r="102" spans="2:2" x14ac:dyDescent="0.45">
      <c r="B102"/>
    </row>
    <row r="103" spans="2:2" x14ac:dyDescent="0.45">
      <c r="B103"/>
    </row>
    <row r="104" spans="2:2" x14ac:dyDescent="0.45">
      <c r="B104"/>
    </row>
    <row r="105" spans="2:2" x14ac:dyDescent="0.45">
      <c r="B105"/>
    </row>
    <row r="106" spans="2:2" x14ac:dyDescent="0.45">
      <c r="B106"/>
    </row>
    <row r="107" spans="2:2" x14ac:dyDescent="0.45">
      <c r="B107"/>
    </row>
    <row r="108" spans="2:2" x14ac:dyDescent="0.45">
      <c r="B108"/>
    </row>
    <row r="109" spans="2:2" x14ac:dyDescent="0.45">
      <c r="B109"/>
    </row>
    <row r="110" spans="2:2" x14ac:dyDescent="0.45">
      <c r="B110"/>
    </row>
    <row r="111" spans="2:2" x14ac:dyDescent="0.45">
      <c r="B111"/>
    </row>
    <row r="112" spans="2:2" x14ac:dyDescent="0.45">
      <c r="B112"/>
    </row>
    <row r="113" spans="2:2" x14ac:dyDescent="0.45">
      <c r="B113"/>
    </row>
    <row r="114" spans="2:2" x14ac:dyDescent="0.45">
      <c r="B114"/>
    </row>
    <row r="115" spans="2:2" x14ac:dyDescent="0.45">
      <c r="B115"/>
    </row>
    <row r="116" spans="2:2" x14ac:dyDescent="0.45">
      <c r="B116"/>
    </row>
    <row r="117" spans="2:2" x14ac:dyDescent="0.45">
      <c r="B117"/>
    </row>
    <row r="118" spans="2:2" x14ac:dyDescent="0.45">
      <c r="B118"/>
    </row>
    <row r="119" spans="2:2" x14ac:dyDescent="0.45">
      <c r="B119"/>
    </row>
    <row r="120" spans="2:2" x14ac:dyDescent="0.45">
      <c r="B120"/>
    </row>
    <row r="121" spans="2:2" x14ac:dyDescent="0.45">
      <c r="B121"/>
    </row>
    <row r="122" spans="2:2" x14ac:dyDescent="0.45">
      <c r="B122"/>
    </row>
    <row r="123" spans="2:2" x14ac:dyDescent="0.45">
      <c r="B123"/>
    </row>
    <row r="124" spans="2:2" x14ac:dyDescent="0.45">
      <c r="B124"/>
    </row>
    <row r="125" spans="2:2" x14ac:dyDescent="0.45">
      <c r="B125"/>
    </row>
    <row r="126" spans="2:2" x14ac:dyDescent="0.45">
      <c r="B126"/>
    </row>
    <row r="127" spans="2:2" x14ac:dyDescent="0.45">
      <c r="B127"/>
    </row>
    <row r="128" spans="2:2" x14ac:dyDescent="0.45">
      <c r="B128"/>
    </row>
    <row r="129" spans="2:2" x14ac:dyDescent="0.45">
      <c r="B129"/>
    </row>
    <row r="130" spans="2:2" x14ac:dyDescent="0.45">
      <c r="B130"/>
    </row>
    <row r="131" spans="2:2" x14ac:dyDescent="0.45">
      <c r="B131"/>
    </row>
    <row r="132" spans="2:2" x14ac:dyDescent="0.45">
      <c r="B132"/>
    </row>
    <row r="133" spans="2:2" x14ac:dyDescent="0.45">
      <c r="B133"/>
    </row>
    <row r="134" spans="2:2" x14ac:dyDescent="0.45">
      <c r="B134"/>
    </row>
    <row r="135" spans="2:2" x14ac:dyDescent="0.45">
      <c r="B135"/>
    </row>
    <row r="136" spans="2:2" x14ac:dyDescent="0.45">
      <c r="B136"/>
    </row>
    <row r="137" spans="2:2" x14ac:dyDescent="0.45">
      <c r="B137"/>
    </row>
    <row r="138" spans="2:2" x14ac:dyDescent="0.45">
      <c r="B138"/>
    </row>
    <row r="139" spans="2:2" x14ac:dyDescent="0.45">
      <c r="B139"/>
    </row>
    <row r="140" spans="2:2" x14ac:dyDescent="0.45">
      <c r="B140"/>
    </row>
    <row r="141" spans="2:2" x14ac:dyDescent="0.45">
      <c r="B141"/>
    </row>
    <row r="142" spans="2:2" x14ac:dyDescent="0.45">
      <c r="B142"/>
    </row>
    <row r="143" spans="2:2" x14ac:dyDescent="0.45">
      <c r="B143"/>
    </row>
    <row r="144" spans="2:2" x14ac:dyDescent="0.45">
      <c r="B144"/>
    </row>
    <row r="145" spans="2:2" x14ac:dyDescent="0.45">
      <c r="B145"/>
    </row>
    <row r="146" spans="2:2" x14ac:dyDescent="0.45">
      <c r="B146"/>
    </row>
    <row r="147" spans="2:2" x14ac:dyDescent="0.45">
      <c r="B147"/>
    </row>
    <row r="148" spans="2:2" x14ac:dyDescent="0.45">
      <c r="B148"/>
    </row>
    <row r="149" spans="2:2" x14ac:dyDescent="0.45">
      <c r="B149"/>
    </row>
    <row r="150" spans="2:2" x14ac:dyDescent="0.45">
      <c r="B150"/>
    </row>
    <row r="151" spans="2:2" x14ac:dyDescent="0.45">
      <c r="B151"/>
    </row>
    <row r="152" spans="2:2" x14ac:dyDescent="0.45">
      <c r="B152"/>
    </row>
    <row r="153" spans="2:2" x14ac:dyDescent="0.45">
      <c r="B153"/>
    </row>
    <row r="154" spans="2:2" x14ac:dyDescent="0.45">
      <c r="B154"/>
    </row>
    <row r="155" spans="2:2" x14ac:dyDescent="0.45">
      <c r="B155"/>
    </row>
    <row r="156" spans="2:2" x14ac:dyDescent="0.45">
      <c r="B156"/>
    </row>
    <row r="157" spans="2:2" x14ac:dyDescent="0.45">
      <c r="B157"/>
    </row>
    <row r="158" spans="2:2" x14ac:dyDescent="0.45">
      <c r="B158"/>
    </row>
    <row r="159" spans="2:2" x14ac:dyDescent="0.45">
      <c r="B159"/>
    </row>
    <row r="160" spans="2:2" x14ac:dyDescent="0.45">
      <c r="B160"/>
    </row>
    <row r="161" spans="2:2" x14ac:dyDescent="0.45">
      <c r="B161"/>
    </row>
    <row r="162" spans="2:2" x14ac:dyDescent="0.45">
      <c r="B162"/>
    </row>
    <row r="163" spans="2:2" x14ac:dyDescent="0.45">
      <c r="B163"/>
    </row>
    <row r="164" spans="2:2" x14ac:dyDescent="0.45">
      <c r="B164"/>
    </row>
    <row r="165" spans="2:2" x14ac:dyDescent="0.45">
      <c r="B165"/>
    </row>
    <row r="166" spans="2:2" x14ac:dyDescent="0.45">
      <c r="B166"/>
    </row>
    <row r="167" spans="2:2" x14ac:dyDescent="0.45">
      <c r="B167"/>
    </row>
    <row r="168" spans="2:2" x14ac:dyDescent="0.45">
      <c r="B168"/>
    </row>
    <row r="169" spans="2:2" x14ac:dyDescent="0.45">
      <c r="B169"/>
    </row>
    <row r="170" spans="2:2" x14ac:dyDescent="0.45">
      <c r="B170"/>
    </row>
    <row r="171" spans="2:2" x14ac:dyDescent="0.45">
      <c r="B171"/>
    </row>
    <row r="172" spans="2:2" x14ac:dyDescent="0.45">
      <c r="B172"/>
    </row>
    <row r="173" spans="2:2" x14ac:dyDescent="0.45">
      <c r="B173"/>
    </row>
    <row r="174" spans="2:2" x14ac:dyDescent="0.45">
      <c r="B174"/>
    </row>
    <row r="175" spans="2:2" x14ac:dyDescent="0.45">
      <c r="B175"/>
    </row>
    <row r="176" spans="2:2" x14ac:dyDescent="0.45">
      <c r="B176"/>
    </row>
    <row r="177" spans="2:2" x14ac:dyDescent="0.45">
      <c r="B177"/>
    </row>
    <row r="178" spans="2:2" x14ac:dyDescent="0.45">
      <c r="B178"/>
    </row>
    <row r="179" spans="2:2" x14ac:dyDescent="0.45">
      <c r="B179"/>
    </row>
    <row r="180" spans="2:2" x14ac:dyDescent="0.45">
      <c r="B180"/>
    </row>
    <row r="181" spans="2:2" x14ac:dyDescent="0.45">
      <c r="B181"/>
    </row>
    <row r="182" spans="2:2" x14ac:dyDescent="0.45">
      <c r="B182"/>
    </row>
    <row r="183" spans="2:2" x14ac:dyDescent="0.45">
      <c r="B183"/>
    </row>
    <row r="184" spans="2:2" x14ac:dyDescent="0.45">
      <c r="B184"/>
    </row>
    <row r="185" spans="2:2" x14ac:dyDescent="0.45">
      <c r="B185"/>
    </row>
    <row r="186" spans="2:2" x14ac:dyDescent="0.45">
      <c r="B186"/>
    </row>
    <row r="187" spans="2:2" x14ac:dyDescent="0.45">
      <c r="B187"/>
    </row>
    <row r="188" spans="2:2" x14ac:dyDescent="0.45">
      <c r="B188"/>
    </row>
    <row r="189" spans="2:2" x14ac:dyDescent="0.45">
      <c r="B189"/>
    </row>
    <row r="190" spans="2:2" x14ac:dyDescent="0.45">
      <c r="B190"/>
    </row>
    <row r="191" spans="2:2" x14ac:dyDescent="0.45">
      <c r="B191"/>
    </row>
    <row r="192" spans="2:2" x14ac:dyDescent="0.45">
      <c r="B192"/>
    </row>
    <row r="193" spans="2:2" x14ac:dyDescent="0.45">
      <c r="B193"/>
    </row>
    <row r="194" spans="2:2" x14ac:dyDescent="0.45">
      <c r="B194"/>
    </row>
    <row r="195" spans="2:2" x14ac:dyDescent="0.45">
      <c r="B195"/>
    </row>
    <row r="196" spans="2:2" x14ac:dyDescent="0.45">
      <c r="B196"/>
    </row>
    <row r="197" spans="2:2" x14ac:dyDescent="0.45">
      <c r="B197"/>
    </row>
    <row r="198" spans="2:2" x14ac:dyDescent="0.45">
      <c r="B198"/>
    </row>
    <row r="199" spans="2:2" x14ac:dyDescent="0.45">
      <c r="B199"/>
    </row>
    <row r="200" spans="2:2" x14ac:dyDescent="0.45">
      <c r="B200"/>
    </row>
    <row r="201" spans="2:2" x14ac:dyDescent="0.45">
      <c r="B201"/>
    </row>
    <row r="202" spans="2:2" x14ac:dyDescent="0.45">
      <c r="B202"/>
    </row>
    <row r="203" spans="2:2" x14ac:dyDescent="0.45">
      <c r="B203"/>
    </row>
    <row r="204" spans="2:2" x14ac:dyDescent="0.45">
      <c r="B204"/>
    </row>
    <row r="205" spans="2:2" x14ac:dyDescent="0.45">
      <c r="B205"/>
    </row>
    <row r="206" spans="2:2" x14ac:dyDescent="0.45">
      <c r="B206"/>
    </row>
    <row r="207" spans="2:2" x14ac:dyDescent="0.45">
      <c r="B207"/>
    </row>
    <row r="208" spans="2:2" x14ac:dyDescent="0.45">
      <c r="B208"/>
    </row>
    <row r="209" spans="2:2" x14ac:dyDescent="0.45">
      <c r="B209"/>
    </row>
    <row r="210" spans="2:2" x14ac:dyDescent="0.45">
      <c r="B210"/>
    </row>
    <row r="211" spans="2:2" x14ac:dyDescent="0.45">
      <c r="B211"/>
    </row>
    <row r="212" spans="2:2" x14ac:dyDescent="0.45">
      <c r="B212"/>
    </row>
    <row r="213" spans="2:2" x14ac:dyDescent="0.45">
      <c r="B213"/>
    </row>
    <row r="214" spans="2:2" x14ac:dyDescent="0.45">
      <c r="B214"/>
    </row>
    <row r="215" spans="2:2" x14ac:dyDescent="0.45">
      <c r="B215"/>
    </row>
    <row r="216" spans="2:2" x14ac:dyDescent="0.45">
      <c r="B216"/>
    </row>
    <row r="217" spans="2:2" x14ac:dyDescent="0.45">
      <c r="B217"/>
    </row>
    <row r="218" spans="2:2" x14ac:dyDescent="0.45">
      <c r="B218"/>
    </row>
    <row r="219" spans="2:2" x14ac:dyDescent="0.45">
      <c r="B219"/>
    </row>
    <row r="220" spans="2:2" x14ac:dyDescent="0.45">
      <c r="B220"/>
    </row>
    <row r="221" spans="2:2" x14ac:dyDescent="0.45">
      <c r="B221"/>
    </row>
    <row r="222" spans="2:2" x14ac:dyDescent="0.45">
      <c r="B222"/>
    </row>
    <row r="223" spans="2:2" x14ac:dyDescent="0.45">
      <c r="B223"/>
    </row>
    <row r="224" spans="2:2" x14ac:dyDescent="0.45">
      <c r="B224"/>
    </row>
    <row r="225" spans="2:2" x14ac:dyDescent="0.45">
      <c r="B225"/>
    </row>
    <row r="226" spans="2:2" x14ac:dyDescent="0.45">
      <c r="B226"/>
    </row>
    <row r="227" spans="2:2" x14ac:dyDescent="0.45">
      <c r="B227"/>
    </row>
    <row r="228" spans="2:2" x14ac:dyDescent="0.45">
      <c r="B228"/>
    </row>
    <row r="229" spans="2:2" x14ac:dyDescent="0.45">
      <c r="B229"/>
    </row>
    <row r="230" spans="2:2" x14ac:dyDescent="0.45">
      <c r="B230"/>
    </row>
    <row r="231" spans="2:2" x14ac:dyDescent="0.45">
      <c r="B231"/>
    </row>
    <row r="232" spans="2:2" x14ac:dyDescent="0.45">
      <c r="B232"/>
    </row>
    <row r="233" spans="2:2" x14ac:dyDescent="0.45">
      <c r="B233"/>
    </row>
    <row r="234" spans="2:2" x14ac:dyDescent="0.45">
      <c r="B234"/>
    </row>
    <row r="235" spans="2:2" x14ac:dyDescent="0.45">
      <c r="B235"/>
    </row>
    <row r="236" spans="2:2" x14ac:dyDescent="0.45">
      <c r="B236"/>
    </row>
    <row r="237" spans="2:2" x14ac:dyDescent="0.45">
      <c r="B237"/>
    </row>
    <row r="238" spans="2:2" x14ac:dyDescent="0.45">
      <c r="B238"/>
    </row>
    <row r="239" spans="2:2" x14ac:dyDescent="0.45">
      <c r="B239"/>
    </row>
    <row r="240" spans="2:2" x14ac:dyDescent="0.45">
      <c r="B240"/>
    </row>
    <row r="241" spans="2:2" x14ac:dyDescent="0.45">
      <c r="B241"/>
    </row>
    <row r="242" spans="2:2" x14ac:dyDescent="0.45">
      <c r="B242"/>
    </row>
    <row r="243" spans="2:2" x14ac:dyDescent="0.45">
      <c r="B243"/>
    </row>
    <row r="244" spans="2:2" x14ac:dyDescent="0.45">
      <c r="B244"/>
    </row>
    <row r="245" spans="2:2" x14ac:dyDescent="0.45">
      <c r="B245"/>
    </row>
    <row r="246" spans="2:2" x14ac:dyDescent="0.45">
      <c r="B246"/>
    </row>
    <row r="247" spans="2:2" x14ac:dyDescent="0.45">
      <c r="B247"/>
    </row>
    <row r="248" spans="2:2" x14ac:dyDescent="0.45">
      <c r="B248"/>
    </row>
    <row r="249" spans="2:2" x14ac:dyDescent="0.45">
      <c r="B249"/>
    </row>
    <row r="250" spans="2:2" x14ac:dyDescent="0.45">
      <c r="B250"/>
    </row>
    <row r="251" spans="2:2" x14ac:dyDescent="0.45">
      <c r="B251"/>
    </row>
    <row r="252" spans="2:2" x14ac:dyDescent="0.45">
      <c r="B252"/>
    </row>
    <row r="253" spans="2:2" x14ac:dyDescent="0.45">
      <c r="B253"/>
    </row>
    <row r="254" spans="2:2" x14ac:dyDescent="0.45">
      <c r="B254"/>
    </row>
    <row r="255" spans="2:2" x14ac:dyDescent="0.45">
      <c r="B255"/>
    </row>
    <row r="256" spans="2:2" x14ac:dyDescent="0.45">
      <c r="B256"/>
    </row>
    <row r="257" spans="2:2" x14ac:dyDescent="0.45">
      <c r="B257"/>
    </row>
    <row r="258" spans="2:2" x14ac:dyDescent="0.45">
      <c r="B258"/>
    </row>
    <row r="259" spans="2:2" x14ac:dyDescent="0.45">
      <c r="B259"/>
    </row>
    <row r="260" spans="2:2" x14ac:dyDescent="0.45">
      <c r="B260"/>
    </row>
    <row r="261" spans="2:2" x14ac:dyDescent="0.45">
      <c r="B261"/>
    </row>
    <row r="262" spans="2:2" x14ac:dyDescent="0.45">
      <c r="B262"/>
    </row>
    <row r="263" spans="2:2" x14ac:dyDescent="0.45">
      <c r="B263"/>
    </row>
    <row r="264" spans="2:2" x14ac:dyDescent="0.45">
      <c r="B264"/>
    </row>
    <row r="265" spans="2:2" x14ac:dyDescent="0.45">
      <c r="B265"/>
    </row>
    <row r="266" spans="2:2" x14ac:dyDescent="0.45">
      <c r="B266"/>
    </row>
    <row r="267" spans="2:2" x14ac:dyDescent="0.45">
      <c r="B267"/>
    </row>
    <row r="268" spans="2:2" x14ac:dyDescent="0.45">
      <c r="B268"/>
    </row>
    <row r="269" spans="2:2" x14ac:dyDescent="0.45">
      <c r="B269"/>
    </row>
    <row r="270" spans="2:2" x14ac:dyDescent="0.45">
      <c r="B270"/>
    </row>
    <row r="271" spans="2:2" x14ac:dyDescent="0.45">
      <c r="B271"/>
    </row>
    <row r="272" spans="2:2" x14ac:dyDescent="0.45">
      <c r="B272"/>
    </row>
    <row r="273" spans="2:2" x14ac:dyDescent="0.45">
      <c r="B273"/>
    </row>
    <row r="274" spans="2:2" x14ac:dyDescent="0.45">
      <c r="B274"/>
    </row>
    <row r="275" spans="2:2" x14ac:dyDescent="0.45">
      <c r="B275"/>
    </row>
    <row r="276" spans="2:2" x14ac:dyDescent="0.45">
      <c r="B276"/>
    </row>
    <row r="277" spans="2:2" x14ac:dyDescent="0.45">
      <c r="B277"/>
    </row>
    <row r="278" spans="2:2" x14ac:dyDescent="0.45">
      <c r="B278"/>
    </row>
    <row r="279" spans="2:2" x14ac:dyDescent="0.45">
      <c r="B279"/>
    </row>
    <row r="280" spans="2:2" x14ac:dyDescent="0.45">
      <c r="B280"/>
    </row>
    <row r="281" spans="2:2" x14ac:dyDescent="0.45">
      <c r="B281"/>
    </row>
    <row r="282" spans="2:2" x14ac:dyDescent="0.45">
      <c r="B282"/>
    </row>
    <row r="283" spans="2:2" x14ac:dyDescent="0.45">
      <c r="B283"/>
    </row>
    <row r="284" spans="2:2" x14ac:dyDescent="0.45">
      <c r="B284"/>
    </row>
    <row r="285" spans="2:2" x14ac:dyDescent="0.45">
      <c r="B285"/>
    </row>
    <row r="286" spans="2:2" x14ac:dyDescent="0.45">
      <c r="B286"/>
    </row>
    <row r="287" spans="2:2" x14ac:dyDescent="0.45">
      <c r="B287"/>
    </row>
    <row r="288" spans="2:2" x14ac:dyDescent="0.45">
      <c r="B288"/>
    </row>
    <row r="289" spans="2:2" x14ac:dyDescent="0.45">
      <c r="B289"/>
    </row>
    <row r="290" spans="2:2" x14ac:dyDescent="0.45">
      <c r="B290"/>
    </row>
    <row r="291" spans="2:2" x14ac:dyDescent="0.45">
      <c r="B291"/>
    </row>
    <row r="292" spans="2:2" x14ac:dyDescent="0.45">
      <c r="B292"/>
    </row>
    <row r="293" spans="2:2" x14ac:dyDescent="0.45">
      <c r="B293"/>
    </row>
    <row r="294" spans="2:2" x14ac:dyDescent="0.45">
      <c r="B294"/>
    </row>
    <row r="295" spans="2:2" x14ac:dyDescent="0.45">
      <c r="B295"/>
    </row>
    <row r="296" spans="2:2" x14ac:dyDescent="0.45">
      <c r="B296"/>
    </row>
    <row r="297" spans="2:2" x14ac:dyDescent="0.45">
      <c r="B297"/>
    </row>
    <row r="298" spans="2:2" x14ac:dyDescent="0.45">
      <c r="B298"/>
    </row>
    <row r="299" spans="2:2" x14ac:dyDescent="0.45">
      <c r="B299"/>
    </row>
    <row r="300" spans="2:2" x14ac:dyDescent="0.45">
      <c r="B300"/>
    </row>
    <row r="301" spans="2:2" x14ac:dyDescent="0.45">
      <c r="B301"/>
    </row>
    <row r="302" spans="2:2" x14ac:dyDescent="0.45">
      <c r="B302"/>
    </row>
    <row r="303" spans="2:2" x14ac:dyDescent="0.45">
      <c r="B303"/>
    </row>
    <row r="304" spans="2:2" x14ac:dyDescent="0.45">
      <c r="B304"/>
    </row>
    <row r="305" spans="2:2" x14ac:dyDescent="0.45">
      <c r="B305"/>
    </row>
    <row r="306" spans="2:2" x14ac:dyDescent="0.45">
      <c r="B306"/>
    </row>
    <row r="307" spans="2:2" x14ac:dyDescent="0.45">
      <c r="B307"/>
    </row>
    <row r="308" spans="2:2" x14ac:dyDescent="0.45">
      <c r="B308"/>
    </row>
    <row r="309" spans="2:2" x14ac:dyDescent="0.45">
      <c r="B309"/>
    </row>
    <row r="310" spans="2:2" x14ac:dyDescent="0.45">
      <c r="B310"/>
    </row>
    <row r="311" spans="2:2" x14ac:dyDescent="0.45">
      <c r="B311"/>
    </row>
    <row r="312" spans="2:2" x14ac:dyDescent="0.45">
      <c r="B312"/>
    </row>
    <row r="313" spans="2:2" x14ac:dyDescent="0.45">
      <c r="B313"/>
    </row>
    <row r="314" spans="2:2" x14ac:dyDescent="0.45">
      <c r="B314"/>
    </row>
    <row r="315" spans="2:2" x14ac:dyDescent="0.45">
      <c r="B315"/>
    </row>
    <row r="316" spans="2:2" x14ac:dyDescent="0.45">
      <c r="B316"/>
    </row>
    <row r="317" spans="2:2" x14ac:dyDescent="0.45">
      <c r="B317"/>
    </row>
    <row r="318" spans="2:2" x14ac:dyDescent="0.45">
      <c r="B318"/>
    </row>
    <row r="319" spans="2:2" x14ac:dyDescent="0.45">
      <c r="B319"/>
    </row>
    <row r="320" spans="2:2" x14ac:dyDescent="0.45">
      <c r="B320"/>
    </row>
    <row r="321" spans="2:2" x14ac:dyDescent="0.45">
      <c r="B321"/>
    </row>
    <row r="322" spans="2:2" x14ac:dyDescent="0.45">
      <c r="B322"/>
    </row>
    <row r="323" spans="2:2" x14ac:dyDescent="0.45">
      <c r="B323"/>
    </row>
    <row r="324" spans="2:2" x14ac:dyDescent="0.45">
      <c r="B324"/>
    </row>
    <row r="325" spans="2:2" x14ac:dyDescent="0.45">
      <c r="B325"/>
    </row>
    <row r="326" spans="2:2" x14ac:dyDescent="0.45">
      <c r="B326"/>
    </row>
    <row r="327" spans="2:2" x14ac:dyDescent="0.45">
      <c r="B327"/>
    </row>
    <row r="328" spans="2:2" x14ac:dyDescent="0.45">
      <c r="B328"/>
    </row>
    <row r="329" spans="2:2" x14ac:dyDescent="0.45">
      <c r="B329"/>
    </row>
    <row r="330" spans="2:2" x14ac:dyDescent="0.45">
      <c r="B330"/>
    </row>
    <row r="331" spans="2:2" x14ac:dyDescent="0.45">
      <c r="B331"/>
    </row>
    <row r="332" spans="2:2" x14ac:dyDescent="0.45">
      <c r="B332"/>
    </row>
    <row r="333" spans="2:2" x14ac:dyDescent="0.45">
      <c r="B333"/>
    </row>
    <row r="334" spans="2:2" x14ac:dyDescent="0.45">
      <c r="B334"/>
    </row>
    <row r="335" spans="2:2" x14ac:dyDescent="0.45">
      <c r="B335"/>
    </row>
    <row r="336" spans="2:2" x14ac:dyDescent="0.45">
      <c r="B336"/>
    </row>
    <row r="337" spans="2:2" x14ac:dyDescent="0.45">
      <c r="B337"/>
    </row>
    <row r="338" spans="2:2" x14ac:dyDescent="0.45">
      <c r="B338"/>
    </row>
    <row r="339" spans="2:2" x14ac:dyDescent="0.45">
      <c r="B339"/>
    </row>
    <row r="340" spans="2:2" x14ac:dyDescent="0.45">
      <c r="B340"/>
    </row>
    <row r="341" spans="2:2" x14ac:dyDescent="0.45">
      <c r="B341"/>
    </row>
    <row r="342" spans="2:2" x14ac:dyDescent="0.45">
      <c r="B342"/>
    </row>
    <row r="343" spans="2:2" x14ac:dyDescent="0.45">
      <c r="B343"/>
    </row>
    <row r="344" spans="2:2" x14ac:dyDescent="0.45">
      <c r="B344"/>
    </row>
    <row r="345" spans="2:2" x14ac:dyDescent="0.45">
      <c r="B345"/>
    </row>
    <row r="346" spans="2:2" x14ac:dyDescent="0.45">
      <c r="B346"/>
    </row>
    <row r="347" spans="2:2" x14ac:dyDescent="0.45">
      <c r="B347"/>
    </row>
    <row r="348" spans="2:2" x14ac:dyDescent="0.45">
      <c r="B348"/>
    </row>
    <row r="349" spans="2:2" x14ac:dyDescent="0.45">
      <c r="B349"/>
    </row>
    <row r="350" spans="2:2" x14ac:dyDescent="0.45">
      <c r="B350"/>
    </row>
    <row r="351" spans="2:2" x14ac:dyDescent="0.45">
      <c r="B351"/>
    </row>
    <row r="352" spans="2:2" x14ac:dyDescent="0.45">
      <c r="B352"/>
    </row>
    <row r="353" spans="2:2" x14ac:dyDescent="0.45">
      <c r="B353"/>
    </row>
    <row r="354" spans="2:2" x14ac:dyDescent="0.45">
      <c r="B354"/>
    </row>
    <row r="355" spans="2:2" x14ac:dyDescent="0.45">
      <c r="B355"/>
    </row>
    <row r="356" spans="2:2" x14ac:dyDescent="0.45">
      <c r="B356"/>
    </row>
    <row r="357" spans="2:2" x14ac:dyDescent="0.45">
      <c r="B357"/>
    </row>
    <row r="358" spans="2:2" x14ac:dyDescent="0.45">
      <c r="B358"/>
    </row>
    <row r="359" spans="2:2" x14ac:dyDescent="0.45">
      <c r="B359"/>
    </row>
    <row r="360" spans="2:2" x14ac:dyDescent="0.45">
      <c r="B360"/>
    </row>
    <row r="361" spans="2:2" x14ac:dyDescent="0.45">
      <c r="B361"/>
    </row>
    <row r="362" spans="2:2" x14ac:dyDescent="0.45">
      <c r="B362"/>
    </row>
    <row r="363" spans="2:2" x14ac:dyDescent="0.45">
      <c r="B363"/>
    </row>
    <row r="364" spans="2:2" x14ac:dyDescent="0.45">
      <c r="B364"/>
    </row>
    <row r="365" spans="2:2" x14ac:dyDescent="0.45">
      <c r="B365"/>
    </row>
    <row r="366" spans="2:2" x14ac:dyDescent="0.45">
      <c r="B366"/>
    </row>
    <row r="367" spans="2:2" x14ac:dyDescent="0.45">
      <c r="B367"/>
    </row>
    <row r="368" spans="2:2" x14ac:dyDescent="0.45">
      <c r="B368"/>
    </row>
    <row r="369" spans="2:2" x14ac:dyDescent="0.45">
      <c r="B369"/>
    </row>
    <row r="370" spans="2:2" x14ac:dyDescent="0.45">
      <c r="B370"/>
    </row>
    <row r="371" spans="2:2" x14ac:dyDescent="0.45">
      <c r="B371"/>
    </row>
    <row r="372" spans="2:2" x14ac:dyDescent="0.45">
      <c r="B372"/>
    </row>
    <row r="373" spans="2:2" x14ac:dyDescent="0.45">
      <c r="B373"/>
    </row>
    <row r="374" spans="2:2" x14ac:dyDescent="0.45">
      <c r="B374"/>
    </row>
    <row r="375" spans="2:2" x14ac:dyDescent="0.45">
      <c r="B375"/>
    </row>
    <row r="376" spans="2:2" x14ac:dyDescent="0.45">
      <c r="B376"/>
    </row>
    <row r="377" spans="2:2" x14ac:dyDescent="0.45">
      <c r="B377"/>
    </row>
    <row r="378" spans="2:2" x14ac:dyDescent="0.45">
      <c r="B378"/>
    </row>
    <row r="379" spans="2:2" x14ac:dyDescent="0.45">
      <c r="B379"/>
    </row>
    <row r="380" spans="2:2" x14ac:dyDescent="0.45">
      <c r="B380"/>
    </row>
    <row r="381" spans="2:2" x14ac:dyDescent="0.45">
      <c r="B381"/>
    </row>
    <row r="382" spans="2:2" x14ac:dyDescent="0.45">
      <c r="B382"/>
    </row>
    <row r="383" spans="2:2" x14ac:dyDescent="0.45">
      <c r="B383"/>
    </row>
    <row r="384" spans="2:2" x14ac:dyDescent="0.45">
      <c r="B384"/>
    </row>
    <row r="385" spans="2:2" x14ac:dyDescent="0.45">
      <c r="B385"/>
    </row>
    <row r="386" spans="2:2" x14ac:dyDescent="0.45">
      <c r="B386"/>
    </row>
    <row r="387" spans="2:2" x14ac:dyDescent="0.45">
      <c r="B387"/>
    </row>
    <row r="388" spans="2:2" x14ac:dyDescent="0.45">
      <c r="B388"/>
    </row>
    <row r="389" spans="2:2" x14ac:dyDescent="0.45">
      <c r="B389"/>
    </row>
    <row r="390" spans="2:2" x14ac:dyDescent="0.45">
      <c r="B390"/>
    </row>
    <row r="391" spans="2:2" x14ac:dyDescent="0.45">
      <c r="B391"/>
    </row>
    <row r="392" spans="2:2" x14ac:dyDescent="0.45">
      <c r="B392"/>
    </row>
    <row r="393" spans="2:2" x14ac:dyDescent="0.45">
      <c r="B393"/>
    </row>
    <row r="394" spans="2:2" x14ac:dyDescent="0.45">
      <c r="B394"/>
    </row>
    <row r="395" spans="2:2" x14ac:dyDescent="0.45">
      <c r="B395"/>
    </row>
    <row r="396" spans="2:2" x14ac:dyDescent="0.45">
      <c r="B396"/>
    </row>
    <row r="397" spans="2:2" x14ac:dyDescent="0.45">
      <c r="B397"/>
    </row>
    <row r="398" spans="2:2" x14ac:dyDescent="0.45">
      <c r="B398"/>
    </row>
    <row r="399" spans="2:2" x14ac:dyDescent="0.45">
      <c r="B399"/>
    </row>
    <row r="400" spans="2:2" x14ac:dyDescent="0.45">
      <c r="B400"/>
    </row>
    <row r="401" spans="2:2" x14ac:dyDescent="0.45">
      <c r="B401"/>
    </row>
    <row r="402" spans="2:2" x14ac:dyDescent="0.45">
      <c r="B402"/>
    </row>
    <row r="403" spans="2:2" x14ac:dyDescent="0.45">
      <c r="B403"/>
    </row>
    <row r="404" spans="2:2" x14ac:dyDescent="0.45">
      <c r="B404"/>
    </row>
    <row r="405" spans="2:2" x14ac:dyDescent="0.45">
      <c r="B405"/>
    </row>
    <row r="406" spans="2:2" x14ac:dyDescent="0.45">
      <c r="B406"/>
    </row>
    <row r="407" spans="2:2" x14ac:dyDescent="0.45">
      <c r="B407"/>
    </row>
    <row r="408" spans="2:2" x14ac:dyDescent="0.45">
      <c r="B408"/>
    </row>
    <row r="409" spans="2:2" x14ac:dyDescent="0.45">
      <c r="B409"/>
    </row>
    <row r="410" spans="2:2" x14ac:dyDescent="0.45">
      <c r="B410"/>
    </row>
    <row r="411" spans="2:2" x14ac:dyDescent="0.45">
      <c r="B411"/>
    </row>
    <row r="412" spans="2:2" x14ac:dyDescent="0.45">
      <c r="B412"/>
    </row>
    <row r="413" spans="2:2" x14ac:dyDescent="0.45">
      <c r="B413"/>
    </row>
    <row r="414" spans="2:2" x14ac:dyDescent="0.45">
      <c r="B414"/>
    </row>
    <row r="415" spans="2:2" x14ac:dyDescent="0.45">
      <c r="B415"/>
    </row>
    <row r="416" spans="2:2" x14ac:dyDescent="0.45">
      <c r="B416"/>
    </row>
    <row r="417" spans="2:2" x14ac:dyDescent="0.45">
      <c r="B417"/>
    </row>
    <row r="418" spans="2:2" x14ac:dyDescent="0.45">
      <c r="B418"/>
    </row>
    <row r="419" spans="2:2" x14ac:dyDescent="0.45">
      <c r="B419"/>
    </row>
    <row r="420" spans="2:2" x14ac:dyDescent="0.45">
      <c r="B420"/>
    </row>
    <row r="421" spans="2:2" x14ac:dyDescent="0.45">
      <c r="B421"/>
    </row>
    <row r="422" spans="2:2" x14ac:dyDescent="0.45">
      <c r="B422"/>
    </row>
    <row r="423" spans="2:2" x14ac:dyDescent="0.45">
      <c r="B423"/>
    </row>
    <row r="424" spans="2:2" x14ac:dyDescent="0.45">
      <c r="B424"/>
    </row>
    <row r="425" spans="2:2" x14ac:dyDescent="0.45">
      <c r="B425"/>
    </row>
    <row r="426" spans="2:2" x14ac:dyDescent="0.45">
      <c r="B426"/>
    </row>
    <row r="427" spans="2:2" x14ac:dyDescent="0.45">
      <c r="B427"/>
    </row>
    <row r="428" spans="2:2" x14ac:dyDescent="0.45">
      <c r="B428"/>
    </row>
    <row r="429" spans="2:2" x14ac:dyDescent="0.45">
      <c r="B429"/>
    </row>
    <row r="430" spans="2:2" x14ac:dyDescent="0.45">
      <c r="B430"/>
    </row>
    <row r="431" spans="2:2" x14ac:dyDescent="0.45">
      <c r="B431"/>
    </row>
    <row r="432" spans="2:2" x14ac:dyDescent="0.45">
      <c r="B432"/>
    </row>
    <row r="433" spans="2:2" x14ac:dyDescent="0.45">
      <c r="B433"/>
    </row>
    <row r="434" spans="2:2" x14ac:dyDescent="0.45">
      <c r="B434"/>
    </row>
    <row r="435" spans="2:2" x14ac:dyDescent="0.45">
      <c r="B435"/>
    </row>
    <row r="436" spans="2:2" x14ac:dyDescent="0.45">
      <c r="B436"/>
    </row>
    <row r="437" spans="2:2" x14ac:dyDescent="0.45">
      <c r="B437"/>
    </row>
    <row r="438" spans="2:2" x14ac:dyDescent="0.45">
      <c r="B438"/>
    </row>
    <row r="439" spans="2:2" x14ac:dyDescent="0.45">
      <c r="B439"/>
    </row>
    <row r="440" spans="2:2" x14ac:dyDescent="0.45">
      <c r="B440"/>
    </row>
    <row r="441" spans="2:2" x14ac:dyDescent="0.45">
      <c r="B441"/>
    </row>
    <row r="442" spans="2:2" x14ac:dyDescent="0.45">
      <c r="B442"/>
    </row>
    <row r="443" spans="2:2" x14ac:dyDescent="0.45">
      <c r="B443"/>
    </row>
    <row r="444" spans="2:2" x14ac:dyDescent="0.45">
      <c r="B444"/>
    </row>
    <row r="445" spans="2:2" x14ac:dyDescent="0.45">
      <c r="B445"/>
    </row>
    <row r="446" spans="2:2" x14ac:dyDescent="0.45">
      <c r="B446"/>
    </row>
    <row r="447" spans="2:2" x14ac:dyDescent="0.45">
      <c r="B447"/>
    </row>
    <row r="448" spans="2:2" x14ac:dyDescent="0.45">
      <c r="B448"/>
    </row>
    <row r="449" spans="2:2" x14ac:dyDescent="0.45">
      <c r="B449"/>
    </row>
    <row r="450" spans="2:2" x14ac:dyDescent="0.45">
      <c r="B450"/>
    </row>
    <row r="451" spans="2:2" x14ac:dyDescent="0.45">
      <c r="B451"/>
    </row>
    <row r="452" spans="2:2" x14ac:dyDescent="0.45">
      <c r="B452"/>
    </row>
    <row r="453" spans="2:2" x14ac:dyDescent="0.45">
      <c r="B453"/>
    </row>
    <row r="454" spans="2:2" x14ac:dyDescent="0.45">
      <c r="B454"/>
    </row>
    <row r="455" spans="2:2" x14ac:dyDescent="0.45">
      <c r="B455"/>
    </row>
    <row r="456" spans="2:2" x14ac:dyDescent="0.45">
      <c r="B456"/>
    </row>
    <row r="457" spans="2:2" x14ac:dyDescent="0.45">
      <c r="B457"/>
    </row>
    <row r="458" spans="2:2" x14ac:dyDescent="0.45">
      <c r="B458"/>
    </row>
    <row r="459" spans="2:2" x14ac:dyDescent="0.45">
      <c r="B459"/>
    </row>
    <row r="460" spans="2:2" x14ac:dyDescent="0.45">
      <c r="B460"/>
    </row>
    <row r="461" spans="2:2" x14ac:dyDescent="0.45">
      <c r="B461"/>
    </row>
    <row r="462" spans="2:2" x14ac:dyDescent="0.45">
      <c r="B462"/>
    </row>
    <row r="463" spans="2:2" x14ac:dyDescent="0.45">
      <c r="B463"/>
    </row>
    <row r="464" spans="2:2" x14ac:dyDescent="0.45">
      <c r="B464"/>
    </row>
    <row r="465" spans="2:2" x14ac:dyDescent="0.45">
      <c r="B465"/>
    </row>
    <row r="466" spans="2:2" x14ac:dyDescent="0.45">
      <c r="B466"/>
    </row>
    <row r="467" spans="2:2" x14ac:dyDescent="0.45">
      <c r="B467"/>
    </row>
    <row r="468" spans="2:2" x14ac:dyDescent="0.45">
      <c r="B468"/>
    </row>
    <row r="469" spans="2:2" x14ac:dyDescent="0.45">
      <c r="B469"/>
    </row>
    <row r="470" spans="2:2" x14ac:dyDescent="0.45">
      <c r="B470"/>
    </row>
    <row r="471" spans="2:2" x14ac:dyDescent="0.45">
      <c r="B471"/>
    </row>
    <row r="472" spans="2:2" x14ac:dyDescent="0.45">
      <c r="B472"/>
    </row>
    <row r="473" spans="2:2" x14ac:dyDescent="0.45">
      <c r="B473"/>
    </row>
    <row r="474" spans="2:2" x14ac:dyDescent="0.45">
      <c r="B474"/>
    </row>
    <row r="475" spans="2:2" x14ac:dyDescent="0.45">
      <c r="B475"/>
    </row>
    <row r="476" spans="2:2" x14ac:dyDescent="0.45">
      <c r="B476"/>
    </row>
    <row r="477" spans="2:2" x14ac:dyDescent="0.45">
      <c r="B477"/>
    </row>
    <row r="478" spans="2:2" x14ac:dyDescent="0.45">
      <c r="B478"/>
    </row>
    <row r="479" spans="2:2" x14ac:dyDescent="0.45">
      <c r="B479"/>
    </row>
    <row r="480" spans="2:2" x14ac:dyDescent="0.45">
      <c r="B480"/>
    </row>
    <row r="481" spans="2:2" x14ac:dyDescent="0.45">
      <c r="B481"/>
    </row>
    <row r="482" spans="2:2" x14ac:dyDescent="0.45">
      <c r="B482"/>
    </row>
    <row r="483" spans="2:2" x14ac:dyDescent="0.45">
      <c r="B483"/>
    </row>
    <row r="484" spans="2:2" x14ac:dyDescent="0.45">
      <c r="B484"/>
    </row>
    <row r="485" spans="2:2" x14ac:dyDescent="0.45">
      <c r="B485"/>
    </row>
    <row r="486" spans="2:2" x14ac:dyDescent="0.45">
      <c r="B486"/>
    </row>
    <row r="487" spans="2:2" x14ac:dyDescent="0.45">
      <c r="B487"/>
    </row>
    <row r="488" spans="2:2" x14ac:dyDescent="0.45">
      <c r="B488"/>
    </row>
    <row r="489" spans="2:2" x14ac:dyDescent="0.45">
      <c r="B489"/>
    </row>
    <row r="490" spans="2:2" x14ac:dyDescent="0.45">
      <c r="B490"/>
    </row>
    <row r="491" spans="2:2" x14ac:dyDescent="0.45">
      <c r="B491"/>
    </row>
    <row r="492" spans="2:2" x14ac:dyDescent="0.45">
      <c r="B492"/>
    </row>
    <row r="493" spans="2:2" x14ac:dyDescent="0.45">
      <c r="B493"/>
    </row>
    <row r="494" spans="2:2" x14ac:dyDescent="0.45">
      <c r="B494"/>
    </row>
    <row r="495" spans="2:2" x14ac:dyDescent="0.45">
      <c r="B495"/>
    </row>
    <row r="496" spans="2:2" x14ac:dyDescent="0.45">
      <c r="B496"/>
    </row>
    <row r="497" spans="2:2" x14ac:dyDescent="0.45">
      <c r="B497"/>
    </row>
    <row r="498" spans="2:2" x14ac:dyDescent="0.45">
      <c r="B498"/>
    </row>
    <row r="499" spans="2:2" x14ac:dyDescent="0.45">
      <c r="B499"/>
    </row>
    <row r="500" spans="2:2" x14ac:dyDescent="0.45">
      <c r="B500"/>
    </row>
    <row r="501" spans="2:2" x14ac:dyDescent="0.45">
      <c r="B501"/>
    </row>
    <row r="502" spans="2:2" x14ac:dyDescent="0.45">
      <c r="B502"/>
    </row>
    <row r="503" spans="2:2" x14ac:dyDescent="0.45">
      <c r="B503"/>
    </row>
    <row r="504" spans="2:2" x14ac:dyDescent="0.45">
      <c r="B504"/>
    </row>
    <row r="505" spans="2:2" x14ac:dyDescent="0.45">
      <c r="B505"/>
    </row>
    <row r="506" spans="2:2" x14ac:dyDescent="0.45">
      <c r="B506"/>
    </row>
    <row r="507" spans="2:2" x14ac:dyDescent="0.45">
      <c r="B507"/>
    </row>
    <row r="508" spans="2:2" x14ac:dyDescent="0.45">
      <c r="B508"/>
    </row>
    <row r="509" spans="2:2" x14ac:dyDescent="0.45">
      <c r="B509"/>
    </row>
    <row r="510" spans="2:2" x14ac:dyDescent="0.45">
      <c r="B510"/>
    </row>
    <row r="511" spans="2:2" x14ac:dyDescent="0.45">
      <c r="B511"/>
    </row>
    <row r="512" spans="2:2" x14ac:dyDescent="0.45">
      <c r="B512"/>
    </row>
    <row r="513" spans="2:2" x14ac:dyDescent="0.45">
      <c r="B513"/>
    </row>
    <row r="514" spans="2:2" x14ac:dyDescent="0.45">
      <c r="B514"/>
    </row>
    <row r="515" spans="2:2" x14ac:dyDescent="0.45">
      <c r="B515"/>
    </row>
    <row r="516" spans="2:2" x14ac:dyDescent="0.45">
      <c r="B516"/>
    </row>
    <row r="517" spans="2:2" x14ac:dyDescent="0.45">
      <c r="B517"/>
    </row>
    <row r="518" spans="2:2" x14ac:dyDescent="0.45">
      <c r="B518"/>
    </row>
    <row r="519" spans="2:2" x14ac:dyDescent="0.45">
      <c r="B519"/>
    </row>
    <row r="520" spans="2:2" x14ac:dyDescent="0.45">
      <c r="B520"/>
    </row>
    <row r="521" spans="2:2" x14ac:dyDescent="0.45">
      <c r="B521"/>
    </row>
    <row r="522" spans="2:2" x14ac:dyDescent="0.45">
      <c r="B522"/>
    </row>
    <row r="523" spans="2:2" x14ac:dyDescent="0.45">
      <c r="B523"/>
    </row>
    <row r="524" spans="2:2" x14ac:dyDescent="0.45">
      <c r="B524"/>
    </row>
    <row r="525" spans="2:2" x14ac:dyDescent="0.45">
      <c r="B525"/>
    </row>
    <row r="526" spans="2:2" x14ac:dyDescent="0.45">
      <c r="B526"/>
    </row>
    <row r="527" spans="2:2" x14ac:dyDescent="0.45">
      <c r="B527"/>
    </row>
    <row r="528" spans="2:2" x14ac:dyDescent="0.45">
      <c r="B528"/>
    </row>
    <row r="529" spans="2:2" x14ac:dyDescent="0.45">
      <c r="B529"/>
    </row>
    <row r="530" spans="2:2" x14ac:dyDescent="0.45">
      <c r="B530"/>
    </row>
    <row r="531" spans="2:2" x14ac:dyDescent="0.45">
      <c r="B531"/>
    </row>
    <row r="532" spans="2:2" x14ac:dyDescent="0.45">
      <c r="B532"/>
    </row>
    <row r="533" spans="2:2" x14ac:dyDescent="0.45">
      <c r="B533"/>
    </row>
    <row r="534" spans="2:2" x14ac:dyDescent="0.45">
      <c r="B534"/>
    </row>
    <row r="535" spans="2:2" x14ac:dyDescent="0.45">
      <c r="B535"/>
    </row>
    <row r="536" spans="2:2" x14ac:dyDescent="0.45">
      <c r="B536"/>
    </row>
    <row r="537" spans="2:2" x14ac:dyDescent="0.45">
      <c r="B537"/>
    </row>
    <row r="538" spans="2:2" x14ac:dyDescent="0.45">
      <c r="B538"/>
    </row>
    <row r="539" spans="2:2" x14ac:dyDescent="0.45">
      <c r="B539"/>
    </row>
    <row r="540" spans="2:2" x14ac:dyDescent="0.45">
      <c r="B540"/>
    </row>
    <row r="541" spans="2:2" x14ac:dyDescent="0.45">
      <c r="B541"/>
    </row>
    <row r="542" spans="2:2" x14ac:dyDescent="0.45">
      <c r="B542"/>
    </row>
    <row r="543" spans="2:2" x14ac:dyDescent="0.45">
      <c r="B543"/>
    </row>
    <row r="544" spans="2:2" x14ac:dyDescent="0.45">
      <c r="B544"/>
    </row>
    <row r="545" spans="2:2" x14ac:dyDescent="0.45">
      <c r="B545"/>
    </row>
    <row r="546" spans="2:2" x14ac:dyDescent="0.45">
      <c r="B546"/>
    </row>
    <row r="547" spans="2:2" x14ac:dyDescent="0.45">
      <c r="B547"/>
    </row>
    <row r="548" spans="2:2" x14ac:dyDescent="0.45">
      <c r="B548"/>
    </row>
    <row r="549" spans="2:2" x14ac:dyDescent="0.45">
      <c r="B549"/>
    </row>
    <row r="550" spans="2:2" x14ac:dyDescent="0.45">
      <c r="B550"/>
    </row>
    <row r="551" spans="2:2" x14ac:dyDescent="0.45">
      <c r="B551"/>
    </row>
  </sheetData>
  <phoneticPr fontId="18" type="noConversion"/>
  <pageMargins left="0.7" right="0.7" top="0.75" bottom="0.75" header="0.3" footer="0.3"/>
  <drawing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E0D8A-943B-4C88-AE6F-7FDF4749AD4F}">
  <dimension ref="A1"/>
  <sheetViews>
    <sheetView showGridLines="0" showRowColHeaders="0" topLeftCell="B2" zoomScale="111" zoomScaleNormal="120" workbookViewId="0">
      <selection activeCell="Q1" sqref="Q1"/>
    </sheetView>
  </sheetViews>
  <sheetFormatPr defaultColWidth="9.1328125" defaultRowHeight="14.25" x14ac:dyDescent="0.45"/>
  <cols>
    <col min="1" max="16384" width="9.1328125" style="4"/>
  </cols>
  <sheetData/>
  <sheetProtection sheet="1" objects="1" selectLockedCells="1" selectUn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31A3153-F0A2-401A-AF32-4C6FD96216E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Clearned data</vt:lpstr>
      <vt:lpstr>Analysis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Ismaila Omeiza Abdul'mumin</dc:creator>
  <cp:keywords>Data with decision</cp:keywords>
  <cp:lastModifiedBy>Shivangi Khoria</cp:lastModifiedBy>
  <dcterms:created xsi:type="dcterms:W3CDTF">2021-11-16T08:26:41Z</dcterms:created>
  <dcterms:modified xsi:type="dcterms:W3CDTF">2026-01-09T13:04:31Z</dcterms:modified>
</cp:coreProperties>
</file>