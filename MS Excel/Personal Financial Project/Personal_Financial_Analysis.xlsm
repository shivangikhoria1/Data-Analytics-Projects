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hiva\Downloads\"/>
    </mc:Choice>
  </mc:AlternateContent>
  <xr:revisionPtr revIDLastSave="0" documentId="13_ncr:1_{86DAFECA-D4B9-4A58-B08D-E3C422F0532E}" xr6:coauthVersionLast="47" xr6:coauthVersionMax="47" xr10:uidLastSave="{00000000-0000-0000-0000-000000000000}"/>
  <bookViews>
    <workbookView xWindow="5730" yWindow="450" windowWidth="11377" windowHeight="12330" firstSheet="1" activeTab="4" xr2:uid="{E6BDDD67-BB22-4B18-AF66-6C56CCC897E5}"/>
  </bookViews>
  <sheets>
    <sheet name="Nov and Dec data" sheetId="1" state="hidden" r:id="rId1"/>
    <sheet name="PFData" sheetId="2" r:id="rId2"/>
    <sheet name="Date" sheetId="5" r:id="rId3"/>
    <sheet name="Analysis" sheetId="6" r:id="rId4"/>
    <sheet name="Dashboard" sheetId="3" r:id="rId5"/>
  </sheets>
  <externalReferences>
    <externalReference r:id="rId6"/>
  </externalReferences>
  <definedNames>
    <definedName name="_xlchart.v5.0" hidden="1">Analysis!$V$7:$V$15</definedName>
    <definedName name="_xlchart.v5.1" hidden="1">Analysis!$W$6</definedName>
    <definedName name="_xlchart.v5.2" hidden="1">Analysis!$W$7:$W$15</definedName>
    <definedName name="Dec">'[1]Data Validation'!$M$2:$N$29</definedName>
    <definedName name="Slicer_Category">#N/A</definedName>
    <definedName name="Slicer_Month_numbe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0" i="6" l="1"/>
  <c r="G22" i="6" l="1"/>
  <c r="AO21" i="6"/>
  <c r="E23" i="6" l="1"/>
  <c r="E24" i="6"/>
  <c r="E25" i="6"/>
  <c r="E26" i="6"/>
  <c r="E27" i="6"/>
  <c r="E28" i="6"/>
  <c r="E29" i="6"/>
  <c r="E30" i="6"/>
  <c r="E31" i="6"/>
  <c r="E22" i="6"/>
  <c r="D22" i="6"/>
  <c r="D23" i="6"/>
  <c r="D24" i="6"/>
  <c r="D25" i="6"/>
  <c r="D26" i="6"/>
  <c r="D27" i="6"/>
  <c r="D28" i="6"/>
  <c r="D29" i="6"/>
  <c r="D30" i="6"/>
  <c r="D31" i="6"/>
  <c r="E21" i="6"/>
  <c r="D21" i="6"/>
  <c r="J9" i="6"/>
  <c r="E32" i="6" l="1"/>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G4" i="5" l="1"/>
  <c r="G3" i="5"/>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alcChain>
</file>

<file path=xl/sharedStrings.xml><?xml version="1.0" encoding="utf-8"?>
<sst xmlns="http://schemas.openxmlformats.org/spreadsheetml/2006/main" count="2475" uniqueCount="105">
  <si>
    <t>Date</t>
  </si>
  <si>
    <t>Description</t>
  </si>
  <si>
    <t>Debit</t>
  </si>
  <si>
    <t>Credit</t>
  </si>
  <si>
    <t>Amount</t>
  </si>
  <si>
    <t>Sub-category</t>
  </si>
  <si>
    <t>Category</t>
  </si>
  <si>
    <t>Category Type</t>
  </si>
  <si>
    <t>Data With Decision</t>
  </si>
  <si>
    <t>Salary</t>
  </si>
  <si>
    <t>Income</t>
  </si>
  <si>
    <t>Drink</t>
  </si>
  <si>
    <t>Coffee</t>
  </si>
  <si>
    <t>Dining Out</t>
  </si>
  <si>
    <t>Expense</t>
  </si>
  <si>
    <t>Estate Mangement</t>
  </si>
  <si>
    <t>Rent</t>
  </si>
  <si>
    <t>Living Expenses</t>
  </si>
  <si>
    <t>Financail upgrade</t>
  </si>
  <si>
    <t>Cash loan</t>
  </si>
  <si>
    <t>Transport</t>
  </si>
  <si>
    <t>Green's</t>
  </si>
  <si>
    <t>Groceries</t>
  </si>
  <si>
    <t>Power source</t>
  </si>
  <si>
    <t>Gas/Electrics</t>
  </si>
  <si>
    <t>Fuel</t>
  </si>
  <si>
    <t>Fueling</t>
  </si>
  <si>
    <t>Cinemas</t>
  </si>
  <si>
    <t>Entertainment</t>
  </si>
  <si>
    <t>Discretionary</t>
  </si>
  <si>
    <t>Fashionistas</t>
  </si>
  <si>
    <t>Clothes</t>
  </si>
  <si>
    <t>Burger</t>
  </si>
  <si>
    <t>Restaurant</t>
  </si>
  <si>
    <t>Uba</t>
  </si>
  <si>
    <t>Taxi</t>
  </si>
  <si>
    <t>Onlne earning</t>
  </si>
  <si>
    <t>YouTube</t>
  </si>
  <si>
    <t>Passive</t>
  </si>
  <si>
    <t>Doctor</t>
  </si>
  <si>
    <t>Phone</t>
  </si>
  <si>
    <t>Sallah give away</t>
  </si>
  <si>
    <t>Gifts</t>
  </si>
  <si>
    <t>Online streaming</t>
  </si>
  <si>
    <t>Suya</t>
  </si>
  <si>
    <t>Oha soup/White soup</t>
  </si>
  <si>
    <t>Orphanage</t>
  </si>
  <si>
    <t>Donation</t>
  </si>
  <si>
    <t>Charity</t>
  </si>
  <si>
    <t>Trainers</t>
  </si>
  <si>
    <t>Hangingout/Ticket</t>
  </si>
  <si>
    <t>Foodary</t>
  </si>
  <si>
    <t>Global Fashion</t>
  </si>
  <si>
    <t>Teachable</t>
  </si>
  <si>
    <t>Furnishings</t>
  </si>
  <si>
    <t>Taken medication</t>
  </si>
  <si>
    <t>Medical</t>
  </si>
  <si>
    <t>Sport ware</t>
  </si>
  <si>
    <t>Clubing</t>
  </si>
  <si>
    <t>Home décor</t>
  </si>
  <si>
    <t>Feedings</t>
  </si>
  <si>
    <t>Month number</t>
  </si>
  <si>
    <t>Weeday</t>
  </si>
  <si>
    <t>Sum of Debit</t>
  </si>
  <si>
    <t>Sum of Amount</t>
  </si>
  <si>
    <t>Months</t>
  </si>
  <si>
    <t>Jan</t>
  </si>
  <si>
    <t>Feb</t>
  </si>
  <si>
    <t>Mar</t>
  </si>
  <si>
    <t>Apr</t>
  </si>
  <si>
    <t>May</t>
  </si>
  <si>
    <t>Jun</t>
  </si>
  <si>
    <t>Jul</t>
  </si>
  <si>
    <t>Aug</t>
  </si>
  <si>
    <t>Sep</t>
  </si>
  <si>
    <t>Oct</t>
  </si>
  <si>
    <t xml:space="preserve"> Debit</t>
  </si>
  <si>
    <t xml:space="preserve"> Credit</t>
  </si>
  <si>
    <t xml:space="preserve"> Amount</t>
  </si>
  <si>
    <t>Income by sub category</t>
  </si>
  <si>
    <t>Sum of Credit</t>
  </si>
  <si>
    <t>Grand Total</t>
  </si>
  <si>
    <t>Weekday expenses</t>
  </si>
  <si>
    <t>Top 5 sub category by expenses</t>
  </si>
  <si>
    <t>Expenses by categories</t>
  </si>
  <si>
    <t>Total Balance</t>
  </si>
  <si>
    <t xml:space="preserve">January </t>
  </si>
  <si>
    <t xml:space="preserve">Febuary </t>
  </si>
  <si>
    <t>March</t>
  </si>
  <si>
    <t>April</t>
  </si>
  <si>
    <t>July</t>
  </si>
  <si>
    <t>August</t>
  </si>
  <si>
    <t>September</t>
  </si>
  <si>
    <t>October</t>
  </si>
  <si>
    <t>June</t>
  </si>
  <si>
    <t>November</t>
  </si>
  <si>
    <t>December</t>
  </si>
  <si>
    <t>This is to show the name of the selected month</t>
  </si>
  <si>
    <t>This create the swichable table from amount to debit</t>
  </si>
  <si>
    <t>Caption</t>
  </si>
  <si>
    <t>Data with Decision</t>
  </si>
  <si>
    <t>Data for chart</t>
  </si>
  <si>
    <t>Inflow and outflow with balance</t>
  </si>
  <si>
    <t>DWD</t>
  </si>
  <si>
    <t>Here we used max and min function to pull the first and the last expenses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</si>
</sst>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d"/>
    <numFmt numFmtId="165" formatCode="[$£-809]#,##0"/>
  </numFmts>
  <fonts count="4" x14ac:knownFonts="1">
    <font>
      <sz val="11"/>
      <color theme="1"/>
      <name val="Calibri"/>
      <family val="2"/>
      <scheme val="minor"/>
    </font>
    <font>
      <b/>
      <sz val="11"/>
      <color theme="0" tint="-4.9989318521683403E-2"/>
      <name val="Calibri"/>
      <family val="2"/>
      <scheme val="minor"/>
    </font>
    <font>
      <sz val="8"/>
      <color rgb="FF000000"/>
      <name val="Segoe UI"/>
      <family val="2"/>
    </font>
    <font>
      <b/>
      <sz val="11"/>
      <color theme="1"/>
      <name val="Calibri"/>
      <family val="2"/>
      <scheme val="minor"/>
    </font>
  </fonts>
  <fills count="5">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rgb="FFFFC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14" fontId="0" fillId="0" borderId="0" xfId="0" applyNumberFormat="1"/>
    <xf numFmtId="0" fontId="0" fillId="2" borderId="0" xfId="0" applyFill="1"/>
    <xf numFmtId="164" fontId="0" fillId="0" borderId="0" xfId="0" applyNumberFormat="1"/>
    <xf numFmtId="0" fontId="0" fillId="0" borderId="0" xfId="0" pivotButton="1"/>
    <xf numFmtId="0" fontId="0" fillId="3" borderId="0" xfId="0" applyFill="1"/>
    <xf numFmtId="165" fontId="0" fillId="0" borderId="0" xfId="0" applyNumberFormat="1"/>
    <xf numFmtId="0" fontId="0" fillId="0" borderId="1" xfId="0" pivotButton="1" applyBorder="1"/>
    <xf numFmtId="0" fontId="0" fillId="0" borderId="1" xfId="0" applyBorder="1"/>
    <xf numFmtId="165" fontId="0" fillId="0" borderId="1" xfId="0" applyNumberFormat="1" applyBorder="1"/>
    <xf numFmtId="164" fontId="0" fillId="0" borderId="1" xfId="0" applyNumberFormat="1" applyBorder="1"/>
    <xf numFmtId="0" fontId="3" fillId="0" borderId="0" xfId="0" applyFont="1"/>
    <xf numFmtId="0" fontId="0" fillId="4" borderId="0" xfId="0" applyFill="1"/>
    <xf numFmtId="0" fontId="3" fillId="0" borderId="1" xfId="0" applyFont="1" applyBorder="1"/>
    <xf numFmtId="14" fontId="0" fillId="0" borderId="1" xfId="0" applyNumberFormat="1" applyBorder="1"/>
    <xf numFmtId="14" fontId="3" fillId="0" borderId="0" xfId="0" applyNumberFormat="1" applyFont="1"/>
    <xf numFmtId="14" fontId="1" fillId="3" borderId="0" xfId="0" applyNumberFormat="1" applyFont="1" applyFill="1" applyAlignment="1">
      <alignment horizontal="center"/>
    </xf>
    <xf numFmtId="14" fontId="1" fillId="3" borderId="0" xfId="0" applyNumberFormat="1" applyFont="1" applyFill="1" applyAlignment="1">
      <alignment horizontal="left"/>
    </xf>
  </cellXfs>
  <cellStyles count="1">
    <cellStyle name="Normal" xfId="0" builtinId="0"/>
  </cellStyles>
  <dxfs count="67">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ont>
        <b/>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5" formatCode="[$£-809]#,##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165"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809]#,##0"/>
    </dxf>
    <dxf>
      <numFmt numFmtId="0" formatCode="General"/>
    </dxf>
    <dxf>
      <numFmt numFmtId="164" formatCode="ddd"/>
    </dxf>
    <dxf>
      <numFmt numFmtId="0" formatCode="General"/>
    </dxf>
    <dxf>
      <numFmt numFmtId="166" formatCode="m/d/yyyy"/>
    </dxf>
    <dxf>
      <numFmt numFmtId="166" formatCode="m/d/yyyy"/>
    </dxf>
    <dxf>
      <font>
        <b/>
        <color theme="1"/>
      </font>
      <border>
        <bottom style="thin">
          <color theme="4"/>
        </bottom>
        <vertical/>
        <horizontal/>
      </border>
    </dxf>
    <dxf>
      <font>
        <color theme="1"/>
      </font>
      <fill>
        <patternFill>
          <bgColor rgb="FF2C2C2C"/>
        </patternFill>
      </fill>
      <border diagonalUp="0" diagonalDown="0">
        <left/>
        <right/>
        <top/>
        <bottom/>
        <vertical/>
        <horizontal/>
      </border>
    </dxf>
    <dxf>
      <font>
        <b/>
        <color theme="1"/>
      </font>
      <border>
        <bottom style="thin">
          <color theme="4"/>
        </bottom>
        <vertical/>
        <horizontal/>
      </border>
    </dxf>
    <dxf>
      <font>
        <color theme="1"/>
      </font>
      <fill>
        <patternFill>
          <bgColor rgb="FF2C2C2C"/>
        </patternFill>
      </fill>
      <border diagonalUp="0" diagonalDown="0">
        <left/>
        <right/>
        <top/>
        <bottom/>
        <vertical/>
        <horizontal/>
      </border>
    </dxf>
  </dxfs>
  <tableStyles count="2" defaultTableStyle="TableStyleMedium2" defaultPivotStyle="PivotStyleLight16">
    <tableStyle name="SlicerStyleLight1 2" pivot="0" table="0" count="10" xr9:uid="{BB02D0BC-3D7A-44D4-94D3-9D08F0610933}">
      <tableStyleElement type="wholeTable" dxfId="66"/>
      <tableStyleElement type="headerRow" dxfId="65"/>
    </tableStyle>
    <tableStyle name="SlicerStyleLight1 2 2" pivot="0" table="0" count="10" xr9:uid="{81155A0E-8934-400E-96CE-D396D748D9F2}">
      <tableStyleElement type="wholeTable" dxfId="64"/>
      <tableStyleElement type="headerRow" dxfId="63"/>
    </tableStyle>
  </tableStyles>
  <colors>
    <mruColors>
      <color rgb="FF232323"/>
      <color rgb="FFFFD058"/>
      <color rgb="FFFF5858"/>
      <color rgb="FF2C2C2C"/>
      <color rgb="FF5C38FF"/>
      <color rgb="FF64C4ED"/>
      <color rgb="FF1D1D1D"/>
      <color rgb="FF5664CE"/>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2"/>
            <color rgb="FFFFD058"/>
          </font>
          <fill>
            <patternFill patternType="solid">
              <fgColor auto="1"/>
              <bgColor rgb="FF2C2C2C"/>
            </patternFill>
          </fill>
          <border diagonalUp="0" diagonalDown="0">
            <left/>
            <right/>
            <top/>
            <bottom/>
            <vertical/>
            <horizontal/>
          </border>
        </dxf>
        <dxf>
          <font>
            <color rgb="FFFF5858"/>
          </font>
          <fill>
            <patternFill patternType="solid">
              <fgColor auto="1"/>
              <bgColor rgb="FF2C2C2C"/>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1"/>
            <color theme="0" tint="-4.9989318521683403E-2"/>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2C2C2C"/>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8"/>
            <color rgb="FFFFD058"/>
          </font>
          <fill>
            <patternFill patternType="solid">
              <fgColor auto="1"/>
              <bgColor rgb="FF2C2C2C"/>
            </patternFill>
          </fill>
          <border diagonalUp="0" diagonalDown="0">
            <left/>
            <right/>
            <top/>
            <bottom/>
            <vertical/>
            <horizontal/>
          </border>
        </dxf>
        <dxf>
          <font>
            <color rgb="FFFF5858"/>
          </font>
          <fill>
            <patternFill patternType="solid">
              <fgColor auto="1"/>
              <bgColor rgb="FF2C2C2C"/>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tint="-4.9989318521683403E-2"/>
          </font>
          <fill>
            <patternFill patternType="solid">
              <fgColor theme="4" tint="0.59999389629810485"/>
              <bgColor rgb="FF2C2C2C"/>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[PF+Dashboard.xlsm]Analysis!PivotTable1</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58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C38FF"/>
          </a:solidFill>
          <a:ln>
            <a:noFill/>
          </a:ln>
          <a:effectLst/>
        </c:spPr>
      </c:pivotFmt>
    </c:pivotFmts>
    <c:plotArea>
      <c:layout/>
      <c:barChart>
        <c:barDir val="col"/>
        <c:grouping val="stacked"/>
        <c:varyColors val="0"/>
        <c:ser>
          <c:idx val="0"/>
          <c:order val="0"/>
          <c:tx>
            <c:strRef>
              <c:f>Analysis!$J$6</c:f>
              <c:strCache>
                <c:ptCount val="1"/>
                <c:pt idx="0">
                  <c:v> Debit</c:v>
                </c:pt>
              </c:strCache>
            </c:strRef>
          </c:tx>
          <c:spPr>
            <a:solidFill>
              <a:srgbClr val="FF58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Analysis!$J$7</c:f>
              <c:strCache>
                <c:ptCount val="1"/>
                <c:pt idx="0">
                  <c:v>Total</c:v>
                </c:pt>
              </c:strCache>
            </c:strRef>
          </c:cat>
          <c:val>
            <c:numRef>
              <c:f>Analysis!$J$7</c:f>
              <c:numCache>
                <c:formatCode>[$£-809]#,##0</c:formatCode>
                <c:ptCount val="1"/>
                <c:pt idx="0">
                  <c:v>30190.999999999993</c:v>
                </c:pt>
              </c:numCache>
            </c:numRef>
          </c:val>
          <c:extLst>
            <c:ext xmlns:c16="http://schemas.microsoft.com/office/drawing/2014/chart" uri="{C3380CC4-5D6E-409C-BE32-E72D297353CC}">
              <c16:uniqueId val="{00000000-AC41-4B3E-B299-72978269017F}"/>
            </c:ext>
          </c:extLst>
        </c:ser>
        <c:ser>
          <c:idx val="1"/>
          <c:order val="1"/>
          <c:tx>
            <c:strRef>
              <c:f>Analysis!$K$6</c:f>
              <c:strCache>
                <c:ptCount val="1"/>
                <c:pt idx="0">
                  <c:v> Credit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Analysis!$J$7</c:f>
              <c:strCache>
                <c:ptCount val="1"/>
                <c:pt idx="0">
                  <c:v>Total</c:v>
                </c:pt>
              </c:strCache>
            </c:strRef>
          </c:cat>
          <c:val>
            <c:numRef>
              <c:f>Analysis!$K$7</c:f>
              <c:numCache>
                <c:formatCode>[$£-809]#,##0</c:formatCode>
                <c:ptCount val="1"/>
                <c:pt idx="0">
                  <c:v>65440</c:v>
                </c:pt>
              </c:numCache>
            </c:numRef>
          </c:val>
          <c:extLst>
            <c:ext xmlns:c16="http://schemas.microsoft.com/office/drawing/2014/chart" uri="{C3380CC4-5D6E-409C-BE32-E72D297353CC}">
              <c16:uniqueId val="{00000001-AC41-4B3E-B299-72978269017F}"/>
            </c:ext>
          </c:extLst>
        </c:ser>
        <c:ser>
          <c:idx val="2"/>
          <c:order val="2"/>
          <c:tx>
            <c:strRef>
              <c:f>Analysis!$L$6</c:f>
              <c:strCache>
                <c:ptCount val="1"/>
                <c:pt idx="0">
                  <c:v> Amount</c:v>
                </c:pt>
              </c:strCache>
            </c:strRef>
          </c:tx>
          <c:spPr>
            <a:solidFill>
              <a:schemeClr val="accent3"/>
            </a:solidFill>
            <a:ln>
              <a:noFill/>
            </a:ln>
            <a:effectLst/>
          </c:spPr>
          <c:invertIfNegative val="0"/>
          <c:dPt>
            <c:idx val="0"/>
            <c:invertIfNegative val="0"/>
            <c:bubble3D val="0"/>
            <c:spPr>
              <a:solidFill>
                <a:srgbClr val="5C38FF"/>
              </a:solidFill>
              <a:ln>
                <a:noFill/>
              </a:ln>
              <a:effectLst/>
            </c:spPr>
            <c:extLst>
              <c:ext xmlns:c16="http://schemas.microsoft.com/office/drawing/2014/chart" uri="{C3380CC4-5D6E-409C-BE32-E72D297353CC}">
                <c16:uniqueId val="{00000003-AC41-4B3E-B299-72978269017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Analysis!$J$7</c:f>
              <c:strCache>
                <c:ptCount val="1"/>
                <c:pt idx="0">
                  <c:v>Total</c:v>
                </c:pt>
              </c:strCache>
            </c:strRef>
          </c:cat>
          <c:val>
            <c:numRef>
              <c:f>Analysis!$L$7</c:f>
              <c:numCache>
                <c:formatCode>[$£-809]#,##0</c:formatCode>
                <c:ptCount val="1"/>
                <c:pt idx="0">
                  <c:v>35249.000000000007</c:v>
                </c:pt>
              </c:numCache>
            </c:numRef>
          </c:val>
          <c:extLst>
            <c:ext xmlns:c16="http://schemas.microsoft.com/office/drawing/2014/chart" uri="{C3380CC4-5D6E-409C-BE32-E72D297353CC}">
              <c16:uniqueId val="{00000002-AC41-4B3E-B299-72978269017F}"/>
            </c:ext>
          </c:extLst>
        </c:ser>
        <c:dLbls>
          <c:dLblPos val="ctr"/>
          <c:showLegendKey val="0"/>
          <c:showVal val="1"/>
          <c:showCatName val="0"/>
          <c:showSerName val="0"/>
          <c:showPercent val="0"/>
          <c:showBubbleSize val="0"/>
        </c:dLbls>
        <c:gapWidth val="90"/>
        <c:overlap val="100"/>
        <c:axId val="348878240"/>
        <c:axId val="1339868400"/>
      </c:barChart>
      <c:catAx>
        <c:axId val="348878240"/>
        <c:scaling>
          <c:orientation val="minMax"/>
        </c:scaling>
        <c:delete val="1"/>
        <c:axPos val="b"/>
        <c:numFmt formatCode="General" sourceLinked="1"/>
        <c:majorTickMark val="none"/>
        <c:minorTickMark val="none"/>
        <c:tickLblPos val="nextTo"/>
        <c:crossAx val="1339868400"/>
        <c:crosses val="autoZero"/>
        <c:auto val="1"/>
        <c:lblAlgn val="ctr"/>
        <c:lblOffset val="100"/>
        <c:noMultiLvlLbl val="0"/>
      </c:catAx>
      <c:valAx>
        <c:axId val="1339868400"/>
        <c:scaling>
          <c:orientation val="minMax"/>
        </c:scaling>
        <c:delete val="1"/>
        <c:axPos val="l"/>
        <c:numFmt formatCode="[$£-809]#,##0" sourceLinked="1"/>
        <c:majorTickMark val="none"/>
        <c:minorTickMark val="none"/>
        <c:tickLblPos val="nextTo"/>
        <c:crossAx val="348878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345890022922783E-2"/>
          <c:y val="0.13872832369942195"/>
          <c:w val="0.88930821995415443"/>
          <c:h val="0.68247963224250152"/>
        </c:manualLayout>
      </c:layout>
      <c:barChart>
        <c:barDir val="col"/>
        <c:grouping val="clustered"/>
        <c:varyColors val="0"/>
        <c:ser>
          <c:idx val="0"/>
          <c:order val="0"/>
          <c:tx>
            <c:strRef>
              <c:f>Analysis!$E$21</c:f>
              <c:strCache>
                <c:ptCount val="1"/>
                <c:pt idx="0">
                  <c:v>Sum of Amount</c:v>
                </c:pt>
              </c:strCache>
            </c:strRef>
          </c:tx>
          <c:spPr>
            <a:solidFill>
              <a:schemeClr val="bg1">
                <a:lumMod val="75000"/>
              </a:schemeClr>
            </a:solidFill>
            <a:ln>
              <a:noFill/>
            </a:ln>
            <a:effectLst/>
          </c:spPr>
          <c:invertIfNegative val="0"/>
          <c:cat>
            <c:strRef>
              <c:f>Analysis!$D$22:$D$31</c:f>
              <c:strCache>
                <c:ptCount val="10"/>
                <c:pt idx="0">
                  <c:v>Jan</c:v>
                </c:pt>
                <c:pt idx="1">
                  <c:v>Feb</c:v>
                </c:pt>
                <c:pt idx="2">
                  <c:v>Mar</c:v>
                </c:pt>
                <c:pt idx="3">
                  <c:v>Apr</c:v>
                </c:pt>
                <c:pt idx="4">
                  <c:v>May</c:v>
                </c:pt>
                <c:pt idx="5">
                  <c:v>Jun</c:v>
                </c:pt>
                <c:pt idx="6">
                  <c:v>Jul</c:v>
                </c:pt>
                <c:pt idx="7">
                  <c:v>Aug</c:v>
                </c:pt>
                <c:pt idx="8">
                  <c:v>Sep</c:v>
                </c:pt>
                <c:pt idx="9">
                  <c:v>Oct</c:v>
                </c:pt>
              </c:strCache>
            </c:strRef>
          </c:cat>
          <c:val>
            <c:numRef>
              <c:f>Analysis!$E$22:$E$31</c:f>
              <c:numCache>
                <c:formatCode>[$£-809]#,##0</c:formatCode>
                <c:ptCount val="10"/>
                <c:pt idx="0">
                  <c:v>2874</c:v>
                </c:pt>
                <c:pt idx="1">
                  <c:v>2904.6000000000004</c:v>
                </c:pt>
                <c:pt idx="2">
                  <c:v>3049.7</c:v>
                </c:pt>
                <c:pt idx="3">
                  <c:v>3038.0000000000005</c:v>
                </c:pt>
                <c:pt idx="4">
                  <c:v>3116.1</c:v>
                </c:pt>
                <c:pt idx="5">
                  <c:v>3005.7</c:v>
                </c:pt>
                <c:pt idx="6">
                  <c:v>3065</c:v>
                </c:pt>
                <c:pt idx="7">
                  <c:v>2952.0999999999995</c:v>
                </c:pt>
                <c:pt idx="8">
                  <c:v>3087.1</c:v>
                </c:pt>
                <c:pt idx="9">
                  <c:v>3098.7</c:v>
                </c:pt>
              </c:numCache>
            </c:numRef>
          </c:val>
          <c:extLst>
            <c:ext xmlns:c16="http://schemas.microsoft.com/office/drawing/2014/chart" uri="{C3380CC4-5D6E-409C-BE32-E72D297353CC}">
              <c16:uniqueId val="{00000000-2C7E-4589-B641-4471EB4B3CC4}"/>
            </c:ext>
          </c:extLst>
        </c:ser>
        <c:dLbls>
          <c:showLegendKey val="0"/>
          <c:showVal val="0"/>
          <c:showCatName val="0"/>
          <c:showSerName val="0"/>
          <c:showPercent val="0"/>
          <c:showBubbleSize val="0"/>
        </c:dLbls>
        <c:gapWidth val="36"/>
        <c:axId val="959200960"/>
        <c:axId val="834868784"/>
      </c:barChart>
      <c:catAx>
        <c:axId val="959200960"/>
        <c:scaling>
          <c:orientation val="minMax"/>
        </c:scaling>
        <c:delete val="0"/>
        <c:axPos val="b"/>
        <c:numFmt formatCode="General" sourceLinked="1"/>
        <c:majorTickMark val="none"/>
        <c:minorTickMark val="none"/>
        <c:tickLblPos val="nextTo"/>
        <c:spPr>
          <a:noFill/>
          <a:ln w="34925" cap="flat" cmpd="sng" algn="ctr">
            <a:solidFill>
              <a:schemeClr val="tx1">
                <a:lumMod val="65000"/>
                <a:lumOff val="3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bg1">
                    <a:lumMod val="75000"/>
                  </a:schemeClr>
                </a:solidFill>
                <a:latin typeface="+mn-lt"/>
                <a:ea typeface="+mn-ea"/>
                <a:cs typeface="+mn-cs"/>
              </a:defRPr>
            </a:pPr>
            <a:endParaRPr lang="en-US"/>
          </a:p>
        </c:txPr>
        <c:crossAx val="834868784"/>
        <c:crosses val="autoZero"/>
        <c:auto val="1"/>
        <c:lblAlgn val="ctr"/>
        <c:lblOffset val="100"/>
        <c:noMultiLvlLbl val="0"/>
      </c:catAx>
      <c:valAx>
        <c:axId val="834868784"/>
        <c:scaling>
          <c:orientation val="minMax"/>
        </c:scaling>
        <c:delete val="1"/>
        <c:axPos val="l"/>
        <c:numFmt formatCode="[$£-809]#,##0" sourceLinked="1"/>
        <c:majorTickMark val="none"/>
        <c:minorTickMark val="none"/>
        <c:tickLblPos val="nextTo"/>
        <c:crossAx val="9592009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[PF+Dashboard.xlsm]Analysis!PivotTable10</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5C38FF"/>
          </a:solidFill>
          <a:ln w="19050">
            <a:noFill/>
          </a:ln>
          <a:effectLst/>
        </c:spPr>
      </c:pivotFmt>
      <c:pivotFmt>
        <c:idx val="7"/>
        <c:spPr>
          <a:solidFill>
            <a:srgbClr val="FF5858"/>
          </a:solidFill>
          <a:ln w="19050">
            <a:noFill/>
          </a:ln>
          <a:effectLst/>
        </c:spPr>
      </c:pivotFmt>
      <c:pivotFmt>
        <c:idx val="8"/>
        <c:spPr>
          <a:solidFill>
            <a:srgbClr val="FFD058"/>
          </a:solidFill>
          <a:ln w="107950">
            <a:solidFill>
              <a:srgbClr val="FFD058"/>
            </a:solidFill>
          </a:ln>
          <a:effectLst/>
        </c:spPr>
      </c:pivotFmt>
      <c:pivotFmt>
        <c:idx val="9"/>
        <c:spPr>
          <a:solidFill>
            <a:schemeClr val="accent1"/>
          </a:solidFill>
          <a:ln w="19050">
            <a:noFill/>
          </a:ln>
          <a:effectLst/>
        </c:spPr>
      </c:pivotFmt>
    </c:pivotFmts>
    <c:plotArea>
      <c:layout/>
      <c:doughnutChart>
        <c:varyColors val="1"/>
        <c:ser>
          <c:idx val="0"/>
          <c:order val="0"/>
          <c:tx>
            <c:strRef>
              <c:f>Analysis!$S$6</c:f>
              <c:strCache>
                <c:ptCount val="1"/>
                <c:pt idx="0">
                  <c:v>Total</c:v>
                </c:pt>
              </c:strCache>
            </c:strRef>
          </c:tx>
          <c:spPr>
            <a:ln>
              <a:noFill/>
            </a:ln>
          </c:spPr>
          <c:dPt>
            <c:idx val="0"/>
            <c:bubble3D val="0"/>
            <c:spPr>
              <a:solidFill>
                <a:srgbClr val="FF5858"/>
              </a:solidFill>
              <a:ln w="19050">
                <a:noFill/>
              </a:ln>
              <a:effectLst/>
            </c:spPr>
            <c:extLst>
              <c:ext xmlns:c16="http://schemas.microsoft.com/office/drawing/2014/chart" uri="{C3380CC4-5D6E-409C-BE32-E72D297353CC}">
                <c16:uniqueId val="{00000001-239B-4DDA-96AC-60A2605FCFF7}"/>
              </c:ext>
            </c:extLst>
          </c:dPt>
          <c:dPt>
            <c:idx val="1"/>
            <c:bubble3D val="0"/>
            <c:spPr>
              <a:solidFill>
                <a:srgbClr val="FFD058"/>
              </a:solidFill>
              <a:ln w="107950">
                <a:solidFill>
                  <a:srgbClr val="FFD058"/>
                </a:solidFill>
              </a:ln>
              <a:effectLst/>
            </c:spPr>
            <c:extLst>
              <c:ext xmlns:c16="http://schemas.microsoft.com/office/drawing/2014/chart" uri="{C3380CC4-5D6E-409C-BE32-E72D297353CC}">
                <c16:uniqueId val="{00000003-239B-4DDA-96AC-60A2605FCFF7}"/>
              </c:ext>
            </c:extLst>
          </c:dPt>
          <c:dPt>
            <c:idx val="2"/>
            <c:bubble3D val="0"/>
            <c:spPr>
              <a:solidFill>
                <a:schemeClr val="accent3"/>
              </a:solidFill>
              <a:ln w="19050">
                <a:noFill/>
              </a:ln>
              <a:effectLst/>
            </c:spPr>
            <c:extLst>
              <c:ext xmlns:c16="http://schemas.microsoft.com/office/drawing/2014/chart" uri="{C3380CC4-5D6E-409C-BE32-E72D297353CC}">
                <c16:uniqueId val="{00000005-239B-4DDA-96AC-60A2605FCFF7}"/>
              </c:ext>
            </c:extLst>
          </c:dPt>
          <c:cat>
            <c:strRef>
              <c:f>Analysis!$R$7:$R$9</c:f>
              <c:strCache>
                <c:ptCount val="3"/>
                <c:pt idx="0">
                  <c:v>Teachable</c:v>
                </c:pt>
                <c:pt idx="1">
                  <c:v>YouTube</c:v>
                </c:pt>
                <c:pt idx="2">
                  <c:v>DWD</c:v>
                </c:pt>
              </c:strCache>
            </c:strRef>
          </c:cat>
          <c:val>
            <c:numRef>
              <c:f>Analysis!$S$7:$S$9</c:f>
              <c:numCache>
                <c:formatCode>[$£-809]#,##0</c:formatCode>
                <c:ptCount val="3"/>
                <c:pt idx="0">
                  <c:v>4500</c:v>
                </c:pt>
                <c:pt idx="1">
                  <c:v>10940</c:v>
                </c:pt>
                <c:pt idx="2">
                  <c:v>50000</c:v>
                </c:pt>
              </c:numCache>
            </c:numRef>
          </c:val>
          <c:extLst>
            <c:ext xmlns:c16="http://schemas.microsoft.com/office/drawing/2014/chart" uri="{C3380CC4-5D6E-409C-BE32-E72D297353CC}">
              <c16:uniqueId val="{00000006-239B-4DDA-96AC-60A2605FCFF7}"/>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[PF+Dashboard.xlsm]Analysis!PivotTable13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64C4E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D0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Analysis!$AA$8:$AA$9</c:f>
              <c:strCache>
                <c:ptCount val="1"/>
                <c:pt idx="0">
                  <c:v>Charity</c:v>
                </c:pt>
              </c:strCache>
            </c:strRef>
          </c:tx>
          <c:spPr>
            <a:solidFill>
              <a:srgbClr val="64C4ED"/>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Analysis!$AA$10:$AA$16</c:f>
              <c:numCache>
                <c:formatCode>[$£-809]#,##0</c:formatCode>
                <c:ptCount val="7"/>
                <c:pt idx="0">
                  <c:v>55</c:v>
                </c:pt>
                <c:pt idx="1">
                  <c:v>220</c:v>
                </c:pt>
                <c:pt idx="2">
                  <c:v>55</c:v>
                </c:pt>
                <c:pt idx="3">
                  <c:v>55</c:v>
                </c:pt>
                <c:pt idx="4">
                  <c:v>55</c:v>
                </c:pt>
                <c:pt idx="5">
                  <c:v>55</c:v>
                </c:pt>
                <c:pt idx="6">
                  <c:v>55</c:v>
                </c:pt>
              </c:numCache>
            </c:numRef>
          </c:val>
          <c:extLst>
            <c:ext xmlns:c16="http://schemas.microsoft.com/office/drawing/2014/chart" uri="{C3380CC4-5D6E-409C-BE32-E72D297353CC}">
              <c16:uniqueId val="{00000008-FCFC-48F2-B2E1-CDBB82919341}"/>
            </c:ext>
          </c:extLst>
        </c:ser>
        <c:ser>
          <c:idx val="1"/>
          <c:order val="1"/>
          <c:tx>
            <c:strRef>
              <c:f>Analysis!$AB$8:$AB$9</c:f>
              <c:strCache>
                <c:ptCount val="1"/>
                <c:pt idx="0">
                  <c:v>Dining Out</c:v>
                </c:pt>
              </c:strCache>
            </c:strRef>
          </c:tx>
          <c:spPr>
            <a:solidFill>
              <a:schemeClr val="accent2"/>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Analysis!$AB$10:$AB$16</c:f>
              <c:numCache>
                <c:formatCode>[$£-809]#,##0</c:formatCode>
                <c:ptCount val="7"/>
                <c:pt idx="0">
                  <c:v>293.3</c:v>
                </c:pt>
                <c:pt idx="1">
                  <c:v>353.2</c:v>
                </c:pt>
                <c:pt idx="2">
                  <c:v>297.10000000000002</c:v>
                </c:pt>
                <c:pt idx="3">
                  <c:v>367.5</c:v>
                </c:pt>
                <c:pt idx="4">
                  <c:v>341.20000000000005</c:v>
                </c:pt>
                <c:pt idx="5">
                  <c:v>305.2</c:v>
                </c:pt>
                <c:pt idx="6">
                  <c:v>516.4</c:v>
                </c:pt>
              </c:numCache>
            </c:numRef>
          </c:val>
          <c:extLst>
            <c:ext xmlns:c16="http://schemas.microsoft.com/office/drawing/2014/chart" uri="{C3380CC4-5D6E-409C-BE32-E72D297353CC}">
              <c16:uniqueId val="{00000009-FCFC-48F2-B2E1-CDBB82919341}"/>
            </c:ext>
          </c:extLst>
        </c:ser>
        <c:ser>
          <c:idx val="2"/>
          <c:order val="2"/>
          <c:tx>
            <c:strRef>
              <c:f>Analysis!$AC$8:$AC$9</c:f>
              <c:strCache>
                <c:ptCount val="1"/>
                <c:pt idx="0">
                  <c:v>Discretionary</c:v>
                </c:pt>
              </c:strCache>
            </c:strRef>
          </c:tx>
          <c:spPr>
            <a:solidFill>
              <a:srgbClr val="FFD058"/>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Analysis!$AC$10:$AC$16</c:f>
              <c:numCache>
                <c:formatCode>[$£-809]#,##0</c:formatCode>
                <c:ptCount val="7"/>
                <c:pt idx="0">
                  <c:v>1146.5</c:v>
                </c:pt>
                <c:pt idx="1">
                  <c:v>696.4</c:v>
                </c:pt>
                <c:pt idx="2">
                  <c:v>805.7</c:v>
                </c:pt>
                <c:pt idx="3">
                  <c:v>938.4</c:v>
                </c:pt>
                <c:pt idx="4">
                  <c:v>702.3</c:v>
                </c:pt>
                <c:pt idx="5">
                  <c:v>745.8</c:v>
                </c:pt>
                <c:pt idx="6">
                  <c:v>1992.5000000000002</c:v>
                </c:pt>
              </c:numCache>
            </c:numRef>
          </c:val>
          <c:extLst>
            <c:ext xmlns:c16="http://schemas.microsoft.com/office/drawing/2014/chart" uri="{C3380CC4-5D6E-409C-BE32-E72D297353CC}">
              <c16:uniqueId val="{0000000A-FCFC-48F2-B2E1-CDBB82919341}"/>
            </c:ext>
          </c:extLst>
        </c:ser>
        <c:ser>
          <c:idx val="3"/>
          <c:order val="3"/>
          <c:tx>
            <c:strRef>
              <c:f>Analysis!$AD$8:$AD$9</c:f>
              <c:strCache>
                <c:ptCount val="1"/>
                <c:pt idx="0">
                  <c:v>Living Expenses</c:v>
                </c:pt>
              </c:strCache>
            </c:strRef>
          </c:tx>
          <c:spPr>
            <a:solidFill>
              <a:srgbClr val="5C38FF"/>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Analysis!$AD$10:$AD$16</c:f>
              <c:numCache>
                <c:formatCode>[$£-809]#,##0</c:formatCode>
                <c:ptCount val="7"/>
                <c:pt idx="0">
                  <c:v>1654.1999999999998</c:v>
                </c:pt>
                <c:pt idx="1">
                  <c:v>2646.3</c:v>
                </c:pt>
                <c:pt idx="2">
                  <c:v>3624.3</c:v>
                </c:pt>
                <c:pt idx="3">
                  <c:v>1685.1</c:v>
                </c:pt>
                <c:pt idx="4">
                  <c:v>2542.1</c:v>
                </c:pt>
                <c:pt idx="5">
                  <c:v>3578.6000000000004</c:v>
                </c:pt>
                <c:pt idx="6">
                  <c:v>669.2</c:v>
                </c:pt>
              </c:numCache>
            </c:numRef>
          </c:val>
          <c:extLst>
            <c:ext xmlns:c16="http://schemas.microsoft.com/office/drawing/2014/chart" uri="{C3380CC4-5D6E-409C-BE32-E72D297353CC}">
              <c16:uniqueId val="{0000000B-FCFC-48F2-B2E1-CDBB82919341}"/>
            </c:ext>
          </c:extLst>
        </c:ser>
        <c:ser>
          <c:idx val="4"/>
          <c:order val="4"/>
          <c:tx>
            <c:strRef>
              <c:f>Analysis!$AE$8:$AE$9</c:f>
              <c:strCache>
                <c:ptCount val="1"/>
                <c:pt idx="0">
                  <c:v>Medical</c:v>
                </c:pt>
              </c:strCache>
            </c:strRef>
          </c:tx>
          <c:spPr>
            <a:solidFill>
              <a:schemeClr val="accent5"/>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Analysis!$AE$10:$AE$16</c:f>
              <c:numCache>
                <c:formatCode>[$£-809]#,##0</c:formatCode>
                <c:ptCount val="7"/>
                <c:pt idx="1">
                  <c:v>75</c:v>
                </c:pt>
                <c:pt idx="2">
                  <c:v>150</c:v>
                </c:pt>
              </c:numCache>
            </c:numRef>
          </c:val>
          <c:extLst>
            <c:ext xmlns:c16="http://schemas.microsoft.com/office/drawing/2014/chart" uri="{C3380CC4-5D6E-409C-BE32-E72D297353CC}">
              <c16:uniqueId val="{0000000C-FCFC-48F2-B2E1-CDBB82919341}"/>
            </c:ext>
          </c:extLst>
        </c:ser>
        <c:ser>
          <c:idx val="5"/>
          <c:order val="5"/>
          <c:tx>
            <c:strRef>
              <c:f>Analysis!$AF$8:$AF$9</c:f>
              <c:strCache>
                <c:ptCount val="1"/>
                <c:pt idx="0">
                  <c:v>Transport</c:v>
                </c:pt>
              </c:strCache>
            </c:strRef>
          </c:tx>
          <c:spPr>
            <a:solidFill>
              <a:schemeClr val="tx1">
                <a:lumMod val="65000"/>
                <a:lumOff val="35000"/>
              </a:schemeClr>
            </a:solidFill>
            <a:ln>
              <a:noFill/>
            </a:ln>
            <a:effectLst/>
          </c:spPr>
          <c:invertIfNegative val="0"/>
          <c:cat>
            <c:strRef>
              <c:f>Analysis!$Z$10:$Z$16</c:f>
              <c:strCache>
                <c:ptCount val="7"/>
                <c:pt idx="0">
                  <c:v>Sun</c:v>
                </c:pt>
                <c:pt idx="1">
                  <c:v>Mon</c:v>
                </c:pt>
                <c:pt idx="2">
                  <c:v>Tue</c:v>
                </c:pt>
                <c:pt idx="3">
                  <c:v>Wed</c:v>
                </c:pt>
                <c:pt idx="4">
                  <c:v>Thu</c:v>
                </c:pt>
                <c:pt idx="5">
                  <c:v>Fri</c:v>
                </c:pt>
                <c:pt idx="6">
                  <c:v>Sat</c:v>
                </c:pt>
              </c:strCache>
            </c:strRef>
          </c:cat>
          <c:val>
            <c:numRef>
              <c:f>Analysis!$AF$10:$AF$16</c:f>
              <c:numCache>
                <c:formatCode>[$£-809]#,##0</c:formatCode>
                <c:ptCount val="7"/>
                <c:pt idx="0">
                  <c:v>530.6</c:v>
                </c:pt>
                <c:pt idx="1">
                  <c:v>712.1</c:v>
                </c:pt>
                <c:pt idx="2">
                  <c:v>662.00000000000011</c:v>
                </c:pt>
                <c:pt idx="3">
                  <c:v>518.29999999999995</c:v>
                </c:pt>
                <c:pt idx="4">
                  <c:v>517.6</c:v>
                </c:pt>
                <c:pt idx="5">
                  <c:v>366.20000000000005</c:v>
                </c:pt>
                <c:pt idx="6">
                  <c:v>207.90000000000003</c:v>
                </c:pt>
              </c:numCache>
            </c:numRef>
          </c:val>
          <c:extLst>
            <c:ext xmlns:c16="http://schemas.microsoft.com/office/drawing/2014/chart" uri="{C3380CC4-5D6E-409C-BE32-E72D297353CC}">
              <c16:uniqueId val="{00000001-2DFD-46BF-A614-3B2CAF55D239}"/>
            </c:ext>
          </c:extLst>
        </c:ser>
        <c:dLbls>
          <c:showLegendKey val="0"/>
          <c:showVal val="0"/>
          <c:showCatName val="0"/>
          <c:showSerName val="0"/>
          <c:showPercent val="0"/>
          <c:showBubbleSize val="0"/>
        </c:dLbls>
        <c:gapWidth val="232"/>
        <c:overlap val="100"/>
        <c:axId val="948482176"/>
        <c:axId val="834887088"/>
      </c:barChart>
      <c:catAx>
        <c:axId val="9484821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834887088"/>
        <c:crosses val="autoZero"/>
        <c:auto val="1"/>
        <c:lblAlgn val="ctr"/>
        <c:lblOffset val="100"/>
        <c:noMultiLvlLbl val="0"/>
      </c:catAx>
      <c:valAx>
        <c:axId val="834887088"/>
        <c:scaling>
          <c:orientation val="minMax"/>
        </c:scaling>
        <c:delete val="1"/>
        <c:axPos val="l"/>
        <c:numFmt formatCode="0%" sourceLinked="1"/>
        <c:majorTickMark val="none"/>
        <c:minorTickMark val="none"/>
        <c:tickLblPos val="nextTo"/>
        <c:crossAx val="948482176"/>
        <c:crosses val="autoZero"/>
        <c:crossBetween val="between"/>
      </c:valAx>
      <c:spPr>
        <a:noFill/>
        <a:ln>
          <a:noFill/>
        </a:ln>
        <a:effectLst/>
      </c:spPr>
    </c:plotArea>
    <c:legend>
      <c:legendPos val="t"/>
      <c:layout>
        <c:manualLayout>
          <c:xMode val="edge"/>
          <c:yMode val="edge"/>
          <c:x val="9.7812296623684958E-3"/>
          <c:y val="4.494384673322524E-2"/>
          <c:w val="0.65193307587754312"/>
          <c:h val="0.236189305285884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[PF+Dashboard.xlsm]Analysis!PivotTable14</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Analysis!$AJ$8</c:f>
              <c:strCache>
                <c:ptCount val="1"/>
                <c:pt idx="0">
                  <c:v>Total</c:v>
                </c:pt>
              </c:strCache>
            </c:strRef>
          </c:tx>
          <c:spPr>
            <a:solidFill>
              <a:srgbClr val="5C38FF"/>
            </a:solidFill>
            <a:ln>
              <a:noFill/>
            </a:ln>
            <a:effectLst/>
          </c:spPr>
          <c:invertIfNegative val="0"/>
          <c:cat>
            <c:strRef>
              <c:f>Analysis!$AI$9:$AI$14</c:f>
              <c:strCache>
                <c:ptCount val="5"/>
                <c:pt idx="0">
                  <c:v>Rent</c:v>
                </c:pt>
                <c:pt idx="1">
                  <c:v>Groceries</c:v>
                </c:pt>
                <c:pt idx="2">
                  <c:v>Clothes</c:v>
                </c:pt>
                <c:pt idx="3">
                  <c:v>Entertainment</c:v>
                </c:pt>
                <c:pt idx="4">
                  <c:v>Cash loan</c:v>
                </c:pt>
              </c:strCache>
            </c:strRef>
          </c:cat>
          <c:val>
            <c:numRef>
              <c:f>Analysis!$AJ$9:$AJ$14</c:f>
              <c:numCache>
                <c:formatCode>[$£-809]#,##0</c:formatCode>
                <c:ptCount val="5"/>
                <c:pt idx="0">
                  <c:v>9000</c:v>
                </c:pt>
                <c:pt idx="1">
                  <c:v>6454.0999999999995</c:v>
                </c:pt>
                <c:pt idx="2">
                  <c:v>4303.6000000000004</c:v>
                </c:pt>
                <c:pt idx="3">
                  <c:v>1812.5999999999995</c:v>
                </c:pt>
                <c:pt idx="4">
                  <c:v>1500</c:v>
                </c:pt>
              </c:numCache>
            </c:numRef>
          </c:val>
          <c:extLst>
            <c:ext xmlns:c16="http://schemas.microsoft.com/office/drawing/2014/chart" uri="{C3380CC4-5D6E-409C-BE32-E72D297353CC}">
              <c16:uniqueId val="{00000000-3565-4648-93A6-5F9B24B3BE0A}"/>
            </c:ext>
          </c:extLst>
        </c:ser>
        <c:dLbls>
          <c:showLegendKey val="0"/>
          <c:showVal val="0"/>
          <c:showCatName val="0"/>
          <c:showSerName val="0"/>
          <c:showPercent val="0"/>
          <c:showBubbleSize val="0"/>
        </c:dLbls>
        <c:gapWidth val="77"/>
        <c:axId val="948486576"/>
        <c:axId val="834842160"/>
      </c:barChart>
      <c:catAx>
        <c:axId val="948486576"/>
        <c:scaling>
          <c:orientation val="maxMin"/>
        </c:scaling>
        <c:delete val="0"/>
        <c:axPos val="l"/>
        <c:numFmt formatCode="General" sourceLinked="1"/>
        <c:majorTickMark val="none"/>
        <c:minorTickMark val="none"/>
        <c:tickLblPos val="high"/>
        <c:spPr>
          <a:noFill/>
          <a:ln w="25400" cap="flat" cmpd="sng" algn="ctr">
            <a:solidFill>
              <a:schemeClr val="tx1">
                <a:lumMod val="65000"/>
                <a:lumOff val="35000"/>
              </a:schemeClr>
            </a:solid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834842160"/>
        <c:crosses val="autoZero"/>
        <c:auto val="1"/>
        <c:lblAlgn val="ctr"/>
        <c:lblOffset val="100"/>
        <c:noMultiLvlLbl val="0"/>
      </c:catAx>
      <c:valAx>
        <c:axId val="834842160"/>
        <c:scaling>
          <c:orientation val="minMax"/>
        </c:scaling>
        <c:delete val="1"/>
        <c:axPos val="t"/>
        <c:numFmt formatCode="[$£-809]#,##0" sourceLinked="1"/>
        <c:majorTickMark val="none"/>
        <c:minorTickMark val="none"/>
        <c:tickLblPos val="nextTo"/>
        <c:crossAx val="948486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CB5AFFAB-7261-4F59-A331-B9D74AB529CB}">
          <cx:tx>
            <cx:txData>
              <cx:f>_xlchart.v5.1</cx:f>
              <cx:v>Sum of Amount</cx:v>
            </cx:txData>
          </cx:tx>
          <cx:dataPt idx="0">
            <cx:spPr>
              <a:solidFill>
                <a:srgbClr val="5C38FF"/>
              </a:solidFill>
            </cx:spPr>
          </cx:dataPt>
          <cx:dataPt idx="1">
            <cx:spPr>
              <a:solidFill>
                <a:srgbClr val="5C38FF"/>
              </a:solidFill>
            </cx:spPr>
          </cx:dataPt>
          <cx:dataPt idx="2">
            <cx:spPr>
              <a:solidFill>
                <a:srgbClr val="FF5858"/>
              </a:solidFill>
            </cx:spPr>
          </cx:dataPt>
          <cx:dataPt idx="3">
            <cx:spPr>
              <a:solidFill>
                <a:srgbClr val="FF5858"/>
              </a:solidFill>
            </cx:spPr>
          </cx:dataPt>
          <cx:dataPt idx="4">
            <cx:spPr>
              <a:solidFill>
                <a:srgbClr val="FF5858"/>
              </a:solidFill>
            </cx:spPr>
          </cx:dataPt>
          <cx:dataPt idx="5">
            <cx:spPr>
              <a:solidFill>
                <a:srgbClr val="FF5858"/>
              </a:solidFill>
            </cx:spPr>
          </cx:dataPt>
          <cx:dataLabels pos="outEnd">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visibility seriesName="0" categoryName="0" value="1"/>
          </cx:dataLabels>
          <cx:dataId val="0"/>
          <cx:layoutPr>
            <cx:visibility connectorLines="1"/>
            <cx:subtotals>
              <cx:idx val="8"/>
            </cx:subtotals>
          </cx:layoutPr>
        </cx:series>
      </cx:plotAreaRegion>
      <cx:axis id="0">
        <cx:catScaling gapWidth="0.5"/>
        <cx:tickLabels/>
        <cx:spPr>
          <a:ln w="22225">
            <a:solidFill>
              <a:schemeClr val="tx1">
                <a:lumMod val="65000"/>
                <a:lumOff val="35000"/>
              </a:schemeClr>
            </a:solidFill>
          </a:ln>
        </cx:spPr>
        <cx:txPr>
          <a:bodyPr spcFirstLastPara="1" vertOverflow="ellipsis" horzOverflow="overflow" wrap="square" lIns="0" tIns="0" rIns="0" bIns="0" anchor="ctr" anchorCtr="1"/>
          <a:lstStyle/>
          <a:p>
            <a:pPr algn="ctr" rtl="0">
              <a:defRPr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legend>
  </cx:chart>
  <cx:spPr>
    <a:noFill/>
    <a:ln>
      <a:noFill/>
    </a:ln>
  </cx:spPr>
  <cx:fmtOvrs>
    <cx:fmtOvr idx="1">
      <cx:spPr>
        <a:solidFill>
          <a:srgbClr val="FF5858"/>
        </a:solidFill>
      </cx:spPr>
    </cx:fmtOvr>
    <cx:fmtOvr idx="2">
      <cx:spPr>
        <a:solidFill>
          <a:schemeClr val="bg1">
            <a:lumMod val="7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E$20" lockText="1" noThreeD="1"/>
</file>

<file path=xl/ctrlProps/ctrlProp2.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9" Type="http://schemas.openxmlformats.org/officeDocument/2006/relationships/chart" Target="../charts/chart5.xml"/><Relationship Id="rId21" Type="http://schemas.openxmlformats.org/officeDocument/2006/relationships/image" Target="../media/image21.png"/><Relationship Id="rId34" Type="http://schemas.openxmlformats.org/officeDocument/2006/relationships/chart" Target="../charts/chart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svg"/><Relationship Id="rId38" Type="http://schemas.openxmlformats.org/officeDocument/2006/relationships/chart" Target="../charts/chart4.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hyperlink" Target="#Analysis!A1"/><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image" Target="../media/image31.png"/><Relationship Id="rId37" Type="http://schemas.microsoft.com/office/2014/relationships/chartEx" Target="../charts/chartEx1.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svg"/><Relationship Id="rId36" Type="http://schemas.openxmlformats.org/officeDocument/2006/relationships/chart" Target="../charts/chart3.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 Id="rId35" Type="http://schemas.openxmlformats.org/officeDocument/2006/relationships/chart" Target="../charts/chart2.xml"/><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504824</xdr:colOff>
      <xdr:row>17</xdr:row>
      <xdr:rowOff>930</xdr:rowOff>
    </xdr:from>
    <xdr:to>
      <xdr:col>6</xdr:col>
      <xdr:colOff>133349</xdr:colOff>
      <xdr:row>28</xdr:row>
      <xdr:rowOff>28576</xdr:rowOff>
    </xdr:to>
    <xdr:sp macro="" textlink="">
      <xdr:nvSpPr>
        <xdr:cNvPr id="81" name="Rectangle: Rounded Corners 80">
          <a:extLst>
            <a:ext uri="{FF2B5EF4-FFF2-40B4-BE49-F238E27FC236}">
              <a16:creationId xmlns:a16="http://schemas.microsoft.com/office/drawing/2014/main" id="{00000000-0008-0000-0400-000051000000}"/>
            </a:ext>
          </a:extLst>
        </xdr:cNvPr>
        <xdr:cNvSpPr/>
      </xdr:nvSpPr>
      <xdr:spPr>
        <a:xfrm>
          <a:off x="647699" y="3228976"/>
          <a:ext cx="2676525" cy="2133600"/>
        </a:xfrm>
        <a:prstGeom prst="roundRect">
          <a:avLst>
            <a:gd name="adj" fmla="val 5434"/>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276224</xdr:colOff>
      <xdr:row>0</xdr:row>
      <xdr:rowOff>66675</xdr:rowOff>
    </xdr:from>
    <xdr:to>
      <xdr:col>21</xdr:col>
      <xdr:colOff>9525</xdr:colOff>
      <xdr:row>4</xdr:row>
      <xdr:rowOff>38100</xdr:rowOff>
    </xdr:to>
    <xdr:sp macro="" textlink="">
      <xdr:nvSpPr>
        <xdr:cNvPr id="7" name="Rectangle: Rounded Corners 6">
          <a:extLst>
            <a:ext uri="{FF2B5EF4-FFF2-40B4-BE49-F238E27FC236}">
              <a16:creationId xmlns:a16="http://schemas.microsoft.com/office/drawing/2014/main" id="{00000000-0008-0000-0400-000007000000}"/>
            </a:ext>
          </a:extLst>
        </xdr:cNvPr>
        <xdr:cNvSpPr/>
      </xdr:nvSpPr>
      <xdr:spPr>
        <a:xfrm>
          <a:off x="429305" y="66675"/>
          <a:ext cx="13113658" cy="697139"/>
        </a:xfrm>
        <a:prstGeom prst="roundRect">
          <a:avLst>
            <a:gd name="adj" fmla="val 10476"/>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66675</xdr:rowOff>
    </xdr:from>
    <xdr:to>
      <xdr:col>1</xdr:col>
      <xdr:colOff>381000</xdr:colOff>
      <xdr:row>36</xdr:row>
      <xdr:rowOff>19050</xdr:rowOff>
    </xdr:to>
    <xdr:grpSp>
      <xdr:nvGrpSpPr>
        <xdr:cNvPr id="100" name="Group 99">
          <a:extLst>
            <a:ext uri="{FF2B5EF4-FFF2-40B4-BE49-F238E27FC236}">
              <a16:creationId xmlns:a16="http://schemas.microsoft.com/office/drawing/2014/main" id="{00000000-0008-0000-0400-000064000000}"/>
            </a:ext>
          </a:extLst>
        </xdr:cNvPr>
        <xdr:cNvGrpSpPr/>
      </xdr:nvGrpSpPr>
      <xdr:grpSpPr>
        <a:xfrm>
          <a:off x="154081" y="66675"/>
          <a:ext cx="381000" cy="6409765"/>
          <a:chOff x="142875" y="66675"/>
          <a:chExt cx="381000" cy="6600825"/>
        </a:xfrm>
      </xdr:grpSpPr>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142875" y="76200"/>
            <a:ext cx="295275" cy="6591300"/>
          </a:xfrm>
          <a:prstGeom prst="roundRect">
            <a:avLst>
              <a:gd name="adj" fmla="val 32796"/>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Rounded Corners 5">
            <a:extLst>
              <a:ext uri="{FF2B5EF4-FFF2-40B4-BE49-F238E27FC236}">
                <a16:creationId xmlns:a16="http://schemas.microsoft.com/office/drawing/2014/main" id="{00000000-0008-0000-0400-000006000000}"/>
              </a:ext>
            </a:extLst>
          </xdr:cNvPr>
          <xdr:cNvSpPr/>
        </xdr:nvSpPr>
        <xdr:spPr>
          <a:xfrm>
            <a:off x="238125" y="66675"/>
            <a:ext cx="285750" cy="6600825"/>
          </a:xfrm>
          <a:prstGeom prst="roundRect">
            <a:avLst>
              <a:gd name="adj" fmla="val 11905"/>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257174</xdr:colOff>
      <xdr:row>4</xdr:row>
      <xdr:rowOff>180975</xdr:rowOff>
    </xdr:from>
    <xdr:to>
      <xdr:col>20</xdr:col>
      <xdr:colOff>914400</xdr:colOff>
      <xdr:row>35</xdr:row>
      <xdr:rowOff>76200</xdr:rowOff>
    </xdr:to>
    <xdr:grpSp>
      <xdr:nvGrpSpPr>
        <xdr:cNvPr id="76" name="Group 75">
          <a:extLst>
            <a:ext uri="{FF2B5EF4-FFF2-40B4-BE49-F238E27FC236}">
              <a16:creationId xmlns:a16="http://schemas.microsoft.com/office/drawing/2014/main" id="{00000000-0008-0000-0400-00004C000000}"/>
            </a:ext>
          </a:extLst>
        </xdr:cNvPr>
        <xdr:cNvGrpSpPr/>
      </xdr:nvGrpSpPr>
      <xdr:grpSpPr>
        <a:xfrm>
          <a:off x="10870079" y="909357"/>
          <a:ext cx="2618255" cy="5540189"/>
          <a:chOff x="10153649" y="942975"/>
          <a:chExt cx="2486026" cy="5800725"/>
        </a:xfrm>
      </xdr:grpSpPr>
      <xdr:sp macro="" textlink="">
        <xdr:nvSpPr>
          <xdr:cNvPr id="8" name="Rectangle: Rounded Corners 7">
            <a:extLst>
              <a:ext uri="{FF2B5EF4-FFF2-40B4-BE49-F238E27FC236}">
                <a16:creationId xmlns:a16="http://schemas.microsoft.com/office/drawing/2014/main" id="{00000000-0008-0000-0400-000008000000}"/>
              </a:ext>
            </a:extLst>
          </xdr:cNvPr>
          <xdr:cNvSpPr/>
        </xdr:nvSpPr>
        <xdr:spPr>
          <a:xfrm>
            <a:off x="10153649" y="942975"/>
            <a:ext cx="2486025" cy="5800725"/>
          </a:xfrm>
          <a:prstGeom prst="roundRect">
            <a:avLst>
              <a:gd name="adj" fmla="val 10476"/>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00000000-0008-0000-0400-000009000000}"/>
              </a:ext>
            </a:extLst>
          </xdr:cNvPr>
          <xdr:cNvSpPr/>
        </xdr:nvSpPr>
        <xdr:spPr>
          <a:xfrm>
            <a:off x="12353925" y="942975"/>
            <a:ext cx="285750" cy="5800725"/>
          </a:xfrm>
          <a:prstGeom prst="roundRect">
            <a:avLst>
              <a:gd name="adj" fmla="val 11905"/>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504823</xdr:colOff>
      <xdr:row>5</xdr:row>
      <xdr:rowOff>928</xdr:rowOff>
    </xdr:from>
    <xdr:to>
      <xdr:col>13</xdr:col>
      <xdr:colOff>600074</xdr:colOff>
      <xdr:row>15</xdr:row>
      <xdr:rowOff>161924</xdr:rowOff>
    </xdr:to>
    <xdr:sp macro="" textlink="">
      <xdr:nvSpPr>
        <xdr:cNvPr id="10" name="Rectangle: Rounded Corners 9">
          <a:extLst>
            <a:ext uri="{FF2B5EF4-FFF2-40B4-BE49-F238E27FC236}">
              <a16:creationId xmlns:a16="http://schemas.microsoft.com/office/drawing/2014/main" id="{00000000-0008-0000-0400-00000A000000}"/>
            </a:ext>
          </a:extLst>
        </xdr:cNvPr>
        <xdr:cNvSpPr/>
      </xdr:nvSpPr>
      <xdr:spPr>
        <a:xfrm>
          <a:off x="647698" y="952499"/>
          <a:ext cx="7410451" cy="2066925"/>
        </a:xfrm>
        <a:prstGeom prst="roundRect">
          <a:avLst>
            <a:gd name="adj" fmla="val 7925"/>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161925</xdr:colOff>
      <xdr:row>5</xdr:row>
      <xdr:rowOff>28574</xdr:rowOff>
    </xdr:from>
    <xdr:to>
      <xdr:col>17</xdr:col>
      <xdr:colOff>114300</xdr:colOff>
      <xdr:row>15</xdr:row>
      <xdr:rowOff>171449</xdr:rowOff>
    </xdr:to>
    <xdr:sp macro="" textlink="">
      <xdr:nvSpPr>
        <xdr:cNvPr id="13" name="Rectangle: Rounded Corners 12">
          <a:extLst>
            <a:ext uri="{FF2B5EF4-FFF2-40B4-BE49-F238E27FC236}">
              <a16:creationId xmlns:a16="http://schemas.microsoft.com/office/drawing/2014/main" id="{00000000-0008-0000-0400-00000D000000}"/>
            </a:ext>
          </a:extLst>
        </xdr:cNvPr>
        <xdr:cNvSpPr/>
      </xdr:nvSpPr>
      <xdr:spPr>
        <a:xfrm>
          <a:off x="8229600" y="981074"/>
          <a:ext cx="1781175" cy="2047875"/>
        </a:xfrm>
        <a:prstGeom prst="roundRect">
          <a:avLst>
            <a:gd name="adj" fmla="val 7925"/>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6</xdr:col>
      <xdr:colOff>317499</xdr:colOff>
      <xdr:row>17</xdr:row>
      <xdr:rowOff>930</xdr:rowOff>
    </xdr:from>
    <xdr:to>
      <xdr:col>10</xdr:col>
      <xdr:colOff>555624</xdr:colOff>
      <xdr:row>28</xdr:row>
      <xdr:rowOff>28576</xdr:rowOff>
    </xdr:to>
    <xdr:sp macro="" textlink="">
      <xdr:nvSpPr>
        <xdr:cNvPr id="18" name="Rectangle: Rounded Corners 17">
          <a:extLst>
            <a:ext uri="{FF2B5EF4-FFF2-40B4-BE49-F238E27FC236}">
              <a16:creationId xmlns:a16="http://schemas.microsoft.com/office/drawing/2014/main" id="{00000000-0008-0000-0400-000012000000}"/>
            </a:ext>
          </a:extLst>
        </xdr:cNvPr>
        <xdr:cNvSpPr/>
      </xdr:nvSpPr>
      <xdr:spPr>
        <a:xfrm>
          <a:off x="3508374" y="3228976"/>
          <a:ext cx="2676525" cy="2133600"/>
        </a:xfrm>
        <a:prstGeom prst="roundRect">
          <a:avLst>
            <a:gd name="adj" fmla="val 5434"/>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130174</xdr:colOff>
      <xdr:row>17</xdr:row>
      <xdr:rowOff>930</xdr:rowOff>
    </xdr:from>
    <xdr:to>
      <xdr:col>17</xdr:col>
      <xdr:colOff>73025</xdr:colOff>
      <xdr:row>28</xdr:row>
      <xdr:rowOff>28576</xdr:rowOff>
    </xdr:to>
    <xdr:sp macro="" textlink="">
      <xdr:nvSpPr>
        <xdr:cNvPr id="21" name="Rectangle: Rounded Corners 20">
          <a:extLst>
            <a:ext uri="{FF2B5EF4-FFF2-40B4-BE49-F238E27FC236}">
              <a16:creationId xmlns:a16="http://schemas.microsoft.com/office/drawing/2014/main" id="{00000000-0008-0000-0400-000015000000}"/>
            </a:ext>
          </a:extLst>
        </xdr:cNvPr>
        <xdr:cNvSpPr/>
      </xdr:nvSpPr>
      <xdr:spPr>
        <a:xfrm>
          <a:off x="6369049" y="3228976"/>
          <a:ext cx="3600451" cy="2133600"/>
        </a:xfrm>
        <a:prstGeom prst="roundRect">
          <a:avLst>
            <a:gd name="adj" fmla="val 5434"/>
          </a:avLst>
        </a:prstGeom>
        <a:solidFill>
          <a:srgbClr val="2C2C2C"/>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12</xdr:col>
      <xdr:colOff>391794</xdr:colOff>
      <xdr:row>28</xdr:row>
      <xdr:rowOff>161924</xdr:rowOff>
    </xdr:from>
    <xdr:to>
      <xdr:col>14</xdr:col>
      <xdr:colOff>248920</xdr:colOff>
      <xdr:row>34</xdr:row>
      <xdr:rowOff>57150</xdr:rowOff>
    </xdr:to>
    <xdr:sp macro="" textlink="">
      <xdr:nvSpPr>
        <xdr:cNvPr id="22" name="Rectangle: Rounded Corners 21">
          <a:extLst>
            <a:ext uri="{FF2B5EF4-FFF2-40B4-BE49-F238E27FC236}">
              <a16:creationId xmlns:a16="http://schemas.microsoft.com/office/drawing/2014/main" id="{00000000-0008-0000-0400-000016000000}"/>
            </a:ext>
          </a:extLst>
        </xdr:cNvPr>
        <xdr:cNvSpPr/>
      </xdr:nvSpPr>
      <xdr:spPr>
        <a:xfrm>
          <a:off x="7240269" y="5495924"/>
          <a:ext cx="1076326" cy="1038226"/>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206374</xdr:colOff>
      <xdr:row>28</xdr:row>
      <xdr:rowOff>171449</xdr:rowOff>
    </xdr:from>
    <xdr:to>
      <xdr:col>17</xdr:col>
      <xdr:colOff>63500</xdr:colOff>
      <xdr:row>34</xdr:row>
      <xdr:rowOff>66675</xdr:rowOff>
    </xdr:to>
    <xdr:sp macro="" textlink="">
      <xdr:nvSpPr>
        <xdr:cNvPr id="23" name="Rectangle: Rounded Corners 22">
          <a:extLst>
            <a:ext uri="{FF2B5EF4-FFF2-40B4-BE49-F238E27FC236}">
              <a16:creationId xmlns:a16="http://schemas.microsoft.com/office/drawing/2014/main" id="{00000000-0008-0000-0400-000017000000}"/>
            </a:ext>
          </a:extLst>
        </xdr:cNvPr>
        <xdr:cNvSpPr/>
      </xdr:nvSpPr>
      <xdr:spPr>
        <a:xfrm>
          <a:off x="8883649" y="5505449"/>
          <a:ext cx="1076326" cy="1038226"/>
        </a:xfrm>
        <a:prstGeom prst="roundRect">
          <a:avLst>
            <a:gd name="adj" fmla="val 9621"/>
          </a:avLst>
        </a:prstGeom>
        <a:solidFill>
          <a:srgbClr val="5C38FF"/>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xdr:col>
      <xdr:colOff>314325</xdr:colOff>
      <xdr:row>2</xdr:row>
      <xdr:rowOff>104775</xdr:rowOff>
    </xdr:from>
    <xdr:to>
      <xdr:col>1</xdr:col>
      <xdr:colOff>361950</xdr:colOff>
      <xdr:row>4</xdr:row>
      <xdr:rowOff>9525</xdr:rowOff>
    </xdr:to>
    <xdr:sp macro="" textlink="">
      <xdr:nvSpPr>
        <xdr:cNvPr id="25" name="Rectangle: Rounded Corners 24">
          <a:extLst>
            <a:ext uri="{FF2B5EF4-FFF2-40B4-BE49-F238E27FC236}">
              <a16:creationId xmlns:a16="http://schemas.microsoft.com/office/drawing/2014/main" id="{00000000-0008-0000-0400-000019000000}"/>
            </a:ext>
          </a:extLst>
        </xdr:cNvPr>
        <xdr:cNvSpPr/>
      </xdr:nvSpPr>
      <xdr:spPr>
        <a:xfrm>
          <a:off x="457200" y="485775"/>
          <a:ext cx="47625" cy="285750"/>
        </a:xfrm>
        <a:prstGeom prst="roundRect">
          <a:avLst>
            <a:gd name="adj" fmla="val 0"/>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47625</xdr:colOff>
      <xdr:row>2</xdr:row>
      <xdr:rowOff>114300</xdr:rowOff>
    </xdr:from>
    <xdr:to>
      <xdr:col>1</xdr:col>
      <xdr:colOff>276225</xdr:colOff>
      <xdr:row>3</xdr:row>
      <xdr:rowOff>152400</xdr:rowOff>
    </xdr:to>
    <xdr:pic>
      <xdr:nvPicPr>
        <xdr:cNvPr id="26" name="Graphic 25" descr="House">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0500" y="495300"/>
          <a:ext cx="228600" cy="228600"/>
        </a:xfrm>
        <a:prstGeom prst="rect">
          <a:avLst/>
        </a:prstGeom>
      </xdr:spPr>
    </xdr:pic>
    <xdr:clientData/>
  </xdr:twoCellAnchor>
  <xdr:twoCellAnchor>
    <xdr:from>
      <xdr:col>1</xdr:col>
      <xdr:colOff>219075</xdr:colOff>
      <xdr:row>2</xdr:row>
      <xdr:rowOff>114300</xdr:rowOff>
    </xdr:from>
    <xdr:to>
      <xdr:col>3</xdr:col>
      <xdr:colOff>314325</xdr:colOff>
      <xdr:row>3</xdr:row>
      <xdr:rowOff>180975</xdr:rowOff>
    </xdr:to>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361950" y="495300"/>
          <a:ext cx="13144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75000"/>
                </a:schemeClr>
              </a:solidFill>
            </a:rPr>
            <a:t>Dashboard</a:t>
          </a:r>
        </a:p>
      </xdr:txBody>
    </xdr:sp>
    <xdr:clientData/>
  </xdr:twoCellAnchor>
  <xdr:twoCellAnchor>
    <xdr:from>
      <xdr:col>1</xdr:col>
      <xdr:colOff>123825</xdr:colOff>
      <xdr:row>1</xdr:row>
      <xdr:rowOff>38100</xdr:rowOff>
    </xdr:from>
    <xdr:to>
      <xdr:col>3</xdr:col>
      <xdr:colOff>219075</xdr:colOff>
      <xdr:row>2</xdr:row>
      <xdr:rowOff>104775</xdr:rowOff>
    </xdr:to>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266700" y="228600"/>
          <a:ext cx="13144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solidFill>
                <a:schemeClr val="bg1">
                  <a:lumMod val="75000"/>
                </a:schemeClr>
              </a:solidFill>
            </a:rPr>
            <a:t>Finance</a:t>
          </a:r>
        </a:p>
      </xdr:txBody>
    </xdr:sp>
    <xdr:clientData/>
  </xdr:twoCellAnchor>
  <xdr:twoCellAnchor editAs="oneCell">
    <xdr:from>
      <xdr:col>1</xdr:col>
      <xdr:colOff>257175</xdr:colOff>
      <xdr:row>1</xdr:row>
      <xdr:rowOff>85725</xdr:rowOff>
    </xdr:from>
    <xdr:to>
      <xdr:col>1</xdr:col>
      <xdr:colOff>419100</xdr:colOff>
      <xdr:row>2</xdr:row>
      <xdr:rowOff>57150</xdr:rowOff>
    </xdr:to>
    <xdr:pic>
      <xdr:nvPicPr>
        <xdr:cNvPr id="30" name="Graphic 29" descr="Server">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0050" y="276225"/>
          <a:ext cx="161925" cy="161925"/>
        </a:xfrm>
        <a:prstGeom prst="rect">
          <a:avLst/>
        </a:prstGeom>
      </xdr:spPr>
    </xdr:pic>
    <xdr:clientData/>
  </xdr:twoCellAnchor>
  <xdr:twoCellAnchor editAs="oneCell">
    <xdr:from>
      <xdr:col>3</xdr:col>
      <xdr:colOff>409576</xdr:colOff>
      <xdr:row>1</xdr:row>
      <xdr:rowOff>47626</xdr:rowOff>
    </xdr:from>
    <xdr:to>
      <xdr:col>4</xdr:col>
      <xdr:colOff>47626</xdr:colOff>
      <xdr:row>2</xdr:row>
      <xdr:rowOff>104776</xdr:rowOff>
    </xdr:to>
    <xdr:pic>
      <xdr:nvPicPr>
        <xdr:cNvPr id="31" name="Graphic 30" descr="Scales of justice">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71651" y="238126"/>
          <a:ext cx="247650" cy="247650"/>
        </a:xfrm>
        <a:prstGeom prst="rect">
          <a:avLst/>
        </a:prstGeom>
      </xdr:spPr>
    </xdr:pic>
    <xdr:clientData/>
  </xdr:twoCellAnchor>
  <xdr:twoCellAnchor>
    <xdr:from>
      <xdr:col>3</xdr:col>
      <xdr:colOff>428624</xdr:colOff>
      <xdr:row>0</xdr:row>
      <xdr:rowOff>180975</xdr:rowOff>
    </xdr:from>
    <xdr:to>
      <xdr:col>9</xdr:col>
      <xdr:colOff>552450</xdr:colOff>
      <xdr:row>2</xdr:row>
      <xdr:rowOff>161925</xdr:rowOff>
    </xdr:to>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1790699" y="180975"/>
          <a:ext cx="378142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a:solidFill>
                <a:schemeClr val="bg1">
                  <a:lumMod val="85000"/>
                </a:schemeClr>
              </a:solidFill>
            </a:rPr>
            <a:t>Personal financial</a:t>
          </a:r>
          <a:r>
            <a:rPr lang="en-US" sz="2400" b="0" baseline="0">
              <a:solidFill>
                <a:schemeClr val="bg1">
                  <a:lumMod val="85000"/>
                </a:schemeClr>
              </a:solidFill>
            </a:rPr>
            <a:t> analysis</a:t>
          </a:r>
          <a:endParaRPr lang="en-US" sz="2400" b="0">
            <a:solidFill>
              <a:schemeClr val="bg1">
                <a:lumMod val="85000"/>
              </a:schemeClr>
            </a:solidFill>
          </a:endParaRPr>
        </a:p>
      </xdr:txBody>
    </xdr:sp>
    <xdr:clientData/>
  </xdr:twoCellAnchor>
  <xdr:twoCellAnchor editAs="absolute">
    <xdr:from>
      <xdr:col>17</xdr:col>
      <xdr:colOff>85726</xdr:colOff>
      <xdr:row>1</xdr:row>
      <xdr:rowOff>28575</xdr:rowOff>
    </xdr:from>
    <xdr:to>
      <xdr:col>18</xdr:col>
      <xdr:colOff>276226</xdr:colOff>
      <xdr:row>2</xdr:row>
      <xdr:rowOff>66675</xdr:rowOff>
    </xdr:to>
    <xdr:sp macro="" textlink="">
      <xdr:nvSpPr>
        <xdr:cNvPr id="33" name="Rectangle: Rounded Corners 32">
          <a:extLst>
            <a:ext uri="{FF2B5EF4-FFF2-40B4-BE49-F238E27FC236}">
              <a16:creationId xmlns:a16="http://schemas.microsoft.com/office/drawing/2014/main" id="{00000000-0008-0000-0400-000021000000}"/>
            </a:ext>
          </a:extLst>
        </xdr:cNvPr>
        <xdr:cNvSpPr/>
      </xdr:nvSpPr>
      <xdr:spPr>
        <a:xfrm>
          <a:off x="9982201" y="219075"/>
          <a:ext cx="800100" cy="228600"/>
        </a:xfrm>
        <a:prstGeom prst="roundRect">
          <a:avLst>
            <a:gd name="adj" fmla="val 25000"/>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Start date</a:t>
          </a:r>
        </a:p>
      </xdr:txBody>
    </xdr:sp>
    <xdr:clientData/>
  </xdr:twoCellAnchor>
  <xdr:twoCellAnchor>
    <xdr:from>
      <xdr:col>18</xdr:col>
      <xdr:colOff>590550</xdr:colOff>
      <xdr:row>1</xdr:row>
      <xdr:rowOff>0</xdr:rowOff>
    </xdr:from>
    <xdr:to>
      <xdr:col>20</xdr:col>
      <xdr:colOff>561976</xdr:colOff>
      <xdr:row>2</xdr:row>
      <xdr:rowOff>66675</xdr:rowOff>
    </xdr:to>
    <xdr:sp macro="" textlink="Date!G3">
      <xdr:nvSpPr>
        <xdr:cNvPr id="34" name="TextBox 33">
          <a:extLst>
            <a:ext uri="{FF2B5EF4-FFF2-40B4-BE49-F238E27FC236}">
              <a16:creationId xmlns:a16="http://schemas.microsoft.com/office/drawing/2014/main" id="{00000000-0008-0000-0400-000022000000}"/>
            </a:ext>
          </a:extLst>
        </xdr:cNvPr>
        <xdr:cNvSpPr txBox="1"/>
      </xdr:nvSpPr>
      <xdr:spPr>
        <a:xfrm>
          <a:off x="11096625" y="190500"/>
          <a:ext cx="119062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1BF9145-C3E7-4699-A384-475CF578B726}" type="TxLink">
            <a:rPr lang="en-US" sz="1100" b="1" i="0" u="none" strike="noStrike">
              <a:solidFill>
                <a:schemeClr val="bg1">
                  <a:lumMod val="85000"/>
                </a:schemeClr>
              </a:solidFill>
              <a:latin typeface="Calibri"/>
              <a:cs typeface="Calibri"/>
            </a:rPr>
            <a:pPr algn="l"/>
            <a:t>04-01-2021</a:t>
          </a:fld>
          <a:endParaRPr lang="en-US" sz="1400" b="1">
            <a:solidFill>
              <a:schemeClr val="bg1">
                <a:lumMod val="85000"/>
              </a:schemeClr>
            </a:solidFill>
          </a:endParaRPr>
        </a:p>
      </xdr:txBody>
    </xdr:sp>
    <xdr:clientData/>
  </xdr:twoCellAnchor>
  <xdr:twoCellAnchor>
    <xdr:from>
      <xdr:col>18</xdr:col>
      <xdr:colOff>371475</xdr:colOff>
      <xdr:row>2</xdr:row>
      <xdr:rowOff>57150</xdr:rowOff>
    </xdr:from>
    <xdr:to>
      <xdr:col>20</xdr:col>
      <xdr:colOff>342901</xdr:colOff>
      <xdr:row>3</xdr:row>
      <xdr:rowOff>123825</xdr:rowOff>
    </xdr:to>
    <xdr:sp macro="" textlink="Date!G4">
      <xdr:nvSpPr>
        <xdr:cNvPr id="36" name="TextBox 35">
          <a:extLst>
            <a:ext uri="{FF2B5EF4-FFF2-40B4-BE49-F238E27FC236}">
              <a16:creationId xmlns:a16="http://schemas.microsoft.com/office/drawing/2014/main" id="{00000000-0008-0000-0400-000024000000}"/>
            </a:ext>
          </a:extLst>
        </xdr:cNvPr>
        <xdr:cNvSpPr txBox="1"/>
      </xdr:nvSpPr>
      <xdr:spPr>
        <a:xfrm>
          <a:off x="10877550" y="438150"/>
          <a:ext cx="119062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CC6E99A-B69A-4B6E-B3DD-42D1DAE6D9D7}" type="TxLink">
            <a:rPr lang="en-US" sz="1100" b="1" i="0" u="none" strike="noStrike">
              <a:solidFill>
                <a:schemeClr val="bg1">
                  <a:lumMod val="85000"/>
                </a:schemeClr>
              </a:solidFill>
              <a:latin typeface="Calibri"/>
              <a:ea typeface="+mn-ea"/>
              <a:cs typeface="Calibri"/>
            </a:rPr>
            <a:pPr marL="0" indent="0" algn="l"/>
            <a:t>31-10-2021</a:t>
          </a:fld>
          <a:endParaRPr lang="en-US" sz="1100" b="1" i="0" u="none" strike="noStrike">
            <a:solidFill>
              <a:schemeClr val="bg1">
                <a:lumMod val="85000"/>
              </a:schemeClr>
            </a:solidFill>
            <a:latin typeface="Calibri"/>
            <a:ea typeface="+mn-ea"/>
            <a:cs typeface="Calibri"/>
          </a:endParaRPr>
        </a:p>
      </xdr:txBody>
    </xdr:sp>
    <xdr:clientData/>
  </xdr:twoCellAnchor>
  <xdr:twoCellAnchor editAs="absolute">
    <xdr:from>
      <xdr:col>16</xdr:col>
      <xdr:colOff>533401</xdr:colOff>
      <xdr:row>2</xdr:row>
      <xdr:rowOff>85725</xdr:rowOff>
    </xdr:from>
    <xdr:to>
      <xdr:col>18</xdr:col>
      <xdr:colOff>114301</xdr:colOff>
      <xdr:row>3</xdr:row>
      <xdr:rowOff>123825</xdr:rowOff>
    </xdr:to>
    <xdr:sp macro="" textlink="">
      <xdr:nvSpPr>
        <xdr:cNvPr id="37" name="Rectangle: Rounded Corners 36">
          <a:extLst>
            <a:ext uri="{FF2B5EF4-FFF2-40B4-BE49-F238E27FC236}">
              <a16:creationId xmlns:a16="http://schemas.microsoft.com/office/drawing/2014/main" id="{00000000-0008-0000-0400-000025000000}"/>
            </a:ext>
          </a:extLst>
        </xdr:cNvPr>
        <xdr:cNvSpPr/>
      </xdr:nvSpPr>
      <xdr:spPr>
        <a:xfrm>
          <a:off x="9820276" y="466725"/>
          <a:ext cx="800100" cy="228600"/>
        </a:xfrm>
        <a:prstGeom prst="roundRect">
          <a:avLst>
            <a:gd name="adj" fmla="val 25000"/>
          </a:avLst>
        </a:prstGeom>
        <a:solidFill>
          <a:srgbClr val="5C38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End date</a:t>
          </a:r>
        </a:p>
      </xdr:txBody>
    </xdr:sp>
    <xdr:clientData/>
  </xdr:twoCellAnchor>
  <xdr:twoCellAnchor>
    <xdr:from>
      <xdr:col>18</xdr:col>
      <xdr:colOff>400050</xdr:colOff>
      <xdr:row>1</xdr:row>
      <xdr:rowOff>47625</xdr:rowOff>
    </xdr:from>
    <xdr:to>
      <xdr:col>19</xdr:col>
      <xdr:colOff>19050</xdr:colOff>
      <xdr:row>2</xdr:row>
      <xdr:rowOff>28575</xdr:rowOff>
    </xdr:to>
    <xdr:grpSp>
      <xdr:nvGrpSpPr>
        <xdr:cNvPr id="41" name="Group 40">
          <a:extLst>
            <a:ext uri="{FF2B5EF4-FFF2-40B4-BE49-F238E27FC236}">
              <a16:creationId xmlns:a16="http://schemas.microsoft.com/office/drawing/2014/main" id="{00000000-0008-0000-0400-000029000000}"/>
            </a:ext>
          </a:extLst>
        </xdr:cNvPr>
        <xdr:cNvGrpSpPr/>
      </xdr:nvGrpSpPr>
      <xdr:grpSpPr>
        <a:xfrm>
          <a:off x="11666631" y="229721"/>
          <a:ext cx="272677" cy="163045"/>
          <a:chOff x="10906125" y="238125"/>
          <a:chExt cx="228600" cy="171450"/>
        </a:xfrm>
      </xdr:grpSpPr>
      <xdr:cxnSp macro="">
        <xdr:nvCxnSpPr>
          <xdr:cNvPr id="39" name="Straight Connector 38">
            <a:extLst>
              <a:ext uri="{FF2B5EF4-FFF2-40B4-BE49-F238E27FC236}">
                <a16:creationId xmlns:a16="http://schemas.microsoft.com/office/drawing/2014/main" id="{00000000-0008-0000-0400-000027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400-000028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171450</xdr:colOff>
      <xdr:row>2</xdr:row>
      <xdr:rowOff>123825</xdr:rowOff>
    </xdr:from>
    <xdr:to>
      <xdr:col>18</xdr:col>
      <xdr:colOff>400050</xdr:colOff>
      <xdr:row>3</xdr:row>
      <xdr:rowOff>104775</xdr:rowOff>
    </xdr:to>
    <xdr:grpSp>
      <xdr:nvGrpSpPr>
        <xdr:cNvPr id="42" name="Group 41">
          <a:extLst>
            <a:ext uri="{FF2B5EF4-FFF2-40B4-BE49-F238E27FC236}">
              <a16:creationId xmlns:a16="http://schemas.microsoft.com/office/drawing/2014/main" id="{00000000-0008-0000-0400-00002A000000}"/>
            </a:ext>
          </a:extLst>
        </xdr:cNvPr>
        <xdr:cNvGrpSpPr/>
      </xdr:nvGrpSpPr>
      <xdr:grpSpPr>
        <a:xfrm>
          <a:off x="11438031" y="488016"/>
          <a:ext cx="228600" cy="163046"/>
          <a:chOff x="10906125" y="238125"/>
          <a:chExt cx="228600" cy="171450"/>
        </a:xfrm>
      </xdr:grpSpPr>
      <xdr:cxnSp macro="">
        <xdr:nvCxnSpPr>
          <xdr:cNvPr id="43" name="Straight Connector 42">
            <a:extLst>
              <a:ext uri="{FF2B5EF4-FFF2-40B4-BE49-F238E27FC236}">
                <a16:creationId xmlns:a16="http://schemas.microsoft.com/office/drawing/2014/main" id="{00000000-0008-0000-0400-00002B000000}"/>
              </a:ext>
            </a:extLst>
          </xdr:cNvPr>
          <xdr:cNvCxnSpPr/>
        </xdr:nvCxnSpPr>
        <xdr:spPr>
          <a:xfrm>
            <a:off x="109061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400-00002C000000}"/>
              </a:ext>
            </a:extLst>
          </xdr:cNvPr>
          <xdr:cNvCxnSpPr/>
        </xdr:nvCxnSpPr>
        <xdr:spPr>
          <a:xfrm>
            <a:off x="11134725" y="238125"/>
            <a:ext cx="0" cy="1714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17</xdr:col>
      <xdr:colOff>523874</xdr:colOff>
      <xdr:row>5</xdr:row>
      <xdr:rowOff>104775</xdr:rowOff>
    </xdr:from>
    <xdr:to>
      <xdr:col>19</xdr:col>
      <xdr:colOff>66675</xdr:colOff>
      <xdr:row>6</xdr:row>
      <xdr:rowOff>171450</xdr:rowOff>
    </xdr:to>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10420349" y="1057275"/>
          <a:ext cx="7620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85000"/>
                </a:schemeClr>
              </a:solidFill>
              <a:latin typeface="Arial" panose="020B0604020202020204" pitchFamily="34" charset="0"/>
              <a:cs typeface="Arial" panose="020B0604020202020204" pitchFamily="34" charset="0"/>
            </a:rPr>
            <a:t>Filters</a:t>
          </a:r>
        </a:p>
      </xdr:txBody>
    </xdr:sp>
    <xdr:clientData/>
  </xdr:twoCellAnchor>
  <xdr:twoCellAnchor editAs="oneCell">
    <xdr:from>
      <xdr:col>17</xdr:col>
      <xdr:colOff>314324</xdr:colOff>
      <xdr:row>8</xdr:row>
      <xdr:rowOff>133350</xdr:rowOff>
    </xdr:from>
    <xdr:to>
      <xdr:col>20</xdr:col>
      <xdr:colOff>876299</xdr:colOff>
      <xdr:row>14</xdr:row>
      <xdr:rowOff>142875</xdr:rowOff>
    </xdr:to>
    <mc:AlternateContent xmlns:mc="http://schemas.openxmlformats.org/markup-compatibility/2006" xmlns:a14="http://schemas.microsoft.com/office/drawing/2010/main">
      <mc:Choice Requires="a14">
        <xdr:graphicFrame macro="">
          <xdr:nvGraphicFramePr>
            <xdr:cNvPr id="46" name="Month number">
              <a:extLst>
                <a:ext uri="{FF2B5EF4-FFF2-40B4-BE49-F238E27FC236}">
                  <a16:creationId xmlns:a16="http://schemas.microsoft.com/office/drawing/2014/main" id="{00000000-0008-0000-0400-00002E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mlns="">
        <xdr:sp macro="" textlink="">
          <xdr:nvSpPr>
            <xdr:cNvPr id="0" name=""/>
            <xdr:cNvSpPr>
              <a:spLocks noTextEdit="1"/>
            </xdr:cNvSpPr>
          </xdr:nvSpPr>
          <xdr:spPr>
            <a:xfrm>
              <a:off x="10210799" y="1657350"/>
              <a:ext cx="2390775"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71437</xdr:colOff>
      <xdr:row>28</xdr:row>
      <xdr:rowOff>19049</xdr:rowOff>
    </xdr:from>
    <xdr:to>
      <xdr:col>1</xdr:col>
      <xdr:colOff>314325</xdr:colOff>
      <xdr:row>35</xdr:row>
      <xdr:rowOff>71436</xdr:rowOff>
    </xdr:to>
    <xdr:sp macro="" textlink="">
      <xdr:nvSpPr>
        <xdr:cNvPr id="19" name="Rectangle: Rounded Corners 18">
          <a:extLst>
            <a:ext uri="{FF2B5EF4-FFF2-40B4-BE49-F238E27FC236}">
              <a16:creationId xmlns:a16="http://schemas.microsoft.com/office/drawing/2014/main" id="{00000000-0008-0000-0400-000013000000}"/>
            </a:ext>
          </a:extLst>
        </xdr:cNvPr>
        <xdr:cNvSpPr/>
      </xdr:nvSpPr>
      <xdr:spPr>
        <a:xfrm rot="16200000">
          <a:off x="-357188" y="5924549"/>
          <a:ext cx="1385887" cy="242888"/>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Expenses OverTime</a:t>
          </a:r>
        </a:p>
      </xdr:txBody>
    </xdr:sp>
    <xdr:clientData/>
  </xdr:twoCellAnchor>
  <xdr:twoCellAnchor>
    <xdr:from>
      <xdr:col>17</xdr:col>
      <xdr:colOff>333374</xdr:colOff>
      <xdr:row>7</xdr:row>
      <xdr:rowOff>28575</xdr:rowOff>
    </xdr:from>
    <xdr:to>
      <xdr:col>19</xdr:col>
      <xdr:colOff>447675</xdr:colOff>
      <xdr:row>8</xdr:row>
      <xdr:rowOff>95250</xdr:rowOff>
    </xdr:to>
    <xdr:sp macro="" textlink="Analysis!AO21">
      <xdr:nvSpPr>
        <xdr:cNvPr id="52" name="TextBox 51">
          <a:extLst>
            <a:ext uri="{FF2B5EF4-FFF2-40B4-BE49-F238E27FC236}">
              <a16:creationId xmlns:a16="http://schemas.microsoft.com/office/drawing/2014/main" id="{00000000-0008-0000-0400-000034000000}"/>
            </a:ext>
          </a:extLst>
        </xdr:cNvPr>
        <xdr:cNvSpPr txBox="1"/>
      </xdr:nvSpPr>
      <xdr:spPr>
        <a:xfrm>
          <a:off x="10229849" y="1362075"/>
          <a:ext cx="133350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B202800-E267-457D-97FD-8F1104E2FC03}" type="TxLink">
            <a:rPr lang="en-US" sz="1100" b="0">
              <a:solidFill>
                <a:schemeClr val="bg1">
                  <a:lumMod val="85000"/>
                </a:schemeClr>
              </a:solidFill>
              <a:latin typeface="Arial" panose="020B0604020202020204" pitchFamily="34" charset="0"/>
              <a:ea typeface="+mn-ea"/>
              <a:cs typeface="Arial" panose="020B0604020202020204" pitchFamily="34" charset="0"/>
            </a:rPr>
            <a:pPr marL="0" indent="0" algn="l"/>
            <a:t>Multiple months</a:t>
          </a:fld>
          <a:endParaRPr lang="en-US" sz="1100" b="0">
            <a:solidFill>
              <a:schemeClr val="bg1">
                <a:lumMod val="85000"/>
              </a:schemeClr>
            </a:solidFill>
            <a:latin typeface="Arial" panose="020B0604020202020204" pitchFamily="34" charset="0"/>
            <a:ea typeface="+mn-ea"/>
            <a:cs typeface="Arial" panose="020B0604020202020204" pitchFamily="34" charset="0"/>
          </a:endParaRPr>
        </a:p>
      </xdr:txBody>
    </xdr:sp>
    <xdr:clientData/>
  </xdr:twoCellAnchor>
  <xdr:twoCellAnchor>
    <xdr:from>
      <xdr:col>17</xdr:col>
      <xdr:colOff>380999</xdr:colOff>
      <xdr:row>8</xdr:row>
      <xdr:rowOff>76200</xdr:rowOff>
    </xdr:from>
    <xdr:to>
      <xdr:col>20</xdr:col>
      <xdr:colOff>746759</xdr:colOff>
      <xdr:row>8</xdr:row>
      <xdr:rowOff>76200</xdr:rowOff>
    </xdr:to>
    <xdr:cxnSp macro="">
      <xdr:nvCxnSpPr>
        <xdr:cNvPr id="3" name="Straight Connector 2">
          <a:extLst>
            <a:ext uri="{FF2B5EF4-FFF2-40B4-BE49-F238E27FC236}">
              <a16:creationId xmlns:a16="http://schemas.microsoft.com/office/drawing/2014/main" id="{00000000-0008-0000-0400-000003000000}"/>
            </a:ext>
          </a:extLst>
        </xdr:cNvPr>
        <xdr:cNvCxnSpPr/>
      </xdr:nvCxnSpPr>
      <xdr:spPr>
        <a:xfrm>
          <a:off x="10277474" y="1600200"/>
          <a:ext cx="2194560"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577214</xdr:colOff>
      <xdr:row>28</xdr:row>
      <xdr:rowOff>161924</xdr:rowOff>
    </xdr:from>
    <xdr:to>
      <xdr:col>11</xdr:col>
      <xdr:colOff>434340</xdr:colOff>
      <xdr:row>34</xdr:row>
      <xdr:rowOff>57150</xdr:rowOff>
    </xdr:to>
    <xdr:sp macro="" textlink="">
      <xdr:nvSpPr>
        <xdr:cNvPr id="54" name="Rectangle: Rounded Corners 53">
          <a:extLst>
            <a:ext uri="{FF2B5EF4-FFF2-40B4-BE49-F238E27FC236}">
              <a16:creationId xmlns:a16="http://schemas.microsoft.com/office/drawing/2014/main" id="{00000000-0008-0000-0400-000036000000}"/>
            </a:ext>
          </a:extLst>
        </xdr:cNvPr>
        <xdr:cNvSpPr/>
      </xdr:nvSpPr>
      <xdr:spPr>
        <a:xfrm>
          <a:off x="5596889" y="5495924"/>
          <a:ext cx="1076326" cy="1038226"/>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7</xdr:col>
      <xdr:colOff>153034</xdr:colOff>
      <xdr:row>28</xdr:row>
      <xdr:rowOff>161924</xdr:rowOff>
    </xdr:from>
    <xdr:to>
      <xdr:col>9</xdr:col>
      <xdr:colOff>10160</xdr:colOff>
      <xdr:row>34</xdr:row>
      <xdr:rowOff>57150</xdr:rowOff>
    </xdr:to>
    <xdr:sp macro="" textlink="">
      <xdr:nvSpPr>
        <xdr:cNvPr id="55" name="Rectangle: Rounded Corners 54">
          <a:extLst>
            <a:ext uri="{FF2B5EF4-FFF2-40B4-BE49-F238E27FC236}">
              <a16:creationId xmlns:a16="http://schemas.microsoft.com/office/drawing/2014/main" id="{00000000-0008-0000-0400-000037000000}"/>
            </a:ext>
          </a:extLst>
        </xdr:cNvPr>
        <xdr:cNvSpPr/>
      </xdr:nvSpPr>
      <xdr:spPr>
        <a:xfrm>
          <a:off x="3953509" y="5495924"/>
          <a:ext cx="1076326" cy="1038226"/>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20</xdr:col>
      <xdr:colOff>409575</xdr:colOff>
      <xdr:row>1</xdr:row>
      <xdr:rowOff>76200</xdr:rowOff>
    </xdr:from>
    <xdr:to>
      <xdr:col>20</xdr:col>
      <xdr:colOff>847725</xdr:colOff>
      <xdr:row>3</xdr:row>
      <xdr:rowOff>133350</xdr:rowOff>
    </xdr:to>
    <xdr:pic macro="[0]!Clear_filters">
      <xdr:nvPicPr>
        <xdr:cNvPr id="58" name="Graphic 57" descr="Garbage">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134850" y="266700"/>
          <a:ext cx="438150" cy="438150"/>
        </a:xfrm>
        <a:prstGeom prst="rect">
          <a:avLst/>
        </a:prstGeom>
      </xdr:spPr>
    </xdr:pic>
    <xdr:clientData/>
  </xdr:twoCellAnchor>
  <xdr:twoCellAnchor editAs="oneCell">
    <xdr:from>
      <xdr:col>10</xdr:col>
      <xdr:colOff>271425</xdr:colOff>
      <xdr:row>29</xdr:row>
      <xdr:rowOff>4725</xdr:rowOff>
    </xdr:from>
    <xdr:to>
      <xdr:col>11</xdr:col>
      <xdr:colOff>91593</xdr:colOff>
      <xdr:row>31</xdr:row>
      <xdr:rowOff>53493</xdr:rowOff>
    </xdr:to>
    <xdr:pic>
      <xdr:nvPicPr>
        <xdr:cNvPr id="61" name="Graphic 60" descr="First aid kit">
          <a:extLst>
            <a:ext uri="{FF2B5EF4-FFF2-40B4-BE49-F238E27FC236}">
              <a16:creationId xmlns:a16="http://schemas.microsoft.com/office/drawing/2014/main" id="{00000000-0008-0000-0400-00003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900700" y="5529225"/>
          <a:ext cx="429768" cy="429768"/>
        </a:xfrm>
        <a:prstGeom prst="rect">
          <a:avLst/>
        </a:prstGeom>
      </xdr:spPr>
    </xdr:pic>
    <xdr:clientData/>
  </xdr:twoCellAnchor>
  <xdr:twoCellAnchor editAs="oneCell">
    <xdr:from>
      <xdr:col>15</xdr:col>
      <xdr:colOff>392112</xdr:colOff>
      <xdr:row>28</xdr:row>
      <xdr:rowOff>123825</xdr:rowOff>
    </xdr:from>
    <xdr:to>
      <xdr:col>16</xdr:col>
      <xdr:colOff>487362</xdr:colOff>
      <xdr:row>31</xdr:row>
      <xdr:rowOff>62943</xdr:rowOff>
    </xdr:to>
    <xdr:pic>
      <xdr:nvPicPr>
        <xdr:cNvPr id="69" name="Graphic 68" descr="Car">
          <a:extLst>
            <a:ext uri="{FF2B5EF4-FFF2-40B4-BE49-F238E27FC236}">
              <a16:creationId xmlns:a16="http://schemas.microsoft.com/office/drawing/2014/main" id="{00000000-0008-0000-0400-00004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069387" y="5457825"/>
          <a:ext cx="704850" cy="510618"/>
        </a:xfrm>
        <a:prstGeom prst="rect">
          <a:avLst/>
        </a:prstGeom>
      </xdr:spPr>
    </xdr:pic>
    <xdr:clientData/>
  </xdr:twoCellAnchor>
  <xdr:twoCellAnchor editAs="oneCell">
    <xdr:from>
      <xdr:col>18</xdr:col>
      <xdr:colOff>180976</xdr:colOff>
      <xdr:row>2</xdr:row>
      <xdr:rowOff>107175</xdr:rowOff>
    </xdr:from>
    <xdr:to>
      <xdr:col>18</xdr:col>
      <xdr:colOff>397650</xdr:colOff>
      <xdr:row>3</xdr:row>
      <xdr:rowOff>133349</xdr:rowOff>
    </xdr:to>
    <xdr:pic>
      <xdr:nvPicPr>
        <xdr:cNvPr id="73" name="Graphic 72" descr="Alarm clock">
          <a:extLst>
            <a:ext uri="{FF2B5EF4-FFF2-40B4-BE49-F238E27FC236}">
              <a16:creationId xmlns:a16="http://schemas.microsoft.com/office/drawing/2014/main" id="{00000000-0008-0000-0400-000049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687051" y="488175"/>
          <a:ext cx="216674" cy="216674"/>
        </a:xfrm>
        <a:prstGeom prst="rect">
          <a:avLst/>
        </a:prstGeom>
      </xdr:spPr>
    </xdr:pic>
    <xdr:clientData/>
  </xdr:twoCellAnchor>
  <xdr:twoCellAnchor editAs="oneCell">
    <xdr:from>
      <xdr:col>18</xdr:col>
      <xdr:colOff>407176</xdr:colOff>
      <xdr:row>1</xdr:row>
      <xdr:rowOff>28575</xdr:rowOff>
    </xdr:from>
    <xdr:to>
      <xdr:col>19</xdr:col>
      <xdr:colOff>14250</xdr:colOff>
      <xdr:row>2</xdr:row>
      <xdr:rowOff>54749</xdr:rowOff>
    </xdr:to>
    <xdr:pic>
      <xdr:nvPicPr>
        <xdr:cNvPr id="75" name="Graphic 74" descr="Stopwatch">
          <a:extLst>
            <a:ext uri="{FF2B5EF4-FFF2-40B4-BE49-F238E27FC236}">
              <a16:creationId xmlns:a16="http://schemas.microsoft.com/office/drawing/2014/main" id="{00000000-0008-0000-0400-00004B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0913251" y="219075"/>
          <a:ext cx="216674" cy="216674"/>
        </a:xfrm>
        <a:prstGeom prst="rect">
          <a:avLst/>
        </a:prstGeom>
      </xdr:spPr>
    </xdr:pic>
    <xdr:clientData/>
  </xdr:twoCellAnchor>
  <xdr:twoCellAnchor editAs="absolute">
    <xdr:from>
      <xdr:col>4</xdr:col>
      <xdr:colOff>338454</xdr:colOff>
      <xdr:row>28</xdr:row>
      <xdr:rowOff>161924</xdr:rowOff>
    </xdr:from>
    <xdr:to>
      <xdr:col>6</xdr:col>
      <xdr:colOff>195580</xdr:colOff>
      <xdr:row>34</xdr:row>
      <xdr:rowOff>57150</xdr:rowOff>
    </xdr:to>
    <xdr:sp macro="" textlink="">
      <xdr:nvSpPr>
        <xdr:cNvPr id="77" name="Rectangle: Rounded Corners 76">
          <a:extLst>
            <a:ext uri="{FF2B5EF4-FFF2-40B4-BE49-F238E27FC236}">
              <a16:creationId xmlns:a16="http://schemas.microsoft.com/office/drawing/2014/main" id="{00000000-0008-0000-0400-00004D000000}"/>
            </a:ext>
          </a:extLst>
        </xdr:cNvPr>
        <xdr:cNvSpPr/>
      </xdr:nvSpPr>
      <xdr:spPr>
        <a:xfrm>
          <a:off x="2310129" y="5495924"/>
          <a:ext cx="1076326" cy="1038226"/>
        </a:xfrm>
        <a:prstGeom prst="roundRect">
          <a:avLst>
            <a:gd name="adj" fmla="val 9621"/>
          </a:avLst>
        </a:prstGeom>
        <a:solidFill>
          <a:srgbClr val="2C2C2C"/>
        </a:solidFill>
        <a:ln w="12700">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xdr:col>
      <xdr:colOff>523874</xdr:colOff>
      <xdr:row>28</xdr:row>
      <xdr:rowOff>161924</xdr:rowOff>
    </xdr:from>
    <xdr:to>
      <xdr:col>3</xdr:col>
      <xdr:colOff>381000</xdr:colOff>
      <xdr:row>34</xdr:row>
      <xdr:rowOff>57150</xdr:rowOff>
    </xdr:to>
    <xdr:sp macro="" textlink="">
      <xdr:nvSpPr>
        <xdr:cNvPr id="78" name="Rectangle: Rounded Corners 77">
          <a:extLst>
            <a:ext uri="{FF2B5EF4-FFF2-40B4-BE49-F238E27FC236}">
              <a16:creationId xmlns:a16="http://schemas.microsoft.com/office/drawing/2014/main" id="{00000000-0008-0000-0400-00004E000000}"/>
            </a:ext>
          </a:extLst>
        </xdr:cNvPr>
        <xdr:cNvSpPr/>
      </xdr:nvSpPr>
      <xdr:spPr>
        <a:xfrm>
          <a:off x="666749" y="5495924"/>
          <a:ext cx="1076326" cy="1038226"/>
        </a:xfrm>
        <a:prstGeom prst="roundRect">
          <a:avLst>
            <a:gd name="adj" fmla="val 9621"/>
          </a:avLst>
        </a:prstGeom>
        <a:solidFill>
          <a:srgbClr val="FF5858"/>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2</xdr:col>
      <xdr:colOff>219075</xdr:colOff>
      <xdr:row>29</xdr:row>
      <xdr:rowOff>19049</xdr:rowOff>
    </xdr:from>
    <xdr:to>
      <xdr:col>3</xdr:col>
      <xdr:colOff>39243</xdr:colOff>
      <xdr:row>31</xdr:row>
      <xdr:rowOff>67817</xdr:rowOff>
    </xdr:to>
    <xdr:pic>
      <xdr:nvPicPr>
        <xdr:cNvPr id="28" name="Graphic 27" descr="Suburban scene">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971550" y="5543549"/>
          <a:ext cx="429768" cy="429768"/>
        </a:xfrm>
        <a:prstGeom prst="rect">
          <a:avLst/>
        </a:prstGeom>
      </xdr:spPr>
    </xdr:pic>
    <xdr:clientData/>
  </xdr:twoCellAnchor>
  <xdr:twoCellAnchor>
    <xdr:from>
      <xdr:col>5</xdr:col>
      <xdr:colOff>9525</xdr:colOff>
      <xdr:row>29</xdr:row>
      <xdr:rowOff>3467</xdr:rowOff>
    </xdr:from>
    <xdr:to>
      <xdr:col>5</xdr:col>
      <xdr:colOff>544432</xdr:colOff>
      <xdr:row>31</xdr:row>
      <xdr:rowOff>172956</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2778312" y="5284240"/>
          <a:ext cx="534907" cy="533680"/>
          <a:chOff x="2724150" y="5556542"/>
          <a:chExt cx="534907" cy="550489"/>
        </a:xfrm>
      </xdr:grpSpPr>
      <xdr:pic>
        <xdr:nvPicPr>
          <xdr:cNvPr id="63" name="Graphic 62" descr="Fruit bowl">
            <a:extLst>
              <a:ext uri="{FF2B5EF4-FFF2-40B4-BE49-F238E27FC236}">
                <a16:creationId xmlns:a16="http://schemas.microsoft.com/office/drawing/2014/main" id="{00000000-0008-0000-0400-00003F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877303" y="5556542"/>
            <a:ext cx="228600" cy="228600"/>
          </a:xfrm>
          <a:prstGeom prst="rect">
            <a:avLst/>
          </a:prstGeom>
        </xdr:spPr>
      </xdr:pic>
      <xdr:pic>
        <xdr:nvPicPr>
          <xdr:cNvPr id="79" name="Graphic 78" descr="Table and chairs with solid fill">
            <a:extLst>
              <a:ext uri="{FF2B5EF4-FFF2-40B4-BE49-F238E27FC236}">
                <a16:creationId xmlns:a16="http://schemas.microsoft.com/office/drawing/2014/main" id="{00000000-0008-0000-0400-00004F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724150" y="5572124"/>
            <a:ext cx="534907" cy="534907"/>
          </a:xfrm>
          <a:prstGeom prst="rect">
            <a:avLst/>
          </a:prstGeom>
        </xdr:spPr>
      </xdr:pic>
    </xdr:grpSp>
    <xdr:clientData/>
  </xdr:twoCellAnchor>
  <xdr:twoCellAnchor editAs="oneCell">
    <xdr:from>
      <xdr:col>13</xdr:col>
      <xdr:colOff>123825</xdr:colOff>
      <xdr:row>29</xdr:row>
      <xdr:rowOff>9525</xdr:rowOff>
    </xdr:from>
    <xdr:to>
      <xdr:col>13</xdr:col>
      <xdr:colOff>554511</xdr:colOff>
      <xdr:row>31</xdr:row>
      <xdr:rowOff>60525</xdr:rowOff>
    </xdr:to>
    <xdr:pic>
      <xdr:nvPicPr>
        <xdr:cNvPr id="80" name="Graphic 79" descr="Shopping bag with solid fill">
          <a:extLst>
            <a:ext uri="{FF2B5EF4-FFF2-40B4-BE49-F238E27FC236}">
              <a16:creationId xmlns:a16="http://schemas.microsoft.com/office/drawing/2014/main" id="{00000000-0008-0000-0400-000050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581900" y="5534025"/>
          <a:ext cx="430686" cy="432000"/>
        </a:xfrm>
        <a:prstGeom prst="rect">
          <a:avLst/>
        </a:prstGeom>
      </xdr:spPr>
    </xdr:pic>
    <xdr:clientData/>
  </xdr:twoCellAnchor>
  <xdr:twoCellAnchor editAs="oneCell">
    <xdr:from>
      <xdr:col>20</xdr:col>
      <xdr:colOff>371475</xdr:colOff>
      <xdr:row>7</xdr:row>
      <xdr:rowOff>19049</xdr:rowOff>
    </xdr:from>
    <xdr:to>
      <xdr:col>20</xdr:col>
      <xdr:colOff>742950</xdr:colOff>
      <xdr:row>8</xdr:row>
      <xdr:rowOff>114300</xdr:rowOff>
    </xdr:to>
    <xdr:pic>
      <xdr:nvPicPr>
        <xdr:cNvPr id="83" name="Graphic 82" descr="Ethernet">
          <a:extLst>
            <a:ext uri="{FF2B5EF4-FFF2-40B4-BE49-F238E27FC236}">
              <a16:creationId xmlns:a16="http://schemas.microsoft.com/office/drawing/2014/main" id="{00000000-0008-0000-0400-000053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2096750" y="1352549"/>
          <a:ext cx="371475" cy="285751"/>
        </a:xfrm>
        <a:prstGeom prst="rect">
          <a:avLst/>
        </a:prstGeom>
      </xdr:spPr>
    </xdr:pic>
    <xdr:clientData/>
  </xdr:twoCellAnchor>
  <xdr:twoCellAnchor editAs="oneCell">
    <xdr:from>
      <xdr:col>7</xdr:col>
      <xdr:colOff>445275</xdr:colOff>
      <xdr:row>28</xdr:row>
      <xdr:rowOff>188100</xdr:rowOff>
    </xdr:from>
    <xdr:to>
      <xdr:col>8</xdr:col>
      <xdr:colOff>265443</xdr:colOff>
      <xdr:row>31</xdr:row>
      <xdr:rowOff>46368</xdr:rowOff>
    </xdr:to>
    <xdr:pic>
      <xdr:nvPicPr>
        <xdr:cNvPr id="85" name="Graphic 84" descr="Money">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4245750" y="5522100"/>
          <a:ext cx="429768" cy="429768"/>
        </a:xfrm>
        <a:prstGeom prst="rect">
          <a:avLst/>
        </a:prstGeom>
      </xdr:spPr>
    </xdr:pic>
    <xdr:clientData/>
  </xdr:twoCellAnchor>
  <xdr:twoCellAnchor editAs="oneCell">
    <xdr:from>
      <xdr:col>1</xdr:col>
      <xdr:colOff>52350</xdr:colOff>
      <xdr:row>5</xdr:row>
      <xdr:rowOff>180974</xdr:rowOff>
    </xdr:from>
    <xdr:to>
      <xdr:col>1</xdr:col>
      <xdr:colOff>304725</xdr:colOff>
      <xdr:row>7</xdr:row>
      <xdr:rowOff>52349</xdr:rowOff>
    </xdr:to>
    <xdr:pic>
      <xdr:nvPicPr>
        <xdr:cNvPr id="97" name="Graphic 96" descr="Single gear">
          <a:hlinkClick xmlns:r="http://schemas.openxmlformats.org/officeDocument/2006/relationships" r:id="rId29"/>
          <a:extLst>
            <a:ext uri="{FF2B5EF4-FFF2-40B4-BE49-F238E27FC236}">
              <a16:creationId xmlns:a16="http://schemas.microsoft.com/office/drawing/2014/main" id="{00000000-0008-0000-0400-000061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95225" y="1133474"/>
          <a:ext cx="252375" cy="252375"/>
        </a:xfrm>
        <a:prstGeom prst="rect">
          <a:avLst/>
        </a:prstGeom>
      </xdr:spPr>
    </xdr:pic>
    <xdr:clientData/>
  </xdr:twoCellAnchor>
  <xdr:twoCellAnchor editAs="oneCell">
    <xdr:from>
      <xdr:col>17</xdr:col>
      <xdr:colOff>364275</xdr:colOff>
      <xdr:row>5</xdr:row>
      <xdr:rowOff>128475</xdr:rowOff>
    </xdr:from>
    <xdr:to>
      <xdr:col>17</xdr:col>
      <xdr:colOff>600075</xdr:colOff>
      <xdr:row>6</xdr:row>
      <xdr:rowOff>173775</xdr:rowOff>
    </xdr:to>
    <xdr:pic>
      <xdr:nvPicPr>
        <xdr:cNvPr id="99" name="Graphic 98" descr="Filter">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0260750" y="1080975"/>
          <a:ext cx="235800" cy="235800"/>
        </a:xfrm>
        <a:prstGeom prst="rect">
          <a:avLst/>
        </a:prstGeom>
      </xdr:spPr>
    </xdr:pic>
    <xdr:clientData/>
  </xdr:twoCellAnchor>
  <xdr:twoCellAnchor editAs="oneCell">
    <xdr:from>
      <xdr:col>17</xdr:col>
      <xdr:colOff>238126</xdr:colOff>
      <xdr:row>16</xdr:row>
      <xdr:rowOff>19049</xdr:rowOff>
    </xdr:from>
    <xdr:to>
      <xdr:col>20</xdr:col>
      <xdr:colOff>885826</xdr:colOff>
      <xdr:row>23</xdr:row>
      <xdr:rowOff>123824</xdr:rowOff>
    </xdr:to>
    <mc:AlternateContent xmlns:mc="http://schemas.openxmlformats.org/markup-compatibility/2006" xmlns:a14="http://schemas.microsoft.com/office/drawing/2010/main">
      <mc:Choice Requires="a14">
        <xdr:graphicFrame macro="">
          <xdr:nvGraphicFramePr>
            <xdr:cNvPr id="70" name="Category">
              <a:extLst>
                <a:ext uri="{FF2B5EF4-FFF2-40B4-BE49-F238E27FC236}">
                  <a16:creationId xmlns:a16="http://schemas.microsoft.com/office/drawing/2014/main" id="{00000000-0008-0000-0400-00004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134601" y="3067049"/>
              <a:ext cx="2476500" cy="1438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95249</xdr:colOff>
      <xdr:row>16</xdr:row>
      <xdr:rowOff>57150</xdr:rowOff>
    </xdr:from>
    <xdr:to>
      <xdr:col>5</xdr:col>
      <xdr:colOff>38099</xdr:colOff>
      <xdr:row>28</xdr:row>
      <xdr:rowOff>38100</xdr:rowOff>
    </xdr:to>
    <xdr:graphicFrame macro="">
      <xdr:nvGraphicFramePr>
        <xdr:cNvPr id="72" name="Chart 71">
          <a:extLst>
            <a:ext uri="{FF2B5EF4-FFF2-40B4-BE49-F238E27FC236}">
              <a16:creationId xmlns:a16="http://schemas.microsoft.com/office/drawing/2014/main" id="{00000000-0008-0000-04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absolute">
    <xdr:from>
      <xdr:col>4</xdr:col>
      <xdr:colOff>133350</xdr:colOff>
      <xdr:row>17</xdr:row>
      <xdr:rowOff>76201</xdr:rowOff>
    </xdr:from>
    <xdr:to>
      <xdr:col>6</xdr:col>
      <xdr:colOff>171451</xdr:colOff>
      <xdr:row>18</xdr:row>
      <xdr:rowOff>66675</xdr:rowOff>
    </xdr:to>
    <xdr:sp macro="" textlink="">
      <xdr:nvSpPr>
        <xdr:cNvPr id="74" name="Rectangle: Rounded Corners 73">
          <a:extLst>
            <a:ext uri="{FF2B5EF4-FFF2-40B4-BE49-F238E27FC236}">
              <a16:creationId xmlns:a16="http://schemas.microsoft.com/office/drawing/2014/main" id="{00000000-0008-0000-0400-00004A000000}"/>
            </a:ext>
          </a:extLst>
        </xdr:cNvPr>
        <xdr:cNvSpPr/>
      </xdr:nvSpPr>
      <xdr:spPr>
        <a:xfrm>
          <a:off x="2105025" y="3314701"/>
          <a:ext cx="1257301" cy="18097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Inflow &amp; out flow</a:t>
          </a:r>
        </a:p>
      </xdr:txBody>
    </xdr:sp>
    <xdr:clientData/>
  </xdr:twoCellAnchor>
  <xdr:twoCellAnchor editAs="absolute">
    <xdr:from>
      <xdr:col>4</xdr:col>
      <xdr:colOff>193033</xdr:colOff>
      <xdr:row>20</xdr:row>
      <xdr:rowOff>147637</xdr:rowOff>
    </xdr:from>
    <xdr:to>
      <xdr:col>4</xdr:col>
      <xdr:colOff>390524</xdr:colOff>
      <xdr:row>21</xdr:row>
      <xdr:rowOff>147637</xdr:rowOff>
    </xdr:to>
    <xdr:sp macro="" textlink="">
      <xdr:nvSpPr>
        <xdr:cNvPr id="82" name="Rectangle: Rounded Corners 81">
          <a:extLst>
            <a:ext uri="{FF2B5EF4-FFF2-40B4-BE49-F238E27FC236}">
              <a16:creationId xmlns:a16="http://schemas.microsoft.com/office/drawing/2014/main" id="{00000000-0008-0000-0400-000052000000}"/>
            </a:ext>
          </a:extLst>
        </xdr:cNvPr>
        <xdr:cNvSpPr/>
      </xdr:nvSpPr>
      <xdr:spPr>
        <a:xfrm flipV="1">
          <a:off x="2164708" y="3957637"/>
          <a:ext cx="197491" cy="190500"/>
        </a:xfrm>
        <a:prstGeom prst="roundRect">
          <a:avLst>
            <a:gd name="adj" fmla="val 50000"/>
          </a:avLst>
        </a:prstGeom>
        <a:solidFill>
          <a:srgbClr val="5C38FF"/>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4</xdr:col>
      <xdr:colOff>193033</xdr:colOff>
      <xdr:row>23</xdr:row>
      <xdr:rowOff>14287</xdr:rowOff>
    </xdr:from>
    <xdr:to>
      <xdr:col>4</xdr:col>
      <xdr:colOff>390524</xdr:colOff>
      <xdr:row>24</xdr:row>
      <xdr:rowOff>14287</xdr:rowOff>
    </xdr:to>
    <xdr:sp macro="" textlink="">
      <xdr:nvSpPr>
        <xdr:cNvPr id="86" name="Rectangle: Rounded Corners 85">
          <a:extLst>
            <a:ext uri="{FF2B5EF4-FFF2-40B4-BE49-F238E27FC236}">
              <a16:creationId xmlns:a16="http://schemas.microsoft.com/office/drawing/2014/main" id="{00000000-0008-0000-0400-000056000000}"/>
            </a:ext>
          </a:extLst>
        </xdr:cNvPr>
        <xdr:cNvSpPr/>
      </xdr:nvSpPr>
      <xdr:spPr>
        <a:xfrm flipV="1">
          <a:off x="2164708" y="4395787"/>
          <a:ext cx="197491" cy="190500"/>
        </a:xfrm>
        <a:prstGeom prst="roundRect">
          <a:avLst>
            <a:gd name="adj" fmla="val 50000"/>
          </a:avLst>
        </a:prstGeom>
        <a:solidFill>
          <a:schemeClr val="bg1">
            <a:lumMod val="65000"/>
          </a:schemeClr>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4</xdr:col>
      <xdr:colOff>193033</xdr:colOff>
      <xdr:row>25</xdr:row>
      <xdr:rowOff>161925</xdr:rowOff>
    </xdr:from>
    <xdr:to>
      <xdr:col>4</xdr:col>
      <xdr:colOff>390524</xdr:colOff>
      <xdr:row>26</xdr:row>
      <xdr:rowOff>161925</xdr:rowOff>
    </xdr:to>
    <xdr:sp macro="" textlink="">
      <xdr:nvSpPr>
        <xdr:cNvPr id="88" name="Rectangle: Rounded Corners 87">
          <a:extLst>
            <a:ext uri="{FF2B5EF4-FFF2-40B4-BE49-F238E27FC236}">
              <a16:creationId xmlns:a16="http://schemas.microsoft.com/office/drawing/2014/main" id="{00000000-0008-0000-0400-000058000000}"/>
            </a:ext>
          </a:extLst>
        </xdr:cNvPr>
        <xdr:cNvSpPr/>
      </xdr:nvSpPr>
      <xdr:spPr>
        <a:xfrm flipV="1">
          <a:off x="2164708" y="4924425"/>
          <a:ext cx="197491" cy="190500"/>
        </a:xfrm>
        <a:prstGeom prst="roundRect">
          <a:avLst>
            <a:gd name="adj" fmla="val 50000"/>
          </a:avLst>
        </a:prstGeom>
        <a:solidFill>
          <a:srgbClr val="FF5858"/>
        </a:solidFill>
        <a:ln>
          <a:solidFill>
            <a:schemeClr val="tx1">
              <a:lumMod val="65000"/>
              <a:lumOff val="35000"/>
              <a:alpha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352425</xdr:colOff>
      <xdr:row>20</xdr:row>
      <xdr:rowOff>104775</xdr:rowOff>
    </xdr:from>
    <xdr:to>
      <xdr:col>6</xdr:col>
      <xdr:colOff>152400</xdr:colOff>
      <xdr:row>21</xdr:row>
      <xdr:rowOff>171450</xdr:rowOff>
    </xdr:to>
    <xdr:sp macro="" textlink="Analysis!L6">
      <xdr:nvSpPr>
        <xdr:cNvPr id="89" name="TextBox 88">
          <a:extLst>
            <a:ext uri="{FF2B5EF4-FFF2-40B4-BE49-F238E27FC236}">
              <a16:creationId xmlns:a16="http://schemas.microsoft.com/office/drawing/2014/main" id="{00000000-0008-0000-0400-000059000000}"/>
            </a:ext>
          </a:extLst>
        </xdr:cNvPr>
        <xdr:cNvSpPr txBox="1"/>
      </xdr:nvSpPr>
      <xdr:spPr>
        <a:xfrm>
          <a:off x="2324100" y="39147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C7395E1-89BA-4536-BA83-2992E133B1E2}" type="TxLink">
            <a:rPr lang="en-US" sz="1200" b="0" i="0" u="none" strike="noStrike">
              <a:solidFill>
                <a:schemeClr val="bg1">
                  <a:lumMod val="65000"/>
                </a:schemeClr>
              </a:solidFill>
              <a:latin typeface="Calibri"/>
              <a:ea typeface="+mn-ea"/>
              <a:cs typeface="Calibri"/>
            </a:rPr>
            <a:pPr marL="0" indent="0" algn="l"/>
            <a:t> Amount</a:t>
          </a:fld>
          <a:r>
            <a:rPr lang="en-US" sz="1200" b="0" i="0" u="none" strike="noStrike">
              <a:solidFill>
                <a:schemeClr val="bg1">
                  <a:lumMod val="65000"/>
                </a:schemeClr>
              </a:solidFill>
              <a:latin typeface="Calibri"/>
              <a:ea typeface="+mn-ea"/>
              <a:cs typeface="Calibri"/>
            </a:rPr>
            <a:t> Left</a:t>
          </a:r>
        </a:p>
      </xdr:txBody>
    </xdr:sp>
    <xdr:clientData/>
  </xdr:twoCellAnchor>
  <xdr:twoCellAnchor>
    <xdr:from>
      <xdr:col>4</xdr:col>
      <xdr:colOff>333375</xdr:colOff>
      <xdr:row>22</xdr:row>
      <xdr:rowOff>171450</xdr:rowOff>
    </xdr:from>
    <xdr:to>
      <xdr:col>6</xdr:col>
      <xdr:colOff>57150</xdr:colOff>
      <xdr:row>24</xdr:row>
      <xdr:rowOff>47625</xdr:rowOff>
    </xdr:to>
    <xdr:sp macro="" textlink="Analysis!K6">
      <xdr:nvSpPr>
        <xdr:cNvPr id="90" name="TextBox 89">
          <a:extLst>
            <a:ext uri="{FF2B5EF4-FFF2-40B4-BE49-F238E27FC236}">
              <a16:creationId xmlns:a16="http://schemas.microsoft.com/office/drawing/2014/main" id="{00000000-0008-0000-0400-00005A000000}"/>
            </a:ext>
          </a:extLst>
        </xdr:cNvPr>
        <xdr:cNvSpPr txBox="1"/>
      </xdr:nvSpPr>
      <xdr:spPr>
        <a:xfrm>
          <a:off x="2305050" y="4362450"/>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1DAE180-79DC-4935-9494-67E089C4F8EF}" type="TxLink">
            <a:rPr lang="en-US" sz="1200" b="0" i="0" u="none" strike="noStrike">
              <a:solidFill>
                <a:schemeClr val="bg1">
                  <a:lumMod val="65000"/>
                </a:schemeClr>
              </a:solidFill>
              <a:latin typeface="Calibri"/>
              <a:ea typeface="+mn-ea"/>
              <a:cs typeface="Calibri"/>
            </a:rPr>
            <a:pPr marL="0" indent="0" algn="l"/>
            <a:t> Credit</a:t>
          </a:fld>
          <a:endParaRPr lang="en-US" sz="1200" b="0" i="0" u="none" strike="noStrike">
            <a:solidFill>
              <a:schemeClr val="bg1">
                <a:lumMod val="65000"/>
              </a:schemeClr>
            </a:solidFill>
            <a:latin typeface="Calibri"/>
            <a:ea typeface="+mn-ea"/>
            <a:cs typeface="Calibri"/>
          </a:endParaRPr>
        </a:p>
      </xdr:txBody>
    </xdr:sp>
    <xdr:clientData/>
  </xdr:twoCellAnchor>
  <xdr:twoCellAnchor>
    <xdr:from>
      <xdr:col>4</xdr:col>
      <xdr:colOff>314325</xdr:colOff>
      <xdr:row>25</xdr:row>
      <xdr:rowOff>123825</xdr:rowOff>
    </xdr:from>
    <xdr:to>
      <xdr:col>6</xdr:col>
      <xdr:colOff>38100</xdr:colOff>
      <xdr:row>27</xdr:row>
      <xdr:rowOff>0</xdr:rowOff>
    </xdr:to>
    <xdr:sp macro="" textlink="Analysis!J6">
      <xdr:nvSpPr>
        <xdr:cNvPr id="91" name="TextBox 90">
          <a:extLst>
            <a:ext uri="{FF2B5EF4-FFF2-40B4-BE49-F238E27FC236}">
              <a16:creationId xmlns:a16="http://schemas.microsoft.com/office/drawing/2014/main" id="{00000000-0008-0000-0400-00005B000000}"/>
            </a:ext>
          </a:extLst>
        </xdr:cNvPr>
        <xdr:cNvSpPr txBox="1"/>
      </xdr:nvSpPr>
      <xdr:spPr>
        <a:xfrm>
          <a:off x="2286000" y="4886325"/>
          <a:ext cx="9429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0E98F8A-21D0-481A-8D89-633CAC6DD498}" type="TxLink">
            <a:rPr lang="en-US" sz="1200" b="0" i="0" u="none" strike="noStrike">
              <a:solidFill>
                <a:schemeClr val="bg1">
                  <a:lumMod val="65000"/>
                </a:schemeClr>
              </a:solidFill>
              <a:latin typeface="Calibri"/>
              <a:ea typeface="+mn-ea"/>
              <a:cs typeface="Calibri"/>
            </a:rPr>
            <a:pPr marL="0" indent="0" algn="l"/>
            <a:t> Debit</a:t>
          </a:fld>
          <a:endParaRPr lang="en-US" sz="1200" b="0" i="0" u="none" strike="noStrike">
            <a:solidFill>
              <a:schemeClr val="bg1">
                <a:lumMod val="65000"/>
              </a:schemeClr>
            </a:solidFill>
            <a:latin typeface="Calibri"/>
            <a:ea typeface="+mn-ea"/>
            <a:cs typeface="Calibri"/>
          </a:endParaRPr>
        </a:p>
      </xdr:txBody>
    </xdr:sp>
    <xdr:clientData/>
  </xdr:twoCellAnchor>
  <xdr:twoCellAnchor>
    <xdr:from>
      <xdr:col>17</xdr:col>
      <xdr:colOff>238125</xdr:colOff>
      <xdr:row>25</xdr:row>
      <xdr:rowOff>152400</xdr:rowOff>
    </xdr:from>
    <xdr:to>
      <xdr:col>21</xdr:col>
      <xdr:colOff>9526</xdr:colOff>
      <xdr:row>34</xdr:row>
      <xdr:rowOff>85725</xdr:rowOff>
    </xdr:to>
    <xdr:graphicFrame macro="">
      <xdr:nvGraphicFramePr>
        <xdr:cNvPr id="84" name="Chart 83">
          <a:extLst>
            <a:ext uri="{FF2B5EF4-FFF2-40B4-BE49-F238E27FC236}">
              <a16:creationId xmlns:a16="http://schemas.microsoft.com/office/drawing/2014/main" id="{00000000-0008-0000-04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editAs="absolute">
    <xdr:from>
      <xdr:col>19</xdr:col>
      <xdr:colOff>247650</xdr:colOff>
      <xdr:row>24</xdr:row>
      <xdr:rowOff>930</xdr:rowOff>
    </xdr:from>
    <xdr:to>
      <xdr:col>20</xdr:col>
      <xdr:colOff>876299</xdr:colOff>
      <xdr:row>25</xdr:row>
      <xdr:rowOff>0</xdr:rowOff>
    </xdr:to>
    <xdr:sp macro="" textlink="">
      <xdr:nvSpPr>
        <xdr:cNvPr id="92" name="Rectangle: Rounded Corners 91">
          <a:extLst>
            <a:ext uri="{FF2B5EF4-FFF2-40B4-BE49-F238E27FC236}">
              <a16:creationId xmlns:a16="http://schemas.microsoft.com/office/drawing/2014/main" id="{00000000-0008-0000-0400-00005C000000}"/>
            </a:ext>
          </a:extLst>
        </xdr:cNvPr>
        <xdr:cNvSpPr/>
      </xdr:nvSpPr>
      <xdr:spPr>
        <a:xfrm>
          <a:off x="11363325" y="4562476"/>
          <a:ext cx="1238249" cy="200024"/>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19</xdr:col>
          <xdr:colOff>266700</xdr:colOff>
          <xdr:row>23</xdr:row>
          <xdr:rowOff>171450</xdr:rowOff>
        </xdr:from>
        <xdr:to>
          <xdr:col>20</xdr:col>
          <xdr:colOff>676275</xdr:colOff>
          <xdr:row>25</xdr:row>
          <xdr:rowOff>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257175</xdr:colOff>
          <xdr:row>23</xdr:row>
          <xdr:rowOff>171450</xdr:rowOff>
        </xdr:from>
        <xdr:to>
          <xdr:col>21</xdr:col>
          <xdr:colOff>352425</xdr:colOff>
          <xdr:row>25</xdr:row>
          <xdr:rowOff>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Income</a:t>
              </a:r>
            </a:p>
          </xdr:txBody>
        </xdr:sp>
        <xdr:clientData/>
      </xdr:twoCellAnchor>
    </mc:Choice>
    <mc:Fallback/>
  </mc:AlternateContent>
  <xdr:twoCellAnchor>
    <xdr:from>
      <xdr:col>7</xdr:col>
      <xdr:colOff>161925</xdr:colOff>
      <xdr:row>30</xdr:row>
      <xdr:rowOff>180975</xdr:rowOff>
    </xdr:from>
    <xdr:to>
      <xdr:col>8</xdr:col>
      <xdr:colOff>571500</xdr:colOff>
      <xdr:row>32</xdr:row>
      <xdr:rowOff>57150</xdr:rowOff>
    </xdr:to>
    <xdr:sp macro="" textlink="Analysis!N7">
      <xdr:nvSpPr>
        <xdr:cNvPr id="94" name="TextBox 93">
          <a:extLst>
            <a:ext uri="{FF2B5EF4-FFF2-40B4-BE49-F238E27FC236}">
              <a16:creationId xmlns:a16="http://schemas.microsoft.com/office/drawing/2014/main" id="{00000000-0008-0000-0400-00005E000000}"/>
            </a:ext>
          </a:extLst>
        </xdr:cNvPr>
        <xdr:cNvSpPr txBox="1"/>
      </xdr:nvSpPr>
      <xdr:spPr>
        <a:xfrm>
          <a:off x="3962400" y="58959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4</xdr:col>
      <xdr:colOff>342900</xdr:colOff>
      <xdr:row>30</xdr:row>
      <xdr:rowOff>180975</xdr:rowOff>
    </xdr:from>
    <xdr:to>
      <xdr:col>6</xdr:col>
      <xdr:colOff>142875</xdr:colOff>
      <xdr:row>32</xdr:row>
      <xdr:rowOff>57150</xdr:rowOff>
    </xdr:to>
    <xdr:sp macro="" textlink="Analysis!N8">
      <xdr:nvSpPr>
        <xdr:cNvPr id="96" name="TextBox 95">
          <a:extLst>
            <a:ext uri="{FF2B5EF4-FFF2-40B4-BE49-F238E27FC236}">
              <a16:creationId xmlns:a16="http://schemas.microsoft.com/office/drawing/2014/main" id="{00000000-0008-0000-0400-000060000000}"/>
            </a:ext>
          </a:extLst>
        </xdr:cNvPr>
        <xdr:cNvSpPr txBox="1"/>
      </xdr:nvSpPr>
      <xdr:spPr>
        <a:xfrm>
          <a:off x="2314575" y="58959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bg1">
                  <a:lumMod val="85000"/>
                </a:schemeClr>
              </a:solidFill>
              <a:latin typeface="Calibri"/>
              <a:ea typeface="+mn-ea"/>
              <a:cs typeface="Calibri"/>
            </a:rPr>
            <a:pPr marL="0" indent="0" algn="ctr"/>
            <a:t>Dining Out</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12</xdr:col>
      <xdr:colOff>390525</xdr:colOff>
      <xdr:row>30</xdr:row>
      <xdr:rowOff>180975</xdr:rowOff>
    </xdr:from>
    <xdr:to>
      <xdr:col>14</xdr:col>
      <xdr:colOff>266700</xdr:colOff>
      <xdr:row>32</xdr:row>
      <xdr:rowOff>57150</xdr:rowOff>
    </xdr:to>
    <xdr:sp macro="" textlink="Analysis!N9">
      <xdr:nvSpPr>
        <xdr:cNvPr id="98" name="TextBox 97">
          <a:extLst>
            <a:ext uri="{FF2B5EF4-FFF2-40B4-BE49-F238E27FC236}">
              <a16:creationId xmlns:a16="http://schemas.microsoft.com/office/drawing/2014/main" id="{00000000-0008-0000-0400-000062000000}"/>
            </a:ext>
          </a:extLst>
        </xdr:cNvPr>
        <xdr:cNvSpPr txBox="1"/>
      </xdr:nvSpPr>
      <xdr:spPr>
        <a:xfrm>
          <a:off x="7239000" y="589597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1</xdr:col>
      <xdr:colOff>447675</xdr:colOff>
      <xdr:row>30</xdr:row>
      <xdr:rowOff>180975</xdr:rowOff>
    </xdr:from>
    <xdr:to>
      <xdr:col>3</xdr:col>
      <xdr:colOff>447675</xdr:colOff>
      <xdr:row>32</xdr:row>
      <xdr:rowOff>57150</xdr:rowOff>
    </xdr:to>
    <xdr:sp macro="" textlink="Analysis!N10">
      <xdr:nvSpPr>
        <xdr:cNvPr id="101" name="TextBox 100">
          <a:extLst>
            <a:ext uri="{FF2B5EF4-FFF2-40B4-BE49-F238E27FC236}">
              <a16:creationId xmlns:a16="http://schemas.microsoft.com/office/drawing/2014/main" id="{00000000-0008-0000-0400-000065000000}"/>
            </a:ext>
          </a:extLst>
        </xdr:cNvPr>
        <xdr:cNvSpPr txBox="1"/>
      </xdr:nvSpPr>
      <xdr:spPr>
        <a:xfrm>
          <a:off x="590550" y="5895975"/>
          <a:ext cx="12192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9</xdr:col>
      <xdr:colOff>561975</xdr:colOff>
      <xdr:row>30</xdr:row>
      <xdr:rowOff>180975</xdr:rowOff>
    </xdr:from>
    <xdr:to>
      <xdr:col>11</xdr:col>
      <xdr:colOff>361950</xdr:colOff>
      <xdr:row>32</xdr:row>
      <xdr:rowOff>57150</xdr:rowOff>
    </xdr:to>
    <xdr:sp macro="" textlink="Analysis!N11">
      <xdr:nvSpPr>
        <xdr:cNvPr id="102" name="TextBox 101">
          <a:extLst>
            <a:ext uri="{FF2B5EF4-FFF2-40B4-BE49-F238E27FC236}">
              <a16:creationId xmlns:a16="http://schemas.microsoft.com/office/drawing/2014/main" id="{00000000-0008-0000-0400-000066000000}"/>
            </a:ext>
          </a:extLst>
        </xdr:cNvPr>
        <xdr:cNvSpPr txBox="1"/>
      </xdr:nvSpPr>
      <xdr:spPr>
        <a:xfrm>
          <a:off x="5581650" y="58959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clientData/>
  </xdr:twoCellAnchor>
  <xdr:twoCellAnchor>
    <xdr:from>
      <xdr:col>15</xdr:col>
      <xdr:colOff>219075</xdr:colOff>
      <xdr:row>30</xdr:row>
      <xdr:rowOff>180975</xdr:rowOff>
    </xdr:from>
    <xdr:to>
      <xdr:col>17</xdr:col>
      <xdr:colOff>19050</xdr:colOff>
      <xdr:row>32</xdr:row>
      <xdr:rowOff>57150</xdr:rowOff>
    </xdr:to>
    <xdr:sp macro="" textlink="Analysis!N12">
      <xdr:nvSpPr>
        <xdr:cNvPr id="103" name="TextBox 102">
          <a:extLst>
            <a:ext uri="{FF2B5EF4-FFF2-40B4-BE49-F238E27FC236}">
              <a16:creationId xmlns:a16="http://schemas.microsoft.com/office/drawing/2014/main" id="{00000000-0008-0000-0400-000067000000}"/>
            </a:ext>
          </a:extLst>
        </xdr:cNvPr>
        <xdr:cNvSpPr txBox="1"/>
      </xdr:nvSpPr>
      <xdr:spPr>
        <a:xfrm>
          <a:off x="8896350" y="58959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5C408-3711-4551-8BE2-7B4764D0B45C}" type="TxLink">
            <a:rPr lang="en-US" sz="1200" b="1" i="0" u="none" strike="noStrike">
              <a:solidFill>
                <a:schemeClr val="bg1">
                  <a:lumMod val="85000"/>
                </a:schemeClr>
              </a:solidFill>
              <a:latin typeface="Calibri"/>
              <a:cs typeface="Calibri"/>
            </a:rPr>
            <a:pPr algn="ctr"/>
            <a:t>Transport</a:t>
          </a:fld>
          <a:endParaRPr lang="en-US" sz="1800" b="1">
            <a:solidFill>
              <a:schemeClr val="bg1">
                <a:lumMod val="85000"/>
              </a:schemeClr>
            </a:solidFill>
          </a:endParaRPr>
        </a:p>
      </xdr:txBody>
    </xdr:sp>
    <xdr:clientData/>
  </xdr:twoCellAnchor>
  <xdr:twoCellAnchor>
    <xdr:from>
      <xdr:col>7</xdr:col>
      <xdr:colOff>171450</xdr:colOff>
      <xdr:row>32</xdr:row>
      <xdr:rowOff>66675</xdr:rowOff>
    </xdr:from>
    <xdr:to>
      <xdr:col>8</xdr:col>
      <xdr:colOff>581025</xdr:colOff>
      <xdr:row>33</xdr:row>
      <xdr:rowOff>133350</xdr:rowOff>
    </xdr:to>
    <xdr:sp macro="" textlink="Analysis!O7">
      <xdr:nvSpPr>
        <xdr:cNvPr id="105" name="TextBox 104">
          <a:extLst>
            <a:ext uri="{FF2B5EF4-FFF2-40B4-BE49-F238E27FC236}">
              <a16:creationId xmlns:a16="http://schemas.microsoft.com/office/drawing/2014/main" id="{00000000-0008-0000-0400-000069000000}"/>
            </a:ext>
          </a:extLst>
        </xdr:cNvPr>
        <xdr:cNvSpPr txBox="1"/>
      </xdr:nvSpPr>
      <xdr:spPr>
        <a:xfrm>
          <a:off x="3971925" y="61626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F28D26-1FA1-42E0-A053-A04C71D81C9F}" type="TxLink">
            <a:rPr lang="en-US" sz="2400" b="0" i="0" u="none" strike="noStrike">
              <a:solidFill>
                <a:schemeClr val="bg1"/>
              </a:solidFill>
              <a:latin typeface="Agency FB" panose="020B0503020202020204" pitchFamily="34" charset="0"/>
              <a:ea typeface="+mn-ea"/>
              <a:cs typeface="Calibri"/>
            </a:rPr>
            <a:pPr marL="0" indent="0" algn="ctr"/>
            <a:t>£550</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4</xdr:col>
      <xdr:colOff>352425</xdr:colOff>
      <xdr:row>32</xdr:row>
      <xdr:rowOff>66675</xdr:rowOff>
    </xdr:from>
    <xdr:to>
      <xdr:col>6</xdr:col>
      <xdr:colOff>152400</xdr:colOff>
      <xdr:row>33</xdr:row>
      <xdr:rowOff>133350</xdr:rowOff>
    </xdr:to>
    <xdr:sp macro="" textlink="Analysis!O8">
      <xdr:nvSpPr>
        <xdr:cNvPr id="106" name="TextBox 105">
          <a:extLst>
            <a:ext uri="{FF2B5EF4-FFF2-40B4-BE49-F238E27FC236}">
              <a16:creationId xmlns:a16="http://schemas.microsoft.com/office/drawing/2014/main" id="{00000000-0008-0000-0400-00006A000000}"/>
            </a:ext>
          </a:extLst>
        </xdr:cNvPr>
        <xdr:cNvSpPr txBox="1"/>
      </xdr:nvSpPr>
      <xdr:spPr>
        <a:xfrm>
          <a:off x="2324100" y="61626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E4378DE-349A-42A7-A554-9A8375CE9869}" type="TxLink">
            <a:rPr lang="en-US" sz="2400" b="0" i="0" u="none" strike="noStrike">
              <a:solidFill>
                <a:schemeClr val="bg1"/>
              </a:solidFill>
              <a:latin typeface="Agency FB" panose="020B0503020202020204" pitchFamily="34" charset="0"/>
              <a:ea typeface="+mn-ea"/>
              <a:cs typeface="Calibri"/>
            </a:rPr>
            <a:pPr marL="0" indent="0" algn="ctr"/>
            <a:t>£2,474</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12</xdr:col>
      <xdr:colOff>476250</xdr:colOff>
      <xdr:row>32</xdr:row>
      <xdr:rowOff>66675</xdr:rowOff>
    </xdr:from>
    <xdr:to>
      <xdr:col>14</xdr:col>
      <xdr:colOff>276225</xdr:colOff>
      <xdr:row>33</xdr:row>
      <xdr:rowOff>133350</xdr:rowOff>
    </xdr:to>
    <xdr:sp macro="" textlink="Analysis!O9">
      <xdr:nvSpPr>
        <xdr:cNvPr id="107" name="TextBox 106">
          <a:extLst>
            <a:ext uri="{FF2B5EF4-FFF2-40B4-BE49-F238E27FC236}">
              <a16:creationId xmlns:a16="http://schemas.microsoft.com/office/drawing/2014/main" id="{00000000-0008-0000-0400-00006B000000}"/>
            </a:ext>
          </a:extLst>
        </xdr:cNvPr>
        <xdr:cNvSpPr txBox="1"/>
      </xdr:nvSpPr>
      <xdr:spPr>
        <a:xfrm>
          <a:off x="7324725" y="61626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E1C293-6E0D-4914-B99B-50EDEEDC95E7}" type="TxLink">
            <a:rPr lang="en-US" sz="2400" b="0" i="0" u="none" strike="noStrike">
              <a:solidFill>
                <a:schemeClr val="bg1"/>
              </a:solidFill>
              <a:latin typeface="Agency FB" panose="020B0503020202020204" pitchFamily="34" charset="0"/>
              <a:ea typeface="+mn-ea"/>
              <a:cs typeface="Calibri"/>
            </a:rPr>
            <a:pPr marL="0" indent="0" algn="ctr"/>
            <a:t>£7,028</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1</xdr:col>
      <xdr:colOff>457200</xdr:colOff>
      <xdr:row>32</xdr:row>
      <xdr:rowOff>66675</xdr:rowOff>
    </xdr:from>
    <xdr:to>
      <xdr:col>3</xdr:col>
      <xdr:colOff>457200</xdr:colOff>
      <xdr:row>33</xdr:row>
      <xdr:rowOff>133350</xdr:rowOff>
    </xdr:to>
    <xdr:sp macro="" textlink="Analysis!O10">
      <xdr:nvSpPr>
        <xdr:cNvPr id="108" name="TextBox 107">
          <a:extLst>
            <a:ext uri="{FF2B5EF4-FFF2-40B4-BE49-F238E27FC236}">
              <a16:creationId xmlns:a16="http://schemas.microsoft.com/office/drawing/2014/main" id="{00000000-0008-0000-0400-00006C000000}"/>
            </a:ext>
          </a:extLst>
        </xdr:cNvPr>
        <xdr:cNvSpPr txBox="1"/>
      </xdr:nvSpPr>
      <xdr:spPr>
        <a:xfrm>
          <a:off x="600075" y="6162675"/>
          <a:ext cx="12192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9C5801-4221-40B6-A846-D4965CE1C3CA}" type="TxLink">
            <a:rPr lang="en-US" sz="2400" b="0" i="0" u="none" strike="noStrike">
              <a:solidFill>
                <a:schemeClr val="bg1"/>
              </a:solidFill>
              <a:latin typeface="Agency FB" panose="020B0503020202020204" pitchFamily="34" charset="0"/>
              <a:ea typeface="+mn-ea"/>
              <a:cs typeface="Calibri"/>
            </a:rPr>
            <a:pPr marL="0" indent="0" algn="ctr"/>
            <a:t>£16,400</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9</xdr:col>
      <xdr:colOff>571500</xdr:colOff>
      <xdr:row>32</xdr:row>
      <xdr:rowOff>66675</xdr:rowOff>
    </xdr:from>
    <xdr:to>
      <xdr:col>11</xdr:col>
      <xdr:colOff>371475</xdr:colOff>
      <xdr:row>33</xdr:row>
      <xdr:rowOff>133350</xdr:rowOff>
    </xdr:to>
    <xdr:sp macro="" textlink="Analysis!O11">
      <xdr:nvSpPr>
        <xdr:cNvPr id="109" name="TextBox 108">
          <a:extLst>
            <a:ext uri="{FF2B5EF4-FFF2-40B4-BE49-F238E27FC236}">
              <a16:creationId xmlns:a16="http://schemas.microsoft.com/office/drawing/2014/main" id="{00000000-0008-0000-0400-00006D000000}"/>
            </a:ext>
          </a:extLst>
        </xdr:cNvPr>
        <xdr:cNvSpPr txBox="1"/>
      </xdr:nvSpPr>
      <xdr:spPr>
        <a:xfrm>
          <a:off x="5591175" y="61626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CB5FBE-CCDB-4235-8EBE-6734F3B68DC2}" type="TxLink">
            <a:rPr lang="en-US" sz="2400" b="0" i="0" u="none" strike="noStrike">
              <a:solidFill>
                <a:schemeClr val="bg1"/>
              </a:solidFill>
              <a:latin typeface="Agency FB" panose="020B0503020202020204" pitchFamily="34" charset="0"/>
              <a:ea typeface="+mn-ea"/>
              <a:cs typeface="Calibri"/>
            </a:rPr>
            <a:pPr marL="0" indent="0" algn="ctr"/>
            <a:t>£225</a:t>
          </a:fld>
          <a:endParaRPr lang="en-US" sz="2400" b="0" i="0" u="none" strike="noStrike">
            <a:solidFill>
              <a:schemeClr val="bg1"/>
            </a:solidFill>
            <a:latin typeface="Agency FB" panose="020B0503020202020204" pitchFamily="34" charset="0"/>
            <a:ea typeface="+mn-ea"/>
            <a:cs typeface="Calibri"/>
          </a:endParaRPr>
        </a:p>
      </xdr:txBody>
    </xdr:sp>
    <xdr:clientData/>
  </xdr:twoCellAnchor>
  <xdr:twoCellAnchor>
    <xdr:from>
      <xdr:col>15</xdr:col>
      <xdr:colOff>228600</xdr:colOff>
      <xdr:row>32</xdr:row>
      <xdr:rowOff>66675</xdr:rowOff>
    </xdr:from>
    <xdr:to>
      <xdr:col>17</xdr:col>
      <xdr:colOff>28575</xdr:colOff>
      <xdr:row>33</xdr:row>
      <xdr:rowOff>133350</xdr:rowOff>
    </xdr:to>
    <xdr:sp macro="" textlink="Analysis!O12">
      <xdr:nvSpPr>
        <xdr:cNvPr id="110" name="TextBox 109">
          <a:extLst>
            <a:ext uri="{FF2B5EF4-FFF2-40B4-BE49-F238E27FC236}">
              <a16:creationId xmlns:a16="http://schemas.microsoft.com/office/drawing/2014/main" id="{00000000-0008-0000-0400-00006E000000}"/>
            </a:ext>
          </a:extLst>
        </xdr:cNvPr>
        <xdr:cNvSpPr txBox="1"/>
      </xdr:nvSpPr>
      <xdr:spPr>
        <a:xfrm>
          <a:off x="8905875" y="61626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E2E1C4-D89B-4AEA-A8AC-77A87CD08B3D}" type="TxLink">
            <a:rPr lang="en-US" sz="2400" b="0" i="0" u="none" strike="noStrike">
              <a:solidFill>
                <a:schemeClr val="bg1"/>
              </a:solidFill>
              <a:latin typeface="Agency FB" panose="020B0503020202020204" pitchFamily="34" charset="0"/>
              <a:cs typeface="Calibri"/>
            </a:rPr>
            <a:pPr algn="ctr"/>
            <a:t>£3,515</a:t>
          </a:fld>
          <a:endParaRPr lang="en-US" sz="3600" b="0">
            <a:solidFill>
              <a:schemeClr val="bg1"/>
            </a:solidFill>
            <a:latin typeface="Agency FB" panose="020B0503020202020204" pitchFamily="34" charset="0"/>
          </a:endParaRPr>
        </a:p>
      </xdr:txBody>
    </xdr:sp>
    <xdr:clientData/>
  </xdr:twoCellAnchor>
  <xdr:twoCellAnchor>
    <xdr:from>
      <xdr:col>6</xdr:col>
      <xdr:colOff>438151</xdr:colOff>
      <xdr:row>18</xdr:row>
      <xdr:rowOff>0</xdr:rowOff>
    </xdr:from>
    <xdr:to>
      <xdr:col>10</xdr:col>
      <xdr:colOff>438151</xdr:colOff>
      <xdr:row>26</xdr:row>
      <xdr:rowOff>28574</xdr:rowOff>
    </xdr:to>
    <xdr:graphicFrame macro="">
      <xdr:nvGraphicFramePr>
        <xdr:cNvPr id="111" name="Chart 110">
          <a:extLst>
            <a:ext uri="{FF2B5EF4-FFF2-40B4-BE49-F238E27FC236}">
              <a16:creationId xmlns:a16="http://schemas.microsoft.com/office/drawing/2014/main" id="{00000000-0008-0000-04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8</xdr:col>
      <xdr:colOff>590550</xdr:colOff>
      <xdr:row>17</xdr:row>
      <xdr:rowOff>57151</xdr:rowOff>
    </xdr:from>
    <xdr:to>
      <xdr:col>10</xdr:col>
      <xdr:colOff>542926</xdr:colOff>
      <xdr:row>18</xdr:row>
      <xdr:rowOff>85725</xdr:rowOff>
    </xdr:to>
    <xdr:sp macro="" textlink="">
      <xdr:nvSpPr>
        <xdr:cNvPr id="112" name="Rectangle: Rounded Corners 111">
          <a:extLst>
            <a:ext uri="{FF2B5EF4-FFF2-40B4-BE49-F238E27FC236}">
              <a16:creationId xmlns:a16="http://schemas.microsoft.com/office/drawing/2014/main" id="{00000000-0008-0000-0400-000070000000}"/>
            </a:ext>
          </a:extLst>
        </xdr:cNvPr>
        <xdr:cNvSpPr/>
      </xdr:nvSpPr>
      <xdr:spPr>
        <a:xfrm>
          <a:off x="5000625" y="3295651"/>
          <a:ext cx="1171576" cy="21907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Incom</a:t>
          </a:r>
          <a:r>
            <a:rPr lang="en-US" sz="1100" i="0" baseline="0">
              <a:solidFill>
                <a:schemeClr val="lt1"/>
              </a:solidFill>
              <a:latin typeface="+mn-lt"/>
              <a:ea typeface="+mn-ea"/>
              <a:cs typeface="+mn-cs"/>
            </a:rPr>
            <a:t>e sources</a:t>
          </a:r>
          <a:endParaRPr lang="en-US" sz="1100" i="0">
            <a:solidFill>
              <a:schemeClr val="lt1"/>
            </a:solidFill>
            <a:latin typeface="+mn-lt"/>
            <a:ea typeface="+mn-ea"/>
            <a:cs typeface="+mn-cs"/>
          </a:endParaRPr>
        </a:p>
      </xdr:txBody>
    </xdr:sp>
    <xdr:clientData/>
  </xdr:twoCellAnchor>
  <xdr:twoCellAnchor>
    <xdr:from>
      <xdr:col>6</xdr:col>
      <xdr:colOff>276225</xdr:colOff>
      <xdr:row>25</xdr:row>
      <xdr:rowOff>152400</xdr:rowOff>
    </xdr:from>
    <xdr:to>
      <xdr:col>8</xdr:col>
      <xdr:colOff>76200</xdr:colOff>
      <xdr:row>27</xdr:row>
      <xdr:rowOff>28575</xdr:rowOff>
    </xdr:to>
    <xdr:sp macro="" textlink="Analysis!N8">
      <xdr:nvSpPr>
        <xdr:cNvPr id="113" name="TextBox 112">
          <a:extLst>
            <a:ext uri="{FF2B5EF4-FFF2-40B4-BE49-F238E27FC236}">
              <a16:creationId xmlns:a16="http://schemas.microsoft.com/office/drawing/2014/main" id="{00000000-0008-0000-0400-000071000000}"/>
            </a:ext>
          </a:extLst>
        </xdr:cNvPr>
        <xdr:cNvSpPr txBox="1"/>
      </xdr:nvSpPr>
      <xdr:spPr>
        <a:xfrm>
          <a:off x="3467100" y="4914900"/>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chemeClr val="bg1">
                  <a:lumMod val="65000"/>
                </a:schemeClr>
              </a:solidFill>
              <a:latin typeface="Calibri"/>
              <a:ea typeface="+mn-ea"/>
              <a:cs typeface="Calibri"/>
            </a:rPr>
            <a:t>YouTube</a:t>
          </a:r>
        </a:p>
      </xdr:txBody>
    </xdr:sp>
    <xdr:clientData/>
  </xdr:twoCellAnchor>
  <xdr:twoCellAnchor>
    <xdr:from>
      <xdr:col>7</xdr:col>
      <xdr:colOff>514350</xdr:colOff>
      <xdr:row>25</xdr:row>
      <xdr:rowOff>171450</xdr:rowOff>
    </xdr:from>
    <xdr:to>
      <xdr:col>9</xdr:col>
      <xdr:colOff>314325</xdr:colOff>
      <xdr:row>27</xdr:row>
      <xdr:rowOff>47625</xdr:rowOff>
    </xdr:to>
    <xdr:sp macro="" textlink="Analysis!R9">
      <xdr:nvSpPr>
        <xdr:cNvPr id="114" name="TextBox 113">
          <a:extLst>
            <a:ext uri="{FF2B5EF4-FFF2-40B4-BE49-F238E27FC236}">
              <a16:creationId xmlns:a16="http://schemas.microsoft.com/office/drawing/2014/main" id="{00000000-0008-0000-0400-000072000000}"/>
            </a:ext>
          </a:extLst>
        </xdr:cNvPr>
        <xdr:cNvSpPr txBox="1"/>
      </xdr:nvSpPr>
      <xdr:spPr>
        <a:xfrm>
          <a:off x="4314825" y="4933950"/>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7AEF75-3FA2-41A5-9A7B-F55AF4332DB3}" type="TxLink">
            <a:rPr lang="en-US" sz="1200" b="0" i="0" u="none" strike="noStrike">
              <a:solidFill>
                <a:schemeClr val="bg1">
                  <a:lumMod val="65000"/>
                </a:schemeClr>
              </a:solidFill>
              <a:latin typeface="Calibri"/>
              <a:ea typeface="+mn-ea"/>
              <a:cs typeface="Calibri"/>
            </a:rPr>
            <a:pPr marL="0" indent="0" algn="ctr"/>
            <a:t>DWD</a:t>
          </a:fld>
          <a:endParaRPr lang="en-US" sz="1200" b="0" i="0" u="none" strike="noStrike">
            <a:solidFill>
              <a:schemeClr val="bg1">
                <a:lumMod val="65000"/>
              </a:schemeClr>
            </a:solidFill>
            <a:latin typeface="Calibri"/>
            <a:ea typeface="+mn-ea"/>
            <a:cs typeface="Calibri"/>
          </a:endParaRPr>
        </a:p>
      </xdr:txBody>
    </xdr:sp>
    <xdr:clientData/>
  </xdr:twoCellAnchor>
  <xdr:twoCellAnchor>
    <xdr:from>
      <xdr:col>9</xdr:col>
      <xdr:colOff>142875</xdr:colOff>
      <xdr:row>25</xdr:row>
      <xdr:rowOff>142875</xdr:rowOff>
    </xdr:from>
    <xdr:to>
      <xdr:col>10</xdr:col>
      <xdr:colOff>552450</xdr:colOff>
      <xdr:row>27</xdr:row>
      <xdr:rowOff>19050</xdr:rowOff>
    </xdr:to>
    <xdr:sp macro="" textlink="Analysis!N8">
      <xdr:nvSpPr>
        <xdr:cNvPr id="115" name="TextBox 114">
          <a:extLst>
            <a:ext uri="{FF2B5EF4-FFF2-40B4-BE49-F238E27FC236}">
              <a16:creationId xmlns:a16="http://schemas.microsoft.com/office/drawing/2014/main" id="{00000000-0008-0000-0400-000073000000}"/>
            </a:ext>
          </a:extLst>
        </xdr:cNvPr>
        <xdr:cNvSpPr txBox="1"/>
      </xdr:nvSpPr>
      <xdr:spPr>
        <a:xfrm>
          <a:off x="5162550" y="49053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a:solidFill>
                <a:schemeClr val="bg1">
                  <a:lumMod val="65000"/>
                </a:schemeClr>
              </a:solidFill>
              <a:latin typeface="Calibri"/>
              <a:ea typeface="+mn-ea"/>
              <a:cs typeface="Calibri"/>
            </a:rPr>
            <a:t>Teachable</a:t>
          </a:r>
        </a:p>
      </xdr:txBody>
    </xdr:sp>
    <xdr:clientData/>
  </xdr:twoCellAnchor>
  <xdr:twoCellAnchor>
    <xdr:from>
      <xdr:col>6</xdr:col>
      <xdr:colOff>285750</xdr:colOff>
      <xdr:row>26</xdr:row>
      <xdr:rowOff>123825</xdr:rowOff>
    </xdr:from>
    <xdr:to>
      <xdr:col>8</xdr:col>
      <xdr:colOff>85725</xdr:colOff>
      <xdr:row>28</xdr:row>
      <xdr:rowOff>0</xdr:rowOff>
    </xdr:to>
    <xdr:sp macro="" textlink="Analysis!S9">
      <xdr:nvSpPr>
        <xdr:cNvPr id="116" name="TextBox 115">
          <a:extLst>
            <a:ext uri="{FF2B5EF4-FFF2-40B4-BE49-F238E27FC236}">
              <a16:creationId xmlns:a16="http://schemas.microsoft.com/office/drawing/2014/main" id="{00000000-0008-0000-0400-000074000000}"/>
            </a:ext>
          </a:extLst>
        </xdr:cNvPr>
        <xdr:cNvSpPr txBox="1"/>
      </xdr:nvSpPr>
      <xdr:spPr>
        <a:xfrm>
          <a:off x="3476625" y="507682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6BEF3B5-4346-46AF-BC12-BA93F7F56F29}" type="TxLink">
            <a:rPr lang="en-US" sz="1100" b="0" i="0" u="none" strike="noStrike">
              <a:solidFill>
                <a:schemeClr val="bg1">
                  <a:lumMod val="95000"/>
                </a:schemeClr>
              </a:solidFill>
              <a:latin typeface="Calibri"/>
              <a:ea typeface="+mn-ea"/>
              <a:cs typeface="Calibri"/>
            </a:rPr>
            <a:pPr marL="0" indent="0" algn="ctr"/>
            <a:t>£50,000</a:t>
          </a:fld>
          <a:endParaRPr lang="en-US" sz="1200" b="0" i="0" u="none" strike="noStrike">
            <a:solidFill>
              <a:schemeClr val="bg1">
                <a:lumMod val="95000"/>
              </a:schemeClr>
            </a:solidFill>
            <a:latin typeface="Calibri"/>
            <a:ea typeface="+mn-ea"/>
            <a:cs typeface="Calibri"/>
          </a:endParaRPr>
        </a:p>
      </xdr:txBody>
    </xdr:sp>
    <xdr:clientData/>
  </xdr:twoCellAnchor>
  <xdr:twoCellAnchor>
    <xdr:from>
      <xdr:col>7</xdr:col>
      <xdr:colOff>523875</xdr:colOff>
      <xdr:row>26</xdr:row>
      <xdr:rowOff>142875</xdr:rowOff>
    </xdr:from>
    <xdr:to>
      <xdr:col>9</xdr:col>
      <xdr:colOff>323850</xdr:colOff>
      <xdr:row>28</xdr:row>
      <xdr:rowOff>19050</xdr:rowOff>
    </xdr:to>
    <xdr:sp macro="" textlink="Analysis!S7">
      <xdr:nvSpPr>
        <xdr:cNvPr id="117" name="TextBox 116">
          <a:extLst>
            <a:ext uri="{FF2B5EF4-FFF2-40B4-BE49-F238E27FC236}">
              <a16:creationId xmlns:a16="http://schemas.microsoft.com/office/drawing/2014/main" id="{00000000-0008-0000-0400-000075000000}"/>
            </a:ext>
          </a:extLst>
        </xdr:cNvPr>
        <xdr:cNvSpPr txBox="1"/>
      </xdr:nvSpPr>
      <xdr:spPr>
        <a:xfrm>
          <a:off x="4324350" y="50958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2BEF3C-B5DC-4B07-86FB-8E83E45769EB}" type="TxLink">
            <a:rPr lang="en-US" sz="1100" b="0" i="0" u="none" strike="noStrike">
              <a:solidFill>
                <a:schemeClr val="bg1">
                  <a:lumMod val="95000"/>
                </a:schemeClr>
              </a:solidFill>
              <a:latin typeface="Calibri"/>
              <a:ea typeface="+mn-ea"/>
              <a:cs typeface="Calibri"/>
            </a:rPr>
            <a:pPr marL="0" indent="0" algn="ctr"/>
            <a:t>£4,500</a:t>
          </a:fld>
          <a:endParaRPr lang="en-US" sz="1200" b="0" i="0" u="none" strike="noStrike">
            <a:solidFill>
              <a:schemeClr val="bg1">
                <a:lumMod val="95000"/>
              </a:schemeClr>
            </a:solidFill>
            <a:latin typeface="Calibri"/>
            <a:ea typeface="+mn-ea"/>
            <a:cs typeface="Calibri"/>
          </a:endParaRPr>
        </a:p>
      </xdr:txBody>
    </xdr:sp>
    <xdr:clientData/>
  </xdr:twoCellAnchor>
  <xdr:twoCellAnchor>
    <xdr:from>
      <xdr:col>9</xdr:col>
      <xdr:colOff>152400</xdr:colOff>
      <xdr:row>26</xdr:row>
      <xdr:rowOff>114300</xdr:rowOff>
    </xdr:from>
    <xdr:to>
      <xdr:col>10</xdr:col>
      <xdr:colOff>561975</xdr:colOff>
      <xdr:row>27</xdr:row>
      <xdr:rowOff>180975</xdr:rowOff>
    </xdr:to>
    <xdr:sp macro="" textlink="Analysis!S8">
      <xdr:nvSpPr>
        <xdr:cNvPr id="118" name="TextBox 117">
          <a:extLst>
            <a:ext uri="{FF2B5EF4-FFF2-40B4-BE49-F238E27FC236}">
              <a16:creationId xmlns:a16="http://schemas.microsoft.com/office/drawing/2014/main" id="{00000000-0008-0000-0400-000076000000}"/>
            </a:ext>
          </a:extLst>
        </xdr:cNvPr>
        <xdr:cNvSpPr txBox="1"/>
      </xdr:nvSpPr>
      <xdr:spPr>
        <a:xfrm>
          <a:off x="5172075" y="5067300"/>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75D6E0-00FC-449A-9EC5-B640E0A33AAC}" type="TxLink">
            <a:rPr lang="en-US" sz="1100" b="0" i="0" u="none" strike="noStrike">
              <a:solidFill>
                <a:schemeClr val="bg1">
                  <a:lumMod val="95000"/>
                </a:schemeClr>
              </a:solidFill>
              <a:latin typeface="Calibri"/>
              <a:ea typeface="+mn-ea"/>
              <a:cs typeface="Calibri"/>
            </a:rPr>
            <a:pPr marL="0" indent="0" algn="ctr"/>
            <a:t>£10,940</a:t>
          </a:fld>
          <a:endParaRPr lang="en-US" sz="1200" b="0" i="0" u="none" strike="noStrike">
            <a:solidFill>
              <a:schemeClr val="bg1">
                <a:lumMod val="95000"/>
              </a:schemeClr>
            </a:solidFill>
            <a:latin typeface="Calibri"/>
            <a:ea typeface="+mn-ea"/>
            <a:cs typeface="Calibri"/>
          </a:endParaRPr>
        </a:p>
      </xdr:txBody>
    </xdr:sp>
    <xdr:clientData/>
  </xdr:twoCellAnchor>
  <xdr:twoCellAnchor>
    <xdr:from>
      <xdr:col>7</xdr:col>
      <xdr:colOff>514350</xdr:colOff>
      <xdr:row>21</xdr:row>
      <xdr:rowOff>114300</xdr:rowOff>
    </xdr:from>
    <xdr:to>
      <xdr:col>9</xdr:col>
      <xdr:colOff>314325</xdr:colOff>
      <xdr:row>22</xdr:row>
      <xdr:rowOff>180975</xdr:rowOff>
    </xdr:to>
    <xdr:sp macro="" textlink="Analysis!S10">
      <xdr:nvSpPr>
        <xdr:cNvPr id="119" name="TextBox 118">
          <a:extLst>
            <a:ext uri="{FF2B5EF4-FFF2-40B4-BE49-F238E27FC236}">
              <a16:creationId xmlns:a16="http://schemas.microsoft.com/office/drawing/2014/main" id="{00000000-0008-0000-0400-000077000000}"/>
            </a:ext>
          </a:extLst>
        </xdr:cNvPr>
        <xdr:cNvSpPr txBox="1"/>
      </xdr:nvSpPr>
      <xdr:spPr>
        <a:xfrm>
          <a:off x="4314825" y="4114800"/>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E8231D4-369E-4317-89AC-FDDDA7D4C0EE}" type="TxLink">
            <a:rPr lang="en-US" sz="1600" b="1" i="0" u="none" strike="noStrike">
              <a:solidFill>
                <a:srgbClr val="FFD058"/>
              </a:solidFill>
              <a:latin typeface="Calibri"/>
              <a:ea typeface="+mn-ea"/>
              <a:cs typeface="Calibri"/>
            </a:rPr>
            <a:pPr marL="0" indent="0" algn="ctr"/>
            <a:t>£65,440</a:t>
          </a:fld>
          <a:endParaRPr lang="en-US" sz="1800" b="1" i="0" u="none" strike="noStrike">
            <a:solidFill>
              <a:srgbClr val="FFD058"/>
            </a:solidFill>
            <a:latin typeface="Calibri"/>
            <a:ea typeface="+mn-ea"/>
            <a:cs typeface="Calibri"/>
          </a:endParaRPr>
        </a:p>
      </xdr:txBody>
    </xdr:sp>
    <xdr:clientData/>
  </xdr:twoCellAnchor>
  <xdr:twoCellAnchor>
    <xdr:from>
      <xdr:col>1</xdr:col>
      <xdr:colOff>542925</xdr:colOff>
      <xdr:row>5</xdr:row>
      <xdr:rowOff>95250</xdr:rowOff>
    </xdr:from>
    <xdr:to>
      <xdr:col>13</xdr:col>
      <xdr:colOff>504825</xdr:colOff>
      <xdr:row>15</xdr:row>
      <xdr:rowOff>95250</xdr:rowOff>
    </xdr:to>
    <mc:AlternateContent xmlns:mc="http://schemas.openxmlformats.org/markup-compatibility/2006">
      <mc:Choice xmlns:cx4="http://schemas.microsoft.com/office/drawing/2016/5/10/chartex" Requires="cx4">
        <xdr:graphicFrame macro="">
          <xdr:nvGraphicFramePr>
            <xdr:cNvPr id="121" name="Chart 120">
              <a:extLst>
                <a:ext uri="{FF2B5EF4-FFF2-40B4-BE49-F238E27FC236}">
                  <a16:creationId xmlns:a16="http://schemas.microsoft.com/office/drawing/2014/main" id="{00000000-0008-0000-0400-00007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7"/>
            </a:graphicData>
          </a:graphic>
        </xdr:graphicFrame>
      </mc:Choice>
      <mc:Fallback>
        <xdr:sp macro="" textlink="">
          <xdr:nvSpPr>
            <xdr:cNvPr id="0" name=""/>
            <xdr:cNvSpPr>
              <a:spLocks noTextEdit="1"/>
            </xdr:cNvSpPr>
          </xdr:nvSpPr>
          <xdr:spPr>
            <a:xfrm>
              <a:off x="695325" y="1000125"/>
              <a:ext cx="7791450" cy="18097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104775</xdr:colOff>
      <xdr:row>18</xdr:row>
      <xdr:rowOff>85725</xdr:rowOff>
    </xdr:from>
    <xdr:to>
      <xdr:col>17</xdr:col>
      <xdr:colOff>76200</xdr:colOff>
      <xdr:row>27</xdr:row>
      <xdr:rowOff>180974</xdr:rowOff>
    </xdr:to>
    <xdr:graphicFrame macro="">
      <xdr:nvGraphicFramePr>
        <xdr:cNvPr id="122" name="Chart 121">
          <a:extLst>
            <a:ext uri="{FF2B5EF4-FFF2-40B4-BE49-F238E27FC236}">
              <a16:creationId xmlns:a16="http://schemas.microsoft.com/office/drawing/2014/main" id="{00000000-0008-0000-04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14</xdr:col>
      <xdr:colOff>142875</xdr:colOff>
      <xdr:row>6</xdr:row>
      <xdr:rowOff>57150</xdr:rowOff>
    </xdr:from>
    <xdr:to>
      <xdr:col>17</xdr:col>
      <xdr:colOff>76200</xdr:colOff>
      <xdr:row>15</xdr:row>
      <xdr:rowOff>142875</xdr:rowOff>
    </xdr:to>
    <xdr:graphicFrame macro="">
      <xdr:nvGraphicFramePr>
        <xdr:cNvPr id="123" name="Chart 122">
          <a:extLst>
            <a:ext uri="{FF2B5EF4-FFF2-40B4-BE49-F238E27FC236}">
              <a16:creationId xmlns:a16="http://schemas.microsoft.com/office/drawing/2014/main" id="{00000000-0008-0000-04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absolute">
    <xdr:from>
      <xdr:col>14</xdr:col>
      <xdr:colOff>200025</xdr:colOff>
      <xdr:row>5</xdr:row>
      <xdr:rowOff>28574</xdr:rowOff>
    </xdr:from>
    <xdr:to>
      <xdr:col>17</xdr:col>
      <xdr:colOff>95250</xdr:colOff>
      <xdr:row>6</xdr:row>
      <xdr:rowOff>171449</xdr:rowOff>
    </xdr:to>
    <xdr:sp macro="" textlink="">
      <xdr:nvSpPr>
        <xdr:cNvPr id="124" name="Rectangle: Rounded Corners 123">
          <a:extLst>
            <a:ext uri="{FF2B5EF4-FFF2-40B4-BE49-F238E27FC236}">
              <a16:creationId xmlns:a16="http://schemas.microsoft.com/office/drawing/2014/main" id="{00000000-0008-0000-0400-00007C000000}"/>
            </a:ext>
          </a:extLst>
        </xdr:cNvPr>
        <xdr:cNvSpPr/>
      </xdr:nvSpPr>
      <xdr:spPr>
        <a:xfrm>
          <a:off x="8267700" y="981074"/>
          <a:ext cx="1724025" cy="33337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baseline="0">
              <a:solidFill>
                <a:schemeClr val="lt1"/>
              </a:solidFill>
              <a:latin typeface="+mn-lt"/>
              <a:ea typeface="+mn-ea"/>
              <a:cs typeface="+mn-cs"/>
            </a:rPr>
            <a:t>top-5 Expenses-out flow </a:t>
          </a:r>
          <a:endParaRPr lang="en-US" sz="1100" i="0">
            <a:solidFill>
              <a:schemeClr val="lt1"/>
            </a:solidFill>
            <a:latin typeface="+mn-lt"/>
            <a:ea typeface="+mn-ea"/>
            <a:cs typeface="+mn-cs"/>
          </a:endParaRPr>
        </a:p>
      </xdr:txBody>
    </xdr:sp>
    <xdr:clientData/>
  </xdr:twoCellAnchor>
  <xdr:twoCellAnchor>
    <xdr:from>
      <xdr:col>7</xdr:col>
      <xdr:colOff>38100</xdr:colOff>
      <xdr:row>27</xdr:row>
      <xdr:rowOff>173356</xdr:rowOff>
    </xdr:from>
    <xdr:to>
      <xdr:col>7</xdr:col>
      <xdr:colOff>312420</xdr:colOff>
      <xdr:row>28</xdr:row>
      <xdr:rowOff>28575</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flipV="1">
          <a:off x="3838575" y="5316856"/>
          <a:ext cx="274320" cy="45719"/>
        </a:xfrm>
        <a:prstGeom prst="rect">
          <a:avLst/>
        </a:prstGeom>
        <a:solidFill>
          <a:srgbClr val="FFD0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257175</xdr:colOff>
      <xdr:row>27</xdr:row>
      <xdr:rowOff>173356</xdr:rowOff>
    </xdr:from>
    <xdr:to>
      <xdr:col>8</xdr:col>
      <xdr:colOff>531495</xdr:colOff>
      <xdr:row>28</xdr:row>
      <xdr:rowOff>28575</xdr:rowOff>
    </xdr:to>
    <xdr:sp macro="" textlink="">
      <xdr:nvSpPr>
        <xdr:cNvPr id="125" name="Rectangle 124">
          <a:extLst>
            <a:ext uri="{FF2B5EF4-FFF2-40B4-BE49-F238E27FC236}">
              <a16:creationId xmlns:a16="http://schemas.microsoft.com/office/drawing/2014/main" id="{00000000-0008-0000-0400-00007D000000}"/>
            </a:ext>
          </a:extLst>
        </xdr:cNvPr>
        <xdr:cNvSpPr/>
      </xdr:nvSpPr>
      <xdr:spPr>
        <a:xfrm flipV="1">
          <a:off x="4667250" y="5316856"/>
          <a:ext cx="274320" cy="4571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514350</xdr:colOff>
      <xdr:row>27</xdr:row>
      <xdr:rowOff>173356</xdr:rowOff>
    </xdr:from>
    <xdr:to>
      <xdr:col>10</xdr:col>
      <xdr:colOff>179070</xdr:colOff>
      <xdr:row>28</xdr:row>
      <xdr:rowOff>28575</xdr:rowOff>
    </xdr:to>
    <xdr:sp macro="" textlink="">
      <xdr:nvSpPr>
        <xdr:cNvPr id="126" name="Rectangle 125">
          <a:extLst>
            <a:ext uri="{FF2B5EF4-FFF2-40B4-BE49-F238E27FC236}">
              <a16:creationId xmlns:a16="http://schemas.microsoft.com/office/drawing/2014/main" id="{00000000-0008-0000-0400-00007E000000}"/>
            </a:ext>
          </a:extLst>
        </xdr:cNvPr>
        <xdr:cNvSpPr/>
      </xdr:nvSpPr>
      <xdr:spPr>
        <a:xfrm flipV="1">
          <a:off x="5534025" y="5316856"/>
          <a:ext cx="274320" cy="45719"/>
        </a:xfrm>
        <a:prstGeom prst="rect">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47625</xdr:colOff>
      <xdr:row>5</xdr:row>
      <xdr:rowOff>142876</xdr:rowOff>
    </xdr:from>
    <xdr:to>
      <xdr:col>4</xdr:col>
      <xdr:colOff>342900</xdr:colOff>
      <xdr:row>7</xdr:row>
      <xdr:rowOff>19050</xdr:rowOff>
    </xdr:to>
    <xdr:sp macro="" textlink="">
      <xdr:nvSpPr>
        <xdr:cNvPr id="127" name="Rectangle: Rounded Corners 126">
          <a:extLst>
            <a:ext uri="{FF2B5EF4-FFF2-40B4-BE49-F238E27FC236}">
              <a16:creationId xmlns:a16="http://schemas.microsoft.com/office/drawing/2014/main" id="{00000000-0008-0000-0400-00007F000000}"/>
            </a:ext>
          </a:extLst>
        </xdr:cNvPr>
        <xdr:cNvSpPr/>
      </xdr:nvSpPr>
      <xdr:spPr>
        <a:xfrm>
          <a:off x="800100" y="1095376"/>
          <a:ext cx="1514475" cy="25717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Expenses</a:t>
          </a:r>
          <a:r>
            <a:rPr lang="en-US" sz="1100" i="0" baseline="0">
              <a:solidFill>
                <a:schemeClr val="lt1"/>
              </a:solidFill>
              <a:latin typeface="+mn-lt"/>
              <a:ea typeface="+mn-ea"/>
              <a:cs typeface="+mn-cs"/>
            </a:rPr>
            <a:t> by categories </a:t>
          </a:r>
          <a:endParaRPr lang="en-US" sz="1100" i="0">
            <a:solidFill>
              <a:schemeClr val="lt1"/>
            </a:solidFill>
            <a:latin typeface="+mn-lt"/>
            <a:ea typeface="+mn-ea"/>
            <a:cs typeface="+mn-cs"/>
          </a:endParaRPr>
        </a:p>
      </xdr:txBody>
    </xdr:sp>
    <xdr:clientData/>
  </xdr:twoCellAnchor>
  <xdr:twoCellAnchor editAs="absolute">
    <xdr:from>
      <xdr:col>13</xdr:col>
      <xdr:colOff>419100</xdr:colOff>
      <xdr:row>17</xdr:row>
      <xdr:rowOff>85726</xdr:rowOff>
    </xdr:from>
    <xdr:to>
      <xdr:col>16</xdr:col>
      <xdr:colOff>495301</xdr:colOff>
      <xdr:row>18</xdr:row>
      <xdr:rowOff>133350</xdr:rowOff>
    </xdr:to>
    <xdr:sp macro="" textlink="">
      <xdr:nvSpPr>
        <xdr:cNvPr id="128" name="Rectangle: Rounded Corners 127">
          <a:extLst>
            <a:ext uri="{FF2B5EF4-FFF2-40B4-BE49-F238E27FC236}">
              <a16:creationId xmlns:a16="http://schemas.microsoft.com/office/drawing/2014/main" id="{00000000-0008-0000-0400-000080000000}"/>
            </a:ext>
          </a:extLst>
        </xdr:cNvPr>
        <xdr:cNvSpPr/>
      </xdr:nvSpPr>
      <xdr:spPr>
        <a:xfrm>
          <a:off x="7877175" y="3324226"/>
          <a:ext cx="1905001" cy="23812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0">
              <a:solidFill>
                <a:schemeClr val="lt1"/>
              </a:solidFill>
              <a:latin typeface="+mn-lt"/>
              <a:ea typeface="+mn-ea"/>
              <a:cs typeface="+mn-cs"/>
            </a:rPr>
            <a:t>Expenses on a weekly basis</a:t>
          </a:r>
        </a:p>
      </xdr:txBody>
    </xdr:sp>
    <xdr:clientData/>
  </xdr:twoCellAnchor>
  <xdr:twoCellAnchor editAs="oneCell">
    <xdr:from>
      <xdr:col>11</xdr:col>
      <xdr:colOff>266701</xdr:colOff>
      <xdr:row>17</xdr:row>
      <xdr:rowOff>104775</xdr:rowOff>
    </xdr:from>
    <xdr:to>
      <xdr:col>11</xdr:col>
      <xdr:colOff>523875</xdr:colOff>
      <xdr:row>18</xdr:row>
      <xdr:rowOff>112101</xdr:rowOff>
    </xdr:to>
    <xdr:pic>
      <xdr:nvPicPr>
        <xdr:cNvPr id="129" name="Graphic 128" descr="Ethernet">
          <a:extLst>
            <a:ext uri="{FF2B5EF4-FFF2-40B4-BE49-F238E27FC236}">
              <a16:creationId xmlns:a16="http://schemas.microsoft.com/office/drawing/2014/main" id="{00000000-0008-0000-0400-000081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6505576" y="3343275"/>
          <a:ext cx="257174" cy="197826"/>
        </a:xfrm>
        <a:prstGeom prst="rect">
          <a:avLst/>
        </a:prstGeom>
      </xdr:spPr>
    </xdr:pic>
    <xdr:clientData/>
  </xdr:twoCellAnchor>
  <xdr:twoCellAnchor editAs="oneCell">
    <xdr:from>
      <xdr:col>6</xdr:col>
      <xdr:colOff>419101</xdr:colOff>
      <xdr:row>17</xdr:row>
      <xdr:rowOff>85725</xdr:rowOff>
    </xdr:from>
    <xdr:to>
      <xdr:col>7</xdr:col>
      <xdr:colOff>66675</xdr:colOff>
      <xdr:row>18</xdr:row>
      <xdr:rowOff>93051</xdr:rowOff>
    </xdr:to>
    <xdr:pic>
      <xdr:nvPicPr>
        <xdr:cNvPr id="130" name="Graphic 129" descr="Ethernet">
          <a:extLst>
            <a:ext uri="{FF2B5EF4-FFF2-40B4-BE49-F238E27FC236}">
              <a16:creationId xmlns:a16="http://schemas.microsoft.com/office/drawing/2014/main" id="{00000000-0008-0000-0400-000082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3609976" y="3324225"/>
          <a:ext cx="257174" cy="197826"/>
        </a:xfrm>
        <a:prstGeom prst="rect">
          <a:avLst/>
        </a:prstGeom>
      </xdr:spPr>
    </xdr:pic>
    <xdr:clientData/>
  </xdr:twoCellAnchor>
  <xdr:twoCellAnchor editAs="oneCell">
    <xdr:from>
      <xdr:col>13</xdr:col>
      <xdr:colOff>133351</xdr:colOff>
      <xdr:row>6</xdr:row>
      <xdr:rowOff>57150</xdr:rowOff>
    </xdr:from>
    <xdr:to>
      <xdr:col>13</xdr:col>
      <xdr:colOff>390525</xdr:colOff>
      <xdr:row>7</xdr:row>
      <xdr:rowOff>64476</xdr:rowOff>
    </xdr:to>
    <xdr:pic>
      <xdr:nvPicPr>
        <xdr:cNvPr id="131" name="Graphic 130" descr="Ethernet">
          <a:extLst>
            <a:ext uri="{FF2B5EF4-FFF2-40B4-BE49-F238E27FC236}">
              <a16:creationId xmlns:a16="http://schemas.microsoft.com/office/drawing/2014/main" id="{00000000-0008-0000-0400-000083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7591426" y="1200150"/>
          <a:ext cx="257174" cy="197826"/>
        </a:xfrm>
        <a:prstGeom prst="rect">
          <a:avLst/>
        </a:prstGeom>
      </xdr:spPr>
    </xdr:pic>
    <xdr:clientData/>
  </xdr:twoCellAnchor>
  <xdr:twoCellAnchor editAs="absolute">
    <xdr:from>
      <xdr:col>17</xdr:col>
      <xdr:colOff>257175</xdr:colOff>
      <xdr:row>14</xdr:row>
      <xdr:rowOff>171450</xdr:rowOff>
    </xdr:from>
    <xdr:to>
      <xdr:col>19</xdr:col>
      <xdr:colOff>276224</xdr:colOff>
      <xdr:row>16</xdr:row>
      <xdr:rowOff>38100</xdr:rowOff>
    </xdr:to>
    <xdr:sp macro="" textlink="">
      <xdr:nvSpPr>
        <xdr:cNvPr id="120" name="Rectangle: Rounded Corners 119">
          <a:extLst>
            <a:ext uri="{FF2B5EF4-FFF2-40B4-BE49-F238E27FC236}">
              <a16:creationId xmlns:a16="http://schemas.microsoft.com/office/drawing/2014/main" id="{00000000-0008-0000-0400-000078000000}"/>
            </a:ext>
          </a:extLst>
        </xdr:cNvPr>
        <xdr:cNvSpPr/>
      </xdr:nvSpPr>
      <xdr:spPr>
        <a:xfrm>
          <a:off x="10153650" y="2838450"/>
          <a:ext cx="1238249" cy="247650"/>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Category</a:t>
          </a:r>
          <a:r>
            <a:rPr lang="en-US" sz="1100" baseline="0"/>
            <a:t> filter</a:t>
          </a:r>
          <a:endParaRPr lang="en-US" sz="1100"/>
        </a:p>
      </xdr:txBody>
    </xdr:sp>
    <xdr:clientData/>
  </xdr:twoCellAnchor>
  <xdr:twoCellAnchor>
    <xdr:from>
      <xdr:col>17</xdr:col>
      <xdr:colOff>295275</xdr:colOff>
      <xdr:row>24</xdr:row>
      <xdr:rowOff>161926</xdr:rowOff>
    </xdr:from>
    <xdr:to>
      <xdr:col>20</xdr:col>
      <xdr:colOff>847724</xdr:colOff>
      <xdr:row>27</xdr:row>
      <xdr:rowOff>104776</xdr:rowOff>
    </xdr:to>
    <xdr:sp macro="" textlink="Analysis!G22">
      <xdr:nvSpPr>
        <xdr:cNvPr id="133" name="TextBox 132">
          <a:extLst>
            <a:ext uri="{FF2B5EF4-FFF2-40B4-BE49-F238E27FC236}">
              <a16:creationId xmlns:a16="http://schemas.microsoft.com/office/drawing/2014/main" id="{00000000-0008-0000-0400-000085000000}"/>
            </a:ext>
          </a:extLst>
        </xdr:cNvPr>
        <xdr:cNvSpPr txBox="1"/>
      </xdr:nvSpPr>
      <xdr:spPr>
        <a:xfrm>
          <a:off x="10191750" y="4733926"/>
          <a:ext cx="2381249"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45A7009-3A15-4FDB-B74F-4E86D6CC2259}" type="TxLink">
            <a:rPr lang="en-US" sz="1100" b="0" i="0" u="none" strike="noStrike">
              <a:solidFill>
                <a:schemeClr val="bg1">
                  <a:lumMod val="95000"/>
                </a:schemeClr>
              </a:solidFill>
              <a:latin typeface="Calibri"/>
              <a:ea typeface="+mn-ea"/>
              <a:cs typeface="Calibri"/>
            </a:rPr>
            <a:pPr marL="0" indent="0" algn="ctr"/>
            <a:t>Expenses view, you can filter with category</a:t>
          </a:fld>
          <a:endParaRPr lang="en-US" sz="1100" b="0">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xdr:from>
      <xdr:col>18</xdr:col>
      <xdr:colOff>495300</xdr:colOff>
      <xdr:row>33</xdr:row>
      <xdr:rowOff>180975</xdr:rowOff>
    </xdr:from>
    <xdr:to>
      <xdr:col>20</xdr:col>
      <xdr:colOff>295275</xdr:colOff>
      <xdr:row>35</xdr:row>
      <xdr:rowOff>57150</xdr:rowOff>
    </xdr:to>
    <xdr:sp macro="" textlink="Analysis!E32">
      <xdr:nvSpPr>
        <xdr:cNvPr id="135" name="TextBox 134">
          <a:extLst>
            <a:ext uri="{FF2B5EF4-FFF2-40B4-BE49-F238E27FC236}">
              <a16:creationId xmlns:a16="http://schemas.microsoft.com/office/drawing/2014/main" id="{00000000-0008-0000-0400-000087000000}"/>
            </a:ext>
          </a:extLst>
        </xdr:cNvPr>
        <xdr:cNvSpPr txBox="1"/>
      </xdr:nvSpPr>
      <xdr:spPr>
        <a:xfrm>
          <a:off x="11001375" y="6467475"/>
          <a:ext cx="10191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3E59C7-B348-4D15-870A-A0B0C19506E7}" type="TxLink">
            <a:rPr lang="en-US" sz="1600" b="1" i="0" u="none" strike="noStrike">
              <a:solidFill>
                <a:schemeClr val="bg1">
                  <a:lumMod val="95000"/>
                </a:schemeClr>
              </a:solidFill>
              <a:latin typeface="Calibri"/>
              <a:ea typeface="+mn-ea"/>
              <a:cs typeface="Calibri"/>
            </a:rPr>
            <a:pPr marL="0" indent="0" algn="ctr"/>
            <a:t>£30,191</a:t>
          </a:fld>
          <a:endParaRPr lang="en-US" sz="1600" b="1" i="0" u="none" strike="noStrike">
            <a:solidFill>
              <a:schemeClr val="bg1">
                <a:lumMod val="95000"/>
              </a:schemeClr>
            </a:solidFill>
            <a:latin typeface="Calibri"/>
            <a:ea typeface="+mn-ea"/>
            <a:cs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P/Downloads/Personal_Finance_Dashboard_d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Dashboard"/>
      <sheetName val="Analysis"/>
      <sheetName val="Transactions"/>
      <sheetName val="November and December"/>
      <sheetName val="Data Validation"/>
      <sheetName val="More Resources"/>
    </sheetNames>
    <sheetDataSet>
      <sheetData sheetId="0" refreshError="1"/>
      <sheetData sheetId="1" refreshError="1"/>
      <sheetData sheetId="2" refreshError="1"/>
      <sheetData sheetId="3" refreshError="1"/>
      <sheetData sheetId="4" refreshError="1"/>
      <sheetData sheetId="5">
        <row r="2">
          <cell r="M2" t="str">
            <v>ACME Pty Ltd</v>
          </cell>
          <cell r="N2" t="str">
            <v>Data With Decision</v>
          </cell>
        </row>
        <row r="3">
          <cell r="M3" t="str">
            <v>Ground</v>
          </cell>
          <cell r="N3" t="str">
            <v>Drink</v>
          </cell>
        </row>
        <row r="4">
          <cell r="M4" t="str">
            <v>Estate Mgt.</v>
          </cell>
          <cell r="N4" t="str">
            <v>Estate Mangement</v>
          </cell>
        </row>
        <row r="5">
          <cell r="M5" t="str">
            <v>Finance Co.</v>
          </cell>
          <cell r="N5" t="str">
            <v>Financail upgrade</v>
          </cell>
        </row>
        <row r="6">
          <cell r="M6" t="str">
            <v>Green's</v>
          </cell>
          <cell r="N6" t="str">
            <v>Green's</v>
          </cell>
        </row>
        <row r="7">
          <cell r="M7" t="str">
            <v>Elec. Co.</v>
          </cell>
          <cell r="N7" t="str">
            <v>Power source</v>
          </cell>
        </row>
        <row r="8">
          <cell r="M8" t="str">
            <v>Fuel. Co</v>
          </cell>
          <cell r="N8" t="str">
            <v>Fuel</v>
          </cell>
        </row>
        <row r="9">
          <cell r="M9" t="str">
            <v>Event Cinemas</v>
          </cell>
          <cell r="N9" t="str">
            <v>Cinemas</v>
          </cell>
        </row>
        <row r="10">
          <cell r="M10" t="str">
            <v>Fashionistas</v>
          </cell>
          <cell r="N10" t="str">
            <v>Fashionistas</v>
          </cell>
        </row>
        <row r="11">
          <cell r="M11" t="str">
            <v>Joe's Grill</v>
          </cell>
          <cell r="N11" t="str">
            <v>Burger</v>
          </cell>
        </row>
        <row r="12">
          <cell r="M12" t="str">
            <v>Taxi Co.</v>
          </cell>
          <cell r="N12" t="str">
            <v>Uba</v>
          </cell>
        </row>
        <row r="13">
          <cell r="M13" t="str">
            <v>Muscle Beach</v>
          </cell>
          <cell r="N13" t="str">
            <v>Onlne earning</v>
          </cell>
        </row>
        <row r="14">
          <cell r="M14" t="str">
            <v>Smile Dental</v>
          </cell>
          <cell r="N14" t="str">
            <v>Onlne earning</v>
          </cell>
        </row>
        <row r="15">
          <cell r="M15" t="str">
            <v>Phone Co.</v>
          </cell>
          <cell r="N15" t="str">
            <v>Phone</v>
          </cell>
        </row>
        <row r="16">
          <cell r="M16" t="str">
            <v>Sam's Gifts</v>
          </cell>
          <cell r="N16" t="str">
            <v>Sallah give away</v>
          </cell>
        </row>
        <row r="17">
          <cell r="M17" t="str">
            <v>Streaming Co.</v>
          </cell>
          <cell r="N17" t="str">
            <v>Online streaming</v>
          </cell>
        </row>
        <row r="18">
          <cell r="M18" t="str">
            <v>Pizza Pomodoro</v>
          </cell>
          <cell r="N18" t="str">
            <v>Suya</v>
          </cell>
        </row>
        <row r="19">
          <cell r="M19" t="str">
            <v>Golden Arches</v>
          </cell>
          <cell r="N19" t="str">
            <v>Oha soup/White soup</v>
          </cell>
        </row>
        <row r="20">
          <cell r="M20" t="str">
            <v>Worldvision</v>
          </cell>
          <cell r="N20" t="str">
            <v>Orphanage</v>
          </cell>
        </row>
        <row r="21">
          <cell r="M21" t="str">
            <v>Ted's Trainers</v>
          </cell>
          <cell r="N21" t="str">
            <v>Trainers</v>
          </cell>
        </row>
        <row r="22">
          <cell r="M22" t="str">
            <v>Ticketek</v>
          </cell>
          <cell r="N22" t="str">
            <v>Hangingout/Ticket</v>
          </cell>
        </row>
        <row r="23">
          <cell r="M23" t="str">
            <v>Global Fashion</v>
          </cell>
          <cell r="N23" t="str">
            <v>Global Fashion</v>
          </cell>
        </row>
        <row r="24">
          <cell r="M24" t="str">
            <v>Village Medical</v>
          </cell>
          <cell r="N24" t="str">
            <v>Taken medication</v>
          </cell>
        </row>
        <row r="25">
          <cell r="M25" t="str">
            <v>Sports Co.</v>
          </cell>
          <cell r="N25" t="str">
            <v>Sport ware</v>
          </cell>
        </row>
        <row r="26">
          <cell r="M26" t="str">
            <v>Foodary</v>
          </cell>
          <cell r="N26" t="str">
            <v>Foodary</v>
          </cell>
        </row>
        <row r="27">
          <cell r="M27" t="str">
            <v>BW Club</v>
          </cell>
          <cell r="N27" t="str">
            <v>Clubing</v>
          </cell>
        </row>
        <row r="28">
          <cell r="M28" t="str">
            <v>Home Decorator</v>
          </cell>
          <cell r="N28" t="str">
            <v>Home décor</v>
          </cell>
        </row>
        <row r="29">
          <cell r="M29" t="str">
            <v>Fodary</v>
          </cell>
          <cell r="N29" t="str">
            <v>Feedings</v>
          </cell>
        </row>
      </sheetData>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23.798158680554" createdVersion="6" refreshedVersion="6" minRefreshableVersion="3" recordCount="486" xr:uid="{40747934-D725-4CA7-8F78-DDD0AFFB4F47}">
  <cacheSource type="worksheet">
    <worksheetSource name="Table2"/>
  </cacheSource>
  <cacheFields count="13">
    <cacheField name="Date" numFmtId="14">
      <sharedItems containsSemiMixedTypes="0" containsNonDate="0" containsDate="1" containsString="0" minDate="2021-01-04T00:00:00" maxDate="2021-11-01T00:00:00" count="272">
        <d v="2021-01-04T00:00:00"/>
        <d v="2021-01-05T00:00:00"/>
        <d v="2021-01-06T00:00:00"/>
        <d v="2021-01-07T00:00:00"/>
        <d v="2021-01-08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2T00:00:00"/>
        <d v="2021-05-03T00:00:00"/>
        <d v="2021-05-04T00:00:00"/>
        <d v="2021-05-05T00:00:00"/>
        <d v="2021-05-06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1T00:00:00"/>
        <d v="2021-05-30T00:00:00"/>
        <d v="2021-06-01T00:00:00"/>
        <d v="2021-06-03T00:00:00"/>
        <d v="2021-06-04T00:00:00"/>
        <d v="2021-06-05T00:00:00"/>
        <d v="2021-06-06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5T00:00:00"/>
        <d v="2021-07-06T00:00:00"/>
        <d v="2021-07-07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2T00:00:00"/>
        <d v="2021-08-03T00:00:00"/>
        <d v="2021-08-05T00:00:00"/>
        <d v="2021-08-06T00:00:00"/>
        <d v="2021-08-07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2T00:00:00"/>
        <d v="2021-09-03T00:00:00"/>
        <d v="2021-09-05T00:00:00"/>
        <d v="2021-09-06T00:00:00"/>
        <d v="2021-09-07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3T00:00:00"/>
        <d v="2021-10-04T00:00:00"/>
        <d v="2021-10-06T00:00:00"/>
        <d v="2021-10-07T00:00:00"/>
        <d v="2021-10-08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sharedItems>
      <fieldGroup par="12" base="0">
        <rangePr groupBy="days" startDate="2021-01-04T00:00:00" endDate="2021-11-01T00:00:00"/>
        <groupItems count="368">
          <s v="&lt;1/4/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1/2021"/>
        </groupItems>
      </fieldGroup>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unt="19">
        <s v="Data with Decision"/>
        <s v="Coffee"/>
        <s v="Rent"/>
        <s v="Cash loan"/>
        <s v="Groceries"/>
        <s v="Gas/Electrics"/>
        <s v="Entertainment"/>
        <s v="Clothes"/>
        <s v="Restaurant"/>
        <s v="Taxi"/>
        <s v="YouTube"/>
        <s v="Teachable"/>
        <s v="Phone"/>
        <s v="Gifts"/>
        <s v="Donation"/>
        <s v="Fueling"/>
        <s v="Doctor"/>
        <s v="Furnishings"/>
        <s v="Salary" u="1"/>
      </sharedItems>
    </cacheField>
    <cacheField name="Category" numFmtId="0">
      <sharedItems count="8">
        <s v="Salary"/>
        <s v="Dining Out"/>
        <s v="Living Expenses"/>
        <s v="Transport"/>
        <s v="Discretionary"/>
        <s v="Passive"/>
        <s v="Charity"/>
        <s v="Medical"/>
      </sharedItems>
    </cacheField>
    <cacheField name="Category Type" numFmtId="0">
      <sharedItems count="2">
        <s v="Income"/>
        <s v="Expense"/>
      </sharedItems>
    </cacheField>
    <cacheField name="Month number" numFmtId="0">
      <sharedItems containsSemiMixedTypes="0" containsString="0" containsNumber="1" containsInteger="1" minValue="1" maxValue="12" count="12">
        <n v="1"/>
        <n v="2"/>
        <n v="3"/>
        <n v="4"/>
        <n v="5"/>
        <n v="6"/>
        <n v="7"/>
        <n v="8"/>
        <n v="9"/>
        <n v="10"/>
        <n v="11" u="1"/>
        <n v="12" u="1"/>
      </sharedItems>
    </cacheField>
    <cacheField name="Weeday" numFmtId="164">
      <sharedItems containsSemiMixedTypes="0" containsNonDate="0" containsDate="1" containsString="0" minDate="1899-12-31T00:00:00" maxDate="1900-01-07T00:00:00" count="7">
        <d v="1900-01-01T00:00:00"/>
        <d v="1900-01-02T00:00:00"/>
        <d v="1900-01-03T00:00:00"/>
        <d v="1900-01-04T00:00:00"/>
        <d v="1900-01-05T00:00:00"/>
        <d v="1900-01-06T00:00:00"/>
        <d v="1899-12-31T00:00:00"/>
      </sharedItems>
    </cacheField>
    <cacheField name="Amount" numFmtId="0">
      <sharedItems containsSemiMixedTypes="0" containsString="0" containsNumber="1" minValue="-900" maxValue="5000"/>
    </cacheField>
    <cacheField name="Months" numFmtId="0" databaseField="0">
      <fieldGroup base="0">
        <rangePr groupBy="months" startDate="2021-01-04T00:00:00" endDate="2021-11-01T00:00:00"/>
        <groupItems count="14">
          <s v="&lt;1/4/2021"/>
          <s v="Jan"/>
          <s v="Feb"/>
          <s v="Mar"/>
          <s v="Apr"/>
          <s v="May"/>
          <s v="Jun"/>
          <s v="Jul"/>
          <s v="Aug"/>
          <s v="Sep"/>
          <s v="Oct"/>
          <s v="Nov"/>
          <s v="Dec"/>
          <s v="&gt;11/1/2021"/>
        </groupItems>
      </fieldGroup>
    </cacheField>
    <cacheField name="Quarters" numFmtId="0" databaseField="0">
      <fieldGroup base="0">
        <rangePr groupBy="quarters" startDate="2021-01-04T00:00:00" endDate="2021-11-01T00:00:00"/>
        <groupItems count="6">
          <s v="&lt;1/4/2021"/>
          <s v="Qtr1"/>
          <s v="Qtr2"/>
          <s v="Qtr3"/>
          <s v="Qtr4"/>
          <s v="&gt;11/1/2021"/>
        </groupItems>
      </fieldGroup>
    </cacheField>
    <cacheField name="Years" numFmtId="0" databaseField="0">
      <fieldGroup base="0">
        <rangePr groupBy="years" startDate="2021-01-04T00:00:00" endDate="2021-11-01T00:00:00"/>
        <groupItems count="3">
          <s v="&lt;1/4/2021"/>
          <s v="2021"/>
          <s v="&gt;11/1/2021"/>
        </groupItems>
      </fieldGroup>
    </cacheField>
  </cacheFields>
  <extLst>
    <ext xmlns:x14="http://schemas.microsoft.com/office/spreadsheetml/2009/9/main" uri="{725AE2AE-9491-48be-B2B4-4EB974FC3084}">
      <x14:pivotCacheDefinition pivotCacheId="11572738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x v="0"/>
    <s v="Data With Decision"/>
    <m/>
    <n v="5000"/>
    <x v="0"/>
    <x v="0"/>
    <x v="0"/>
    <x v="0"/>
    <x v="0"/>
    <n v="5000"/>
  </r>
  <r>
    <x v="0"/>
    <s v="Drink"/>
    <n v="5"/>
    <m/>
    <x v="1"/>
    <x v="1"/>
    <x v="1"/>
    <x v="0"/>
    <x v="0"/>
    <n v="-5"/>
  </r>
  <r>
    <x v="1"/>
    <s v="Estate Mangement"/>
    <n v="900"/>
    <m/>
    <x v="2"/>
    <x v="2"/>
    <x v="1"/>
    <x v="0"/>
    <x v="1"/>
    <n v="-900"/>
  </r>
  <r>
    <x v="1"/>
    <s v="Financail upgrade"/>
    <n v="150"/>
    <m/>
    <x v="3"/>
    <x v="3"/>
    <x v="1"/>
    <x v="0"/>
    <x v="1"/>
    <n v="-150"/>
  </r>
  <r>
    <x v="1"/>
    <s v="Drink"/>
    <n v="5"/>
    <m/>
    <x v="1"/>
    <x v="1"/>
    <x v="1"/>
    <x v="0"/>
    <x v="1"/>
    <n v="-5"/>
  </r>
  <r>
    <x v="2"/>
    <s v="Drink"/>
    <n v="5"/>
    <m/>
    <x v="1"/>
    <x v="1"/>
    <x v="1"/>
    <x v="0"/>
    <x v="2"/>
    <n v="-5"/>
  </r>
  <r>
    <x v="3"/>
    <s v="Drink"/>
    <n v="5"/>
    <m/>
    <x v="1"/>
    <x v="1"/>
    <x v="1"/>
    <x v="0"/>
    <x v="3"/>
    <n v="-5"/>
  </r>
  <r>
    <x v="4"/>
    <s v="Drink"/>
    <n v="5"/>
    <m/>
    <x v="1"/>
    <x v="1"/>
    <x v="1"/>
    <x v="0"/>
    <x v="4"/>
    <n v="-5"/>
  </r>
  <r>
    <x v="4"/>
    <s v="Green's"/>
    <n v="155"/>
    <m/>
    <x v="4"/>
    <x v="2"/>
    <x v="1"/>
    <x v="0"/>
    <x v="4"/>
    <n v="-155"/>
  </r>
  <r>
    <x v="5"/>
    <s v="Power source"/>
    <n v="50"/>
    <m/>
    <x v="5"/>
    <x v="2"/>
    <x v="1"/>
    <x v="0"/>
    <x v="0"/>
    <n v="-50"/>
  </r>
  <r>
    <x v="5"/>
    <s v="Drink"/>
    <n v="5"/>
    <m/>
    <x v="1"/>
    <x v="1"/>
    <x v="1"/>
    <x v="0"/>
    <x v="0"/>
    <n v="-5"/>
  </r>
  <r>
    <x v="6"/>
    <s v="Drink"/>
    <n v="5"/>
    <m/>
    <x v="1"/>
    <x v="1"/>
    <x v="1"/>
    <x v="0"/>
    <x v="1"/>
    <n v="-5"/>
  </r>
  <r>
    <x v="7"/>
    <s v="Fuel"/>
    <n v="77"/>
    <m/>
    <x v="1"/>
    <x v="1"/>
    <x v="1"/>
    <x v="0"/>
    <x v="2"/>
    <n v="-77"/>
  </r>
  <r>
    <x v="7"/>
    <s v="Drink"/>
    <n v="5"/>
    <m/>
    <x v="1"/>
    <x v="1"/>
    <x v="1"/>
    <x v="0"/>
    <x v="2"/>
    <n v="-5"/>
  </r>
  <r>
    <x v="8"/>
    <s v="Drink"/>
    <n v="5"/>
    <m/>
    <x v="1"/>
    <x v="1"/>
    <x v="1"/>
    <x v="0"/>
    <x v="3"/>
    <n v="-5"/>
  </r>
  <r>
    <x v="9"/>
    <s v="Green's"/>
    <n v="135"/>
    <m/>
    <x v="4"/>
    <x v="2"/>
    <x v="1"/>
    <x v="0"/>
    <x v="4"/>
    <n v="-135"/>
  </r>
  <r>
    <x v="9"/>
    <s v="Drink"/>
    <n v="5"/>
    <m/>
    <x v="1"/>
    <x v="1"/>
    <x v="1"/>
    <x v="0"/>
    <x v="4"/>
    <n v="-5"/>
  </r>
  <r>
    <x v="10"/>
    <s v="Drink"/>
    <n v="5"/>
    <m/>
    <x v="1"/>
    <x v="1"/>
    <x v="1"/>
    <x v="0"/>
    <x v="5"/>
    <n v="-5"/>
  </r>
  <r>
    <x v="10"/>
    <s v="Cinemas"/>
    <n v="40"/>
    <m/>
    <x v="6"/>
    <x v="4"/>
    <x v="1"/>
    <x v="0"/>
    <x v="5"/>
    <n v="-40"/>
  </r>
  <r>
    <x v="10"/>
    <s v="Fashionistas"/>
    <n v="98"/>
    <m/>
    <x v="7"/>
    <x v="4"/>
    <x v="1"/>
    <x v="0"/>
    <x v="5"/>
    <n v="-98"/>
  </r>
  <r>
    <x v="10"/>
    <s v="Burger"/>
    <n v="52"/>
    <m/>
    <x v="8"/>
    <x v="1"/>
    <x v="1"/>
    <x v="0"/>
    <x v="5"/>
    <n v="-52"/>
  </r>
  <r>
    <x v="11"/>
    <s v="Uba"/>
    <n v="28"/>
    <m/>
    <x v="9"/>
    <x v="3"/>
    <x v="1"/>
    <x v="0"/>
    <x v="6"/>
    <n v="-28"/>
  </r>
  <r>
    <x v="12"/>
    <s v="Onlne earning"/>
    <m/>
    <n v="4500"/>
    <x v="10"/>
    <x v="5"/>
    <x v="0"/>
    <x v="0"/>
    <x v="0"/>
    <n v="4500"/>
  </r>
  <r>
    <x v="12"/>
    <s v="Drink"/>
    <n v="5"/>
    <m/>
    <x v="1"/>
    <x v="1"/>
    <x v="1"/>
    <x v="0"/>
    <x v="0"/>
    <n v="-5"/>
  </r>
  <r>
    <x v="13"/>
    <s v="Drink"/>
    <n v="5"/>
    <m/>
    <x v="1"/>
    <x v="1"/>
    <x v="1"/>
    <x v="0"/>
    <x v="1"/>
    <n v="-5"/>
  </r>
  <r>
    <x v="13"/>
    <s v="Onlne earning"/>
    <m/>
    <n v="4500"/>
    <x v="11"/>
    <x v="5"/>
    <x v="0"/>
    <x v="0"/>
    <x v="1"/>
    <n v="4500"/>
  </r>
  <r>
    <x v="13"/>
    <s v="Phone"/>
    <n v="40"/>
    <m/>
    <x v="12"/>
    <x v="2"/>
    <x v="1"/>
    <x v="0"/>
    <x v="1"/>
    <n v="-40"/>
  </r>
  <r>
    <x v="14"/>
    <s v="Sallah give away"/>
    <n v="45"/>
    <m/>
    <x v="13"/>
    <x v="4"/>
    <x v="1"/>
    <x v="0"/>
    <x v="2"/>
    <n v="-45"/>
  </r>
  <r>
    <x v="14"/>
    <s v="Online streaming"/>
    <n v="32"/>
    <m/>
    <x v="6"/>
    <x v="4"/>
    <x v="1"/>
    <x v="0"/>
    <x v="2"/>
    <n v="-32"/>
  </r>
  <r>
    <x v="14"/>
    <s v="Drink"/>
    <n v="5"/>
    <m/>
    <x v="1"/>
    <x v="1"/>
    <x v="1"/>
    <x v="0"/>
    <x v="2"/>
    <n v="-5"/>
  </r>
  <r>
    <x v="15"/>
    <s v="Drink"/>
    <n v="5"/>
    <m/>
    <x v="1"/>
    <x v="1"/>
    <x v="1"/>
    <x v="0"/>
    <x v="3"/>
    <n v="-5"/>
  </r>
  <r>
    <x v="16"/>
    <s v="Drink"/>
    <n v="5"/>
    <m/>
    <x v="1"/>
    <x v="1"/>
    <x v="1"/>
    <x v="0"/>
    <x v="4"/>
    <n v="-5"/>
  </r>
  <r>
    <x v="16"/>
    <s v="Green's"/>
    <n v="170"/>
    <m/>
    <x v="4"/>
    <x v="2"/>
    <x v="1"/>
    <x v="0"/>
    <x v="4"/>
    <n v="-170"/>
  </r>
  <r>
    <x v="17"/>
    <s v="Suya"/>
    <n v="37"/>
    <m/>
    <x v="8"/>
    <x v="1"/>
    <x v="1"/>
    <x v="0"/>
    <x v="5"/>
    <n v="-37"/>
  </r>
  <r>
    <x v="18"/>
    <s v="Oha soup/White soup"/>
    <n v="12"/>
    <m/>
    <x v="8"/>
    <x v="1"/>
    <x v="1"/>
    <x v="0"/>
    <x v="6"/>
    <n v="-12"/>
  </r>
  <r>
    <x v="19"/>
    <s v="Orphanage"/>
    <n v="55"/>
    <m/>
    <x v="14"/>
    <x v="6"/>
    <x v="1"/>
    <x v="0"/>
    <x v="0"/>
    <n v="-55"/>
  </r>
  <r>
    <x v="19"/>
    <s v="Fuel"/>
    <n v="63"/>
    <m/>
    <x v="15"/>
    <x v="3"/>
    <x v="1"/>
    <x v="0"/>
    <x v="0"/>
    <n v="-63"/>
  </r>
  <r>
    <x v="19"/>
    <s v="Drink"/>
    <n v="5"/>
    <m/>
    <x v="1"/>
    <x v="1"/>
    <x v="1"/>
    <x v="0"/>
    <x v="0"/>
    <n v="-5"/>
  </r>
  <r>
    <x v="20"/>
    <s v="Drink"/>
    <n v="5"/>
    <m/>
    <x v="1"/>
    <x v="1"/>
    <x v="1"/>
    <x v="0"/>
    <x v="1"/>
    <n v="-5"/>
  </r>
  <r>
    <x v="21"/>
    <s v="Drink"/>
    <n v="5"/>
    <m/>
    <x v="1"/>
    <x v="1"/>
    <x v="1"/>
    <x v="0"/>
    <x v="2"/>
    <n v="-5"/>
  </r>
  <r>
    <x v="22"/>
    <s v="Drink"/>
    <n v="5"/>
    <m/>
    <x v="1"/>
    <x v="1"/>
    <x v="1"/>
    <x v="0"/>
    <x v="3"/>
    <n v="-5"/>
  </r>
  <r>
    <x v="23"/>
    <s v="Drink"/>
    <n v="5"/>
    <m/>
    <x v="1"/>
    <x v="1"/>
    <x v="1"/>
    <x v="0"/>
    <x v="4"/>
    <n v="-5"/>
  </r>
  <r>
    <x v="23"/>
    <s v="Green's"/>
    <n v="162"/>
    <m/>
    <x v="4"/>
    <x v="2"/>
    <x v="1"/>
    <x v="0"/>
    <x v="4"/>
    <n v="-162"/>
  </r>
  <r>
    <x v="24"/>
    <s v="Trainers"/>
    <n v="125"/>
    <m/>
    <x v="7"/>
    <x v="4"/>
    <x v="1"/>
    <x v="0"/>
    <x v="5"/>
    <n v="-125"/>
  </r>
  <r>
    <x v="24"/>
    <s v="Hangingout/Ticket"/>
    <n v="175"/>
    <m/>
    <x v="6"/>
    <x v="4"/>
    <x v="1"/>
    <x v="0"/>
    <x v="5"/>
    <n v="-175"/>
  </r>
  <r>
    <x v="25"/>
    <s v="Fashionistas"/>
    <n v="145"/>
    <m/>
    <x v="7"/>
    <x v="4"/>
    <x v="1"/>
    <x v="0"/>
    <x v="6"/>
    <n v="-145"/>
  </r>
  <r>
    <x v="25"/>
    <s v="Uba"/>
    <n v="23"/>
    <m/>
    <x v="9"/>
    <x v="3"/>
    <x v="1"/>
    <x v="0"/>
    <x v="6"/>
    <n v="-23"/>
  </r>
  <r>
    <x v="26"/>
    <s v="Data With Decision"/>
    <m/>
    <n v="5000"/>
    <x v="0"/>
    <x v="0"/>
    <x v="0"/>
    <x v="1"/>
    <x v="0"/>
    <n v="5000"/>
  </r>
  <r>
    <x v="26"/>
    <s v="Drink"/>
    <n v="5"/>
    <m/>
    <x v="1"/>
    <x v="1"/>
    <x v="1"/>
    <x v="1"/>
    <x v="0"/>
    <n v="-5"/>
  </r>
  <r>
    <x v="27"/>
    <s v="Estate Mangement"/>
    <n v="900"/>
    <m/>
    <x v="2"/>
    <x v="2"/>
    <x v="1"/>
    <x v="1"/>
    <x v="1"/>
    <n v="-900"/>
  </r>
  <r>
    <x v="27"/>
    <s v="Financail upgrade"/>
    <n v="150"/>
    <m/>
    <x v="3"/>
    <x v="3"/>
    <x v="1"/>
    <x v="1"/>
    <x v="1"/>
    <n v="-150"/>
  </r>
  <r>
    <x v="27"/>
    <s v="Drink"/>
    <n v="5"/>
    <m/>
    <x v="1"/>
    <x v="1"/>
    <x v="1"/>
    <x v="1"/>
    <x v="1"/>
    <n v="-5"/>
  </r>
  <r>
    <x v="28"/>
    <s v="Drink"/>
    <n v="5"/>
    <m/>
    <x v="1"/>
    <x v="1"/>
    <x v="1"/>
    <x v="1"/>
    <x v="2"/>
    <n v="-5"/>
  </r>
  <r>
    <x v="29"/>
    <s v="Drink"/>
    <n v="5"/>
    <m/>
    <x v="1"/>
    <x v="1"/>
    <x v="1"/>
    <x v="1"/>
    <x v="3"/>
    <n v="-5"/>
  </r>
  <r>
    <x v="30"/>
    <s v="Drink"/>
    <n v="5"/>
    <m/>
    <x v="1"/>
    <x v="1"/>
    <x v="1"/>
    <x v="1"/>
    <x v="4"/>
    <n v="-5"/>
  </r>
  <r>
    <x v="30"/>
    <s v="Green's"/>
    <n v="205"/>
    <m/>
    <x v="4"/>
    <x v="2"/>
    <x v="1"/>
    <x v="1"/>
    <x v="4"/>
    <n v="-205"/>
  </r>
  <r>
    <x v="31"/>
    <s v="Power source"/>
    <n v="51.1"/>
    <m/>
    <x v="5"/>
    <x v="2"/>
    <x v="1"/>
    <x v="1"/>
    <x v="0"/>
    <n v="-51.1"/>
  </r>
  <r>
    <x v="31"/>
    <s v="Drink"/>
    <n v="5"/>
    <m/>
    <x v="1"/>
    <x v="1"/>
    <x v="1"/>
    <x v="1"/>
    <x v="0"/>
    <n v="-5"/>
  </r>
  <r>
    <x v="32"/>
    <s v="Drink"/>
    <n v="5"/>
    <m/>
    <x v="1"/>
    <x v="1"/>
    <x v="1"/>
    <x v="1"/>
    <x v="1"/>
    <n v="-5"/>
  </r>
  <r>
    <x v="33"/>
    <s v="Fuel"/>
    <n v="78"/>
    <m/>
    <x v="15"/>
    <x v="3"/>
    <x v="1"/>
    <x v="1"/>
    <x v="2"/>
    <n v="-78"/>
  </r>
  <r>
    <x v="33"/>
    <s v="Drink"/>
    <n v="5"/>
    <m/>
    <x v="1"/>
    <x v="1"/>
    <x v="1"/>
    <x v="1"/>
    <x v="2"/>
    <n v="-5"/>
  </r>
  <r>
    <x v="34"/>
    <s v="Drink"/>
    <n v="5"/>
    <m/>
    <x v="1"/>
    <x v="1"/>
    <x v="1"/>
    <x v="1"/>
    <x v="3"/>
    <n v="-5"/>
  </r>
  <r>
    <x v="35"/>
    <s v="Green's"/>
    <n v="135.9"/>
    <m/>
    <x v="4"/>
    <x v="2"/>
    <x v="1"/>
    <x v="1"/>
    <x v="4"/>
    <n v="-135.9"/>
  </r>
  <r>
    <x v="35"/>
    <s v="Drink"/>
    <n v="5"/>
    <m/>
    <x v="1"/>
    <x v="1"/>
    <x v="1"/>
    <x v="1"/>
    <x v="4"/>
    <n v="-5"/>
  </r>
  <r>
    <x v="36"/>
    <s v="Drink"/>
    <n v="5"/>
    <m/>
    <x v="1"/>
    <x v="1"/>
    <x v="1"/>
    <x v="1"/>
    <x v="5"/>
    <n v="-5"/>
  </r>
  <r>
    <x v="36"/>
    <s v="Cinemas"/>
    <n v="40.9"/>
    <m/>
    <x v="6"/>
    <x v="4"/>
    <x v="1"/>
    <x v="1"/>
    <x v="5"/>
    <n v="-40.9"/>
  </r>
  <r>
    <x v="36"/>
    <s v="Fashionistas"/>
    <n v="99"/>
    <m/>
    <x v="7"/>
    <x v="4"/>
    <x v="1"/>
    <x v="1"/>
    <x v="5"/>
    <n v="-99"/>
  </r>
  <r>
    <x v="36"/>
    <s v="Burger"/>
    <n v="53"/>
    <m/>
    <x v="8"/>
    <x v="1"/>
    <x v="1"/>
    <x v="1"/>
    <x v="5"/>
    <n v="-53"/>
  </r>
  <r>
    <x v="37"/>
    <s v="Uba"/>
    <n v="28.9"/>
    <m/>
    <x v="9"/>
    <x v="3"/>
    <x v="1"/>
    <x v="1"/>
    <x v="6"/>
    <n v="-28.9"/>
  </r>
  <r>
    <x v="38"/>
    <s v="Onlne earning"/>
    <m/>
    <n v="800"/>
    <x v="10"/>
    <x v="5"/>
    <x v="0"/>
    <x v="1"/>
    <x v="0"/>
    <n v="800"/>
  </r>
  <r>
    <x v="38"/>
    <s v="Drink"/>
    <n v="5"/>
    <m/>
    <x v="1"/>
    <x v="1"/>
    <x v="1"/>
    <x v="1"/>
    <x v="0"/>
    <n v="-5"/>
  </r>
  <r>
    <x v="39"/>
    <s v="Drink"/>
    <n v="5"/>
    <m/>
    <x v="1"/>
    <x v="1"/>
    <x v="1"/>
    <x v="1"/>
    <x v="1"/>
    <n v="-5"/>
  </r>
  <r>
    <x v="39"/>
    <s v="Phone"/>
    <n v="40"/>
    <m/>
    <x v="12"/>
    <x v="2"/>
    <x v="1"/>
    <x v="1"/>
    <x v="1"/>
    <n v="-40"/>
  </r>
  <r>
    <x v="40"/>
    <s v="Sallah give away"/>
    <n v="45.9"/>
    <m/>
    <x v="13"/>
    <x v="4"/>
    <x v="1"/>
    <x v="1"/>
    <x v="2"/>
    <n v="-45.9"/>
  </r>
  <r>
    <x v="40"/>
    <s v="Online streaming"/>
    <n v="35"/>
    <m/>
    <x v="6"/>
    <x v="4"/>
    <x v="1"/>
    <x v="1"/>
    <x v="2"/>
    <n v="-35"/>
  </r>
  <r>
    <x v="40"/>
    <s v="Drink"/>
    <n v="5"/>
    <m/>
    <x v="1"/>
    <x v="1"/>
    <x v="1"/>
    <x v="1"/>
    <x v="2"/>
    <n v="-5"/>
  </r>
  <r>
    <x v="41"/>
    <s v="Drink"/>
    <n v="5"/>
    <m/>
    <x v="1"/>
    <x v="1"/>
    <x v="1"/>
    <x v="1"/>
    <x v="3"/>
    <n v="-5"/>
  </r>
  <r>
    <x v="42"/>
    <s v="Drink"/>
    <n v="5"/>
    <m/>
    <x v="1"/>
    <x v="1"/>
    <x v="1"/>
    <x v="1"/>
    <x v="4"/>
    <n v="-5"/>
  </r>
  <r>
    <x v="42"/>
    <s v="Green's"/>
    <n v="171"/>
    <m/>
    <x v="4"/>
    <x v="2"/>
    <x v="1"/>
    <x v="1"/>
    <x v="4"/>
    <n v="-171"/>
  </r>
  <r>
    <x v="43"/>
    <s v="Suya"/>
    <n v="37.9"/>
    <m/>
    <x v="8"/>
    <x v="1"/>
    <x v="1"/>
    <x v="1"/>
    <x v="5"/>
    <n v="-37.9"/>
  </r>
  <r>
    <x v="44"/>
    <s v="Oha soup/White soup"/>
    <n v="12.9"/>
    <m/>
    <x v="8"/>
    <x v="1"/>
    <x v="1"/>
    <x v="1"/>
    <x v="6"/>
    <n v="-12.9"/>
  </r>
  <r>
    <x v="45"/>
    <s v="Orphanage"/>
    <n v="55"/>
    <m/>
    <x v="14"/>
    <x v="6"/>
    <x v="1"/>
    <x v="1"/>
    <x v="0"/>
    <n v="-55"/>
  </r>
  <r>
    <x v="45"/>
    <s v="Fuel"/>
    <n v="64.099999999999994"/>
    <m/>
    <x v="15"/>
    <x v="3"/>
    <x v="1"/>
    <x v="1"/>
    <x v="0"/>
    <n v="-64.099999999999994"/>
  </r>
  <r>
    <x v="45"/>
    <s v="Drink"/>
    <n v="5"/>
    <m/>
    <x v="1"/>
    <x v="1"/>
    <x v="1"/>
    <x v="1"/>
    <x v="0"/>
    <n v="-5"/>
  </r>
  <r>
    <x v="46"/>
    <s v="Drink"/>
    <n v="5"/>
    <m/>
    <x v="1"/>
    <x v="1"/>
    <x v="1"/>
    <x v="1"/>
    <x v="1"/>
    <n v="-5"/>
  </r>
  <r>
    <x v="47"/>
    <s v="Drink"/>
    <n v="5"/>
    <m/>
    <x v="1"/>
    <x v="1"/>
    <x v="1"/>
    <x v="1"/>
    <x v="2"/>
    <n v="-5"/>
  </r>
  <r>
    <x v="48"/>
    <s v="Drink"/>
    <n v="5"/>
    <m/>
    <x v="1"/>
    <x v="1"/>
    <x v="1"/>
    <x v="1"/>
    <x v="3"/>
    <n v="-5"/>
  </r>
  <r>
    <x v="49"/>
    <s v="Drink"/>
    <n v="5"/>
    <m/>
    <x v="1"/>
    <x v="1"/>
    <x v="1"/>
    <x v="1"/>
    <x v="4"/>
    <n v="-5"/>
  </r>
  <r>
    <x v="49"/>
    <s v="Green's"/>
    <n v="162.9"/>
    <m/>
    <x v="4"/>
    <x v="2"/>
    <x v="1"/>
    <x v="1"/>
    <x v="4"/>
    <n v="-162.9"/>
  </r>
  <r>
    <x v="50"/>
    <s v="Trainers"/>
    <n v="125.9"/>
    <m/>
    <x v="7"/>
    <x v="4"/>
    <x v="1"/>
    <x v="1"/>
    <x v="5"/>
    <n v="-125.9"/>
  </r>
  <r>
    <x v="50"/>
    <s v="Global Fashion"/>
    <n v="137"/>
    <m/>
    <x v="7"/>
    <x v="4"/>
    <x v="1"/>
    <x v="1"/>
    <x v="5"/>
    <n v="-137"/>
  </r>
  <r>
    <x v="51"/>
    <s v="Fashionistas"/>
    <n v="146.1"/>
    <m/>
    <x v="7"/>
    <x v="4"/>
    <x v="1"/>
    <x v="1"/>
    <x v="6"/>
    <n v="-146.1"/>
  </r>
  <r>
    <x v="51"/>
    <s v="Uba"/>
    <n v="24.1"/>
    <m/>
    <x v="9"/>
    <x v="3"/>
    <x v="1"/>
    <x v="1"/>
    <x v="6"/>
    <n v="-24.1"/>
  </r>
  <r>
    <x v="52"/>
    <s v="Data With Decision"/>
    <m/>
    <n v="5000"/>
    <x v="0"/>
    <x v="0"/>
    <x v="0"/>
    <x v="2"/>
    <x v="0"/>
    <n v="5000"/>
  </r>
  <r>
    <x v="52"/>
    <s v="Drink"/>
    <n v="5"/>
    <m/>
    <x v="1"/>
    <x v="1"/>
    <x v="1"/>
    <x v="2"/>
    <x v="0"/>
    <n v="-5"/>
  </r>
  <r>
    <x v="53"/>
    <s v="Estate Mangement"/>
    <n v="900"/>
    <m/>
    <x v="2"/>
    <x v="2"/>
    <x v="1"/>
    <x v="2"/>
    <x v="1"/>
    <n v="-900"/>
  </r>
  <r>
    <x v="53"/>
    <s v="Financail upgrade"/>
    <n v="150"/>
    <m/>
    <x v="3"/>
    <x v="3"/>
    <x v="1"/>
    <x v="2"/>
    <x v="1"/>
    <n v="-150"/>
  </r>
  <r>
    <x v="53"/>
    <s v="Drink"/>
    <n v="5"/>
    <m/>
    <x v="1"/>
    <x v="1"/>
    <x v="1"/>
    <x v="2"/>
    <x v="1"/>
    <n v="-5"/>
  </r>
  <r>
    <x v="54"/>
    <s v="Drink"/>
    <n v="5"/>
    <m/>
    <x v="1"/>
    <x v="1"/>
    <x v="1"/>
    <x v="2"/>
    <x v="2"/>
    <n v="-5"/>
  </r>
  <r>
    <x v="55"/>
    <s v="Drink"/>
    <n v="5"/>
    <m/>
    <x v="1"/>
    <x v="1"/>
    <x v="1"/>
    <x v="2"/>
    <x v="3"/>
    <n v="-5"/>
  </r>
  <r>
    <x v="56"/>
    <s v="Drink"/>
    <n v="5"/>
    <m/>
    <x v="1"/>
    <x v="1"/>
    <x v="1"/>
    <x v="2"/>
    <x v="4"/>
    <n v="-5"/>
  </r>
  <r>
    <x v="56"/>
    <s v="Green's"/>
    <n v="149"/>
    <m/>
    <x v="4"/>
    <x v="2"/>
    <x v="1"/>
    <x v="2"/>
    <x v="4"/>
    <n v="-149"/>
  </r>
  <r>
    <x v="57"/>
    <s v="Power source"/>
    <n v="52.1"/>
    <m/>
    <x v="5"/>
    <x v="2"/>
    <x v="1"/>
    <x v="2"/>
    <x v="0"/>
    <n v="-52.1"/>
  </r>
  <r>
    <x v="57"/>
    <s v="Drink"/>
    <n v="5"/>
    <m/>
    <x v="1"/>
    <x v="1"/>
    <x v="1"/>
    <x v="2"/>
    <x v="0"/>
    <n v="-5"/>
  </r>
  <r>
    <x v="58"/>
    <s v="Drink"/>
    <n v="5"/>
    <m/>
    <x v="1"/>
    <x v="1"/>
    <x v="1"/>
    <x v="2"/>
    <x v="1"/>
    <n v="-5"/>
  </r>
  <r>
    <x v="59"/>
    <s v="Fuel"/>
    <n v="78.900000000000006"/>
    <m/>
    <x v="15"/>
    <x v="3"/>
    <x v="1"/>
    <x v="2"/>
    <x v="2"/>
    <n v="-78.900000000000006"/>
  </r>
  <r>
    <x v="59"/>
    <s v="Drink"/>
    <n v="5"/>
    <m/>
    <x v="1"/>
    <x v="1"/>
    <x v="1"/>
    <x v="2"/>
    <x v="2"/>
    <n v="-5"/>
  </r>
  <r>
    <x v="60"/>
    <s v="Drink"/>
    <n v="5"/>
    <m/>
    <x v="1"/>
    <x v="1"/>
    <x v="1"/>
    <x v="2"/>
    <x v="3"/>
    <n v="-5"/>
  </r>
  <r>
    <x v="61"/>
    <s v="Green's"/>
    <n v="137"/>
    <m/>
    <x v="4"/>
    <x v="2"/>
    <x v="1"/>
    <x v="2"/>
    <x v="4"/>
    <n v="-137"/>
  </r>
  <r>
    <x v="61"/>
    <s v="Drink"/>
    <n v="5"/>
    <m/>
    <x v="1"/>
    <x v="1"/>
    <x v="1"/>
    <x v="2"/>
    <x v="4"/>
    <n v="-5"/>
  </r>
  <r>
    <x v="62"/>
    <s v="Drink"/>
    <n v="5"/>
    <m/>
    <x v="1"/>
    <x v="1"/>
    <x v="1"/>
    <x v="2"/>
    <x v="5"/>
    <n v="-5"/>
  </r>
  <r>
    <x v="62"/>
    <s v="Cinemas"/>
    <n v="41.8"/>
    <m/>
    <x v="6"/>
    <x v="4"/>
    <x v="1"/>
    <x v="2"/>
    <x v="5"/>
    <n v="-41.8"/>
  </r>
  <r>
    <x v="62"/>
    <s v="Fashionistas"/>
    <n v="99.9"/>
    <m/>
    <x v="7"/>
    <x v="4"/>
    <x v="1"/>
    <x v="2"/>
    <x v="5"/>
    <n v="-99.9"/>
  </r>
  <r>
    <x v="62"/>
    <s v="Burger"/>
    <n v="54"/>
    <m/>
    <x v="8"/>
    <x v="1"/>
    <x v="1"/>
    <x v="2"/>
    <x v="5"/>
    <n v="-54"/>
  </r>
  <r>
    <x v="63"/>
    <s v="Uba"/>
    <n v="30"/>
    <m/>
    <x v="9"/>
    <x v="3"/>
    <x v="1"/>
    <x v="2"/>
    <x v="6"/>
    <n v="-30"/>
  </r>
  <r>
    <x v="64"/>
    <s v="Onlne earning"/>
    <m/>
    <n v="1000"/>
    <x v="10"/>
    <x v="5"/>
    <x v="0"/>
    <x v="2"/>
    <x v="0"/>
    <n v="1000"/>
  </r>
  <r>
    <x v="64"/>
    <s v="Drink"/>
    <n v="5"/>
    <m/>
    <x v="1"/>
    <x v="1"/>
    <x v="1"/>
    <x v="2"/>
    <x v="0"/>
    <n v="-5"/>
  </r>
  <r>
    <x v="65"/>
    <s v="Drink"/>
    <n v="5"/>
    <m/>
    <x v="1"/>
    <x v="1"/>
    <x v="1"/>
    <x v="2"/>
    <x v="1"/>
    <n v="-5"/>
  </r>
  <r>
    <x v="65"/>
    <s v="Taken medication"/>
    <n v="75"/>
    <m/>
    <x v="16"/>
    <x v="7"/>
    <x v="1"/>
    <x v="2"/>
    <x v="1"/>
    <n v="-75"/>
  </r>
  <r>
    <x v="65"/>
    <s v="Phone"/>
    <n v="40"/>
    <m/>
    <x v="12"/>
    <x v="2"/>
    <x v="1"/>
    <x v="2"/>
    <x v="1"/>
    <n v="-40"/>
  </r>
  <r>
    <x v="66"/>
    <s v="Sallah give away"/>
    <n v="46.8"/>
    <m/>
    <x v="13"/>
    <x v="4"/>
    <x v="1"/>
    <x v="2"/>
    <x v="2"/>
    <n v="-46.8"/>
  </r>
  <r>
    <x v="66"/>
    <s v="Online streaming"/>
    <n v="35"/>
    <m/>
    <x v="6"/>
    <x v="4"/>
    <x v="1"/>
    <x v="2"/>
    <x v="2"/>
    <n v="-35"/>
  </r>
  <r>
    <x v="66"/>
    <s v="Drink"/>
    <n v="5"/>
    <m/>
    <x v="1"/>
    <x v="1"/>
    <x v="1"/>
    <x v="2"/>
    <x v="2"/>
    <n v="-5"/>
  </r>
  <r>
    <x v="67"/>
    <s v="Drink"/>
    <n v="5"/>
    <m/>
    <x v="1"/>
    <x v="1"/>
    <x v="1"/>
    <x v="2"/>
    <x v="3"/>
    <n v="-5"/>
  </r>
  <r>
    <x v="68"/>
    <s v="Drink"/>
    <n v="5"/>
    <m/>
    <x v="1"/>
    <x v="1"/>
    <x v="1"/>
    <x v="2"/>
    <x v="4"/>
    <n v="-5"/>
  </r>
  <r>
    <x v="68"/>
    <s v="Green's"/>
    <n v="171.9"/>
    <m/>
    <x v="4"/>
    <x v="2"/>
    <x v="1"/>
    <x v="2"/>
    <x v="4"/>
    <n v="-171.9"/>
  </r>
  <r>
    <x v="69"/>
    <s v="Suya"/>
    <n v="39"/>
    <m/>
    <x v="8"/>
    <x v="1"/>
    <x v="1"/>
    <x v="2"/>
    <x v="5"/>
    <n v="-39"/>
  </r>
  <r>
    <x v="70"/>
    <s v="Oha soup/White soup"/>
    <n v="14"/>
    <m/>
    <x v="8"/>
    <x v="1"/>
    <x v="1"/>
    <x v="2"/>
    <x v="6"/>
    <n v="-14"/>
  </r>
  <r>
    <x v="71"/>
    <s v="Orphanage"/>
    <n v="55"/>
    <m/>
    <x v="14"/>
    <x v="6"/>
    <x v="1"/>
    <x v="2"/>
    <x v="0"/>
    <n v="-55"/>
  </r>
  <r>
    <x v="71"/>
    <s v="Fuel"/>
    <n v="65"/>
    <m/>
    <x v="15"/>
    <x v="3"/>
    <x v="1"/>
    <x v="2"/>
    <x v="0"/>
    <n v="-65"/>
  </r>
  <r>
    <x v="71"/>
    <s v="Drink"/>
    <n v="5"/>
    <m/>
    <x v="1"/>
    <x v="1"/>
    <x v="1"/>
    <x v="2"/>
    <x v="0"/>
    <n v="-5"/>
  </r>
  <r>
    <x v="72"/>
    <s v="Drink"/>
    <n v="5"/>
    <m/>
    <x v="1"/>
    <x v="1"/>
    <x v="1"/>
    <x v="2"/>
    <x v="1"/>
    <n v="-5"/>
  </r>
  <r>
    <x v="73"/>
    <s v="Drink"/>
    <n v="5"/>
    <m/>
    <x v="1"/>
    <x v="1"/>
    <x v="1"/>
    <x v="2"/>
    <x v="2"/>
    <n v="-5"/>
  </r>
  <r>
    <x v="74"/>
    <s v="Drink"/>
    <n v="5"/>
    <m/>
    <x v="1"/>
    <x v="1"/>
    <x v="1"/>
    <x v="2"/>
    <x v="3"/>
    <n v="-5"/>
  </r>
  <r>
    <x v="75"/>
    <s v="Drink"/>
    <n v="5"/>
    <m/>
    <x v="1"/>
    <x v="1"/>
    <x v="1"/>
    <x v="2"/>
    <x v="4"/>
    <n v="-5"/>
  </r>
  <r>
    <x v="75"/>
    <s v="Green's"/>
    <n v="209"/>
    <m/>
    <x v="4"/>
    <x v="2"/>
    <x v="1"/>
    <x v="2"/>
    <x v="4"/>
    <n v="-209"/>
  </r>
  <r>
    <x v="76"/>
    <s v="Trainers"/>
    <n v="127"/>
    <m/>
    <x v="7"/>
    <x v="4"/>
    <x v="1"/>
    <x v="2"/>
    <x v="5"/>
    <n v="-127"/>
  </r>
  <r>
    <x v="76"/>
    <s v="Sport ware"/>
    <n v="177.2"/>
    <m/>
    <x v="7"/>
    <x v="4"/>
    <x v="1"/>
    <x v="2"/>
    <x v="5"/>
    <n v="-177.2"/>
  </r>
  <r>
    <x v="77"/>
    <s v="Fashionistas"/>
    <n v="147.1"/>
    <m/>
    <x v="7"/>
    <x v="4"/>
    <x v="1"/>
    <x v="2"/>
    <x v="6"/>
    <n v="-147.1"/>
  </r>
  <r>
    <x v="77"/>
    <s v="Uba"/>
    <n v="25"/>
    <m/>
    <x v="9"/>
    <x v="3"/>
    <x v="1"/>
    <x v="2"/>
    <x v="6"/>
    <n v="-25"/>
  </r>
  <r>
    <x v="78"/>
    <s v="Foodary"/>
    <n v="15"/>
    <m/>
    <x v="8"/>
    <x v="1"/>
    <x v="1"/>
    <x v="2"/>
    <x v="0"/>
    <n v="-15"/>
  </r>
  <r>
    <x v="79"/>
    <s v="Drink"/>
    <n v="5"/>
    <m/>
    <x v="1"/>
    <x v="1"/>
    <x v="1"/>
    <x v="2"/>
    <x v="1"/>
    <n v="-5"/>
  </r>
  <r>
    <x v="80"/>
    <s v="Drink"/>
    <n v="5"/>
    <m/>
    <x v="1"/>
    <x v="1"/>
    <x v="1"/>
    <x v="2"/>
    <x v="2"/>
    <n v="-5"/>
  </r>
  <r>
    <x v="81"/>
    <s v="Data With Decision"/>
    <m/>
    <n v="5000"/>
    <x v="0"/>
    <x v="0"/>
    <x v="0"/>
    <x v="3"/>
    <x v="3"/>
    <n v="5000"/>
  </r>
  <r>
    <x v="81"/>
    <s v="Drink"/>
    <n v="5"/>
    <m/>
    <x v="1"/>
    <x v="1"/>
    <x v="1"/>
    <x v="3"/>
    <x v="3"/>
    <n v="-5"/>
  </r>
  <r>
    <x v="82"/>
    <s v="Estate Mangement"/>
    <n v="900"/>
    <m/>
    <x v="2"/>
    <x v="2"/>
    <x v="1"/>
    <x v="3"/>
    <x v="4"/>
    <n v="-900"/>
  </r>
  <r>
    <x v="82"/>
    <s v="Financail upgrade"/>
    <n v="150"/>
    <m/>
    <x v="3"/>
    <x v="3"/>
    <x v="1"/>
    <x v="3"/>
    <x v="4"/>
    <n v="-150"/>
  </r>
  <r>
    <x v="82"/>
    <s v="Drink"/>
    <n v="5"/>
    <m/>
    <x v="1"/>
    <x v="1"/>
    <x v="1"/>
    <x v="3"/>
    <x v="4"/>
    <n v="-5"/>
  </r>
  <r>
    <x v="83"/>
    <s v="Drink"/>
    <n v="5"/>
    <m/>
    <x v="1"/>
    <x v="1"/>
    <x v="1"/>
    <x v="3"/>
    <x v="5"/>
    <n v="-5"/>
  </r>
  <r>
    <x v="84"/>
    <s v="Drink"/>
    <n v="5"/>
    <m/>
    <x v="1"/>
    <x v="1"/>
    <x v="1"/>
    <x v="3"/>
    <x v="6"/>
    <n v="-5"/>
  </r>
  <r>
    <x v="85"/>
    <s v="Drink"/>
    <n v="5"/>
    <m/>
    <x v="1"/>
    <x v="1"/>
    <x v="1"/>
    <x v="3"/>
    <x v="0"/>
    <n v="-5"/>
  </r>
  <r>
    <x v="85"/>
    <s v="Green's"/>
    <n v="158.19999999999999"/>
    <m/>
    <x v="4"/>
    <x v="2"/>
    <x v="1"/>
    <x v="3"/>
    <x v="0"/>
    <n v="-158.19999999999999"/>
  </r>
  <r>
    <x v="86"/>
    <s v="Power source"/>
    <n v="53.2"/>
    <m/>
    <x v="5"/>
    <x v="2"/>
    <x v="1"/>
    <x v="3"/>
    <x v="3"/>
    <n v="-53.2"/>
  </r>
  <r>
    <x v="86"/>
    <s v="Drink"/>
    <n v="5"/>
    <m/>
    <x v="1"/>
    <x v="1"/>
    <x v="1"/>
    <x v="3"/>
    <x v="3"/>
    <n v="-5"/>
  </r>
  <r>
    <x v="87"/>
    <s v="Drink"/>
    <n v="5"/>
    <m/>
    <x v="1"/>
    <x v="1"/>
    <x v="1"/>
    <x v="3"/>
    <x v="4"/>
    <n v="-5"/>
  </r>
  <r>
    <x v="88"/>
    <s v="Fuel"/>
    <n v="79.900000000000006"/>
    <m/>
    <x v="15"/>
    <x v="3"/>
    <x v="1"/>
    <x v="3"/>
    <x v="5"/>
    <n v="-79.900000000000006"/>
  </r>
  <r>
    <x v="88"/>
    <s v="Drink"/>
    <n v="5"/>
    <m/>
    <x v="1"/>
    <x v="1"/>
    <x v="1"/>
    <x v="3"/>
    <x v="5"/>
    <n v="-5"/>
  </r>
  <r>
    <x v="89"/>
    <s v="Drink"/>
    <n v="5"/>
    <m/>
    <x v="1"/>
    <x v="1"/>
    <x v="1"/>
    <x v="3"/>
    <x v="6"/>
    <n v="-5"/>
  </r>
  <r>
    <x v="90"/>
    <s v="Green's"/>
    <n v="98"/>
    <m/>
    <x v="4"/>
    <x v="2"/>
    <x v="1"/>
    <x v="3"/>
    <x v="0"/>
    <n v="-98"/>
  </r>
  <r>
    <x v="90"/>
    <s v="Drink"/>
    <n v="5"/>
    <m/>
    <x v="1"/>
    <x v="1"/>
    <x v="1"/>
    <x v="3"/>
    <x v="0"/>
    <n v="-5"/>
  </r>
  <r>
    <x v="91"/>
    <s v="Drink"/>
    <n v="5"/>
    <m/>
    <x v="1"/>
    <x v="1"/>
    <x v="1"/>
    <x v="3"/>
    <x v="1"/>
    <n v="-5"/>
  </r>
  <r>
    <x v="91"/>
    <s v="Cinemas"/>
    <n v="42.8"/>
    <m/>
    <x v="6"/>
    <x v="4"/>
    <x v="1"/>
    <x v="3"/>
    <x v="1"/>
    <n v="-42.8"/>
  </r>
  <r>
    <x v="91"/>
    <s v="Fashionistas"/>
    <n v="100.9"/>
    <m/>
    <x v="7"/>
    <x v="4"/>
    <x v="1"/>
    <x v="3"/>
    <x v="1"/>
    <n v="-100.9"/>
  </r>
  <r>
    <x v="91"/>
    <s v="Burger"/>
    <n v="54.9"/>
    <m/>
    <x v="8"/>
    <x v="1"/>
    <x v="1"/>
    <x v="3"/>
    <x v="1"/>
    <n v="-54.9"/>
  </r>
  <r>
    <x v="92"/>
    <s v="Uba"/>
    <n v="31"/>
    <m/>
    <x v="9"/>
    <x v="3"/>
    <x v="1"/>
    <x v="3"/>
    <x v="2"/>
    <n v="-31"/>
  </r>
  <r>
    <x v="93"/>
    <s v="Onlne earning"/>
    <m/>
    <n v="2340"/>
    <x v="10"/>
    <x v="5"/>
    <x v="0"/>
    <x v="3"/>
    <x v="3"/>
    <n v="2340"/>
  </r>
  <r>
    <x v="93"/>
    <s v="Drink"/>
    <n v="5"/>
    <m/>
    <x v="1"/>
    <x v="1"/>
    <x v="1"/>
    <x v="3"/>
    <x v="3"/>
    <n v="-5"/>
  </r>
  <r>
    <x v="94"/>
    <s v="Drink"/>
    <n v="5"/>
    <m/>
    <x v="1"/>
    <x v="1"/>
    <x v="1"/>
    <x v="3"/>
    <x v="4"/>
    <n v="-5"/>
  </r>
  <r>
    <x v="94"/>
    <s v="Phone"/>
    <n v="40"/>
    <m/>
    <x v="12"/>
    <x v="2"/>
    <x v="1"/>
    <x v="3"/>
    <x v="4"/>
    <n v="-40"/>
  </r>
  <r>
    <x v="95"/>
    <s v="Sallah give away"/>
    <n v="47.9"/>
    <m/>
    <x v="13"/>
    <x v="4"/>
    <x v="1"/>
    <x v="3"/>
    <x v="5"/>
    <n v="-47.9"/>
  </r>
  <r>
    <x v="95"/>
    <s v="Online streaming"/>
    <n v="35"/>
    <m/>
    <x v="6"/>
    <x v="4"/>
    <x v="1"/>
    <x v="3"/>
    <x v="5"/>
    <n v="-35"/>
  </r>
  <r>
    <x v="95"/>
    <s v="Drink"/>
    <n v="5"/>
    <m/>
    <x v="1"/>
    <x v="1"/>
    <x v="1"/>
    <x v="3"/>
    <x v="5"/>
    <n v="-5"/>
  </r>
  <r>
    <x v="96"/>
    <s v="Drink"/>
    <n v="5"/>
    <m/>
    <x v="1"/>
    <x v="1"/>
    <x v="1"/>
    <x v="3"/>
    <x v="6"/>
    <n v="-5"/>
  </r>
  <r>
    <x v="97"/>
    <s v="Drink"/>
    <n v="5"/>
    <m/>
    <x v="1"/>
    <x v="1"/>
    <x v="1"/>
    <x v="3"/>
    <x v="0"/>
    <n v="-5"/>
  </r>
  <r>
    <x v="97"/>
    <s v="Green's"/>
    <n v="173"/>
    <m/>
    <x v="4"/>
    <x v="2"/>
    <x v="1"/>
    <x v="3"/>
    <x v="0"/>
    <n v="-173"/>
  </r>
  <r>
    <x v="98"/>
    <s v="Suya"/>
    <n v="40.1"/>
    <m/>
    <x v="8"/>
    <x v="1"/>
    <x v="1"/>
    <x v="3"/>
    <x v="1"/>
    <n v="-40.1"/>
  </r>
  <r>
    <x v="99"/>
    <s v="Oha soup/White soup"/>
    <n v="15.1"/>
    <m/>
    <x v="8"/>
    <x v="1"/>
    <x v="1"/>
    <x v="3"/>
    <x v="2"/>
    <n v="-15.1"/>
  </r>
  <r>
    <x v="100"/>
    <s v="Orphanage"/>
    <n v="55"/>
    <m/>
    <x v="14"/>
    <x v="6"/>
    <x v="1"/>
    <x v="3"/>
    <x v="3"/>
    <n v="-55"/>
  </r>
  <r>
    <x v="100"/>
    <s v="Fuel"/>
    <n v="66"/>
    <m/>
    <x v="15"/>
    <x v="3"/>
    <x v="1"/>
    <x v="3"/>
    <x v="3"/>
    <n v="-66"/>
  </r>
  <r>
    <x v="100"/>
    <s v="Drink"/>
    <n v="5"/>
    <m/>
    <x v="1"/>
    <x v="1"/>
    <x v="1"/>
    <x v="3"/>
    <x v="3"/>
    <n v="-5"/>
  </r>
  <r>
    <x v="101"/>
    <s v="Drink"/>
    <n v="5"/>
    <m/>
    <x v="1"/>
    <x v="1"/>
    <x v="1"/>
    <x v="3"/>
    <x v="4"/>
    <n v="-5"/>
  </r>
  <r>
    <x v="102"/>
    <s v="Drink"/>
    <n v="5"/>
    <m/>
    <x v="1"/>
    <x v="1"/>
    <x v="1"/>
    <x v="3"/>
    <x v="5"/>
    <n v="-5"/>
  </r>
  <r>
    <x v="103"/>
    <s v="Drink"/>
    <n v="5"/>
    <m/>
    <x v="1"/>
    <x v="1"/>
    <x v="1"/>
    <x v="3"/>
    <x v="6"/>
    <n v="-5"/>
  </r>
  <r>
    <x v="104"/>
    <s v="Drink"/>
    <n v="5"/>
    <m/>
    <x v="1"/>
    <x v="1"/>
    <x v="1"/>
    <x v="3"/>
    <x v="0"/>
    <n v="-5"/>
  </r>
  <r>
    <x v="104"/>
    <s v="Green's"/>
    <n v="164.9"/>
    <m/>
    <x v="4"/>
    <x v="2"/>
    <x v="1"/>
    <x v="3"/>
    <x v="0"/>
    <n v="-164.9"/>
  </r>
  <r>
    <x v="105"/>
    <s v="Trainers"/>
    <n v="127.9"/>
    <m/>
    <x v="7"/>
    <x v="4"/>
    <x v="1"/>
    <x v="3"/>
    <x v="1"/>
    <n v="-127.9"/>
  </r>
  <r>
    <x v="105"/>
    <s v="Clubing"/>
    <n v="300"/>
    <m/>
    <x v="6"/>
    <x v="4"/>
    <x v="1"/>
    <x v="3"/>
    <x v="1"/>
    <n v="-300"/>
  </r>
  <r>
    <x v="106"/>
    <s v="Fashionistas"/>
    <n v="148.1"/>
    <m/>
    <x v="7"/>
    <x v="4"/>
    <x v="1"/>
    <x v="3"/>
    <x v="2"/>
    <n v="-148.1"/>
  </r>
  <r>
    <x v="106"/>
    <s v="Uba"/>
    <n v="26.1"/>
    <m/>
    <x v="9"/>
    <x v="3"/>
    <x v="1"/>
    <x v="3"/>
    <x v="2"/>
    <n v="-26.1"/>
  </r>
  <r>
    <x v="107"/>
    <s v="Foodary"/>
    <n v="15"/>
    <m/>
    <x v="8"/>
    <x v="1"/>
    <x v="1"/>
    <x v="3"/>
    <x v="3"/>
    <n v="-15"/>
  </r>
  <r>
    <x v="107"/>
    <s v="Drink"/>
    <n v="5"/>
    <m/>
    <x v="1"/>
    <x v="1"/>
    <x v="1"/>
    <x v="3"/>
    <x v="3"/>
    <n v="-5"/>
  </r>
  <r>
    <x v="108"/>
    <s v="Drink"/>
    <n v="5"/>
    <m/>
    <x v="1"/>
    <x v="1"/>
    <x v="1"/>
    <x v="3"/>
    <x v="4"/>
    <n v="-5"/>
  </r>
  <r>
    <x v="109"/>
    <s v="Drink"/>
    <n v="5"/>
    <m/>
    <x v="1"/>
    <x v="1"/>
    <x v="1"/>
    <x v="4"/>
    <x v="6"/>
    <n v="-5"/>
  </r>
  <r>
    <x v="110"/>
    <s v="Data With Decision"/>
    <m/>
    <n v="5000"/>
    <x v="0"/>
    <x v="0"/>
    <x v="0"/>
    <x v="4"/>
    <x v="0"/>
    <n v="5000"/>
  </r>
  <r>
    <x v="110"/>
    <s v="Estate Mangement"/>
    <n v="900"/>
    <m/>
    <x v="2"/>
    <x v="2"/>
    <x v="1"/>
    <x v="4"/>
    <x v="0"/>
    <n v="-900"/>
  </r>
  <r>
    <x v="110"/>
    <s v="Financail upgrade"/>
    <n v="150"/>
    <m/>
    <x v="3"/>
    <x v="3"/>
    <x v="1"/>
    <x v="4"/>
    <x v="0"/>
    <n v="-150"/>
  </r>
  <r>
    <x v="110"/>
    <s v="Drink"/>
    <n v="5"/>
    <m/>
    <x v="1"/>
    <x v="1"/>
    <x v="1"/>
    <x v="4"/>
    <x v="0"/>
    <n v="-5"/>
  </r>
  <r>
    <x v="111"/>
    <s v="Drink"/>
    <n v="5"/>
    <m/>
    <x v="1"/>
    <x v="1"/>
    <x v="1"/>
    <x v="4"/>
    <x v="1"/>
    <n v="-5"/>
  </r>
  <r>
    <x v="112"/>
    <s v="Drink"/>
    <n v="5"/>
    <m/>
    <x v="1"/>
    <x v="1"/>
    <x v="1"/>
    <x v="4"/>
    <x v="2"/>
    <n v="-5"/>
  </r>
  <r>
    <x v="113"/>
    <s v="Drink"/>
    <n v="5"/>
    <m/>
    <x v="1"/>
    <x v="1"/>
    <x v="1"/>
    <x v="4"/>
    <x v="3"/>
    <n v="-5"/>
  </r>
  <r>
    <x v="113"/>
    <s v="Green's"/>
    <n v="170"/>
    <m/>
    <x v="4"/>
    <x v="2"/>
    <x v="1"/>
    <x v="4"/>
    <x v="3"/>
    <n v="-170"/>
  </r>
  <r>
    <x v="114"/>
    <s v="Power source"/>
    <n v="54.1"/>
    <m/>
    <x v="5"/>
    <x v="2"/>
    <x v="1"/>
    <x v="4"/>
    <x v="6"/>
    <n v="-54.1"/>
  </r>
  <r>
    <x v="114"/>
    <s v="Drink"/>
    <n v="5"/>
    <m/>
    <x v="1"/>
    <x v="1"/>
    <x v="1"/>
    <x v="4"/>
    <x v="6"/>
    <n v="-5"/>
  </r>
  <r>
    <x v="115"/>
    <s v="Drink"/>
    <n v="5"/>
    <m/>
    <x v="1"/>
    <x v="1"/>
    <x v="1"/>
    <x v="4"/>
    <x v="0"/>
    <n v="-5"/>
  </r>
  <r>
    <x v="116"/>
    <s v="Fuel"/>
    <n v="81"/>
    <m/>
    <x v="15"/>
    <x v="3"/>
    <x v="1"/>
    <x v="4"/>
    <x v="1"/>
    <n v="-81"/>
  </r>
  <r>
    <x v="116"/>
    <s v="Drink"/>
    <n v="5"/>
    <m/>
    <x v="1"/>
    <x v="1"/>
    <x v="1"/>
    <x v="4"/>
    <x v="1"/>
    <n v="-5"/>
  </r>
  <r>
    <x v="117"/>
    <s v="Drink"/>
    <n v="5"/>
    <m/>
    <x v="1"/>
    <x v="1"/>
    <x v="1"/>
    <x v="4"/>
    <x v="2"/>
    <n v="-5"/>
  </r>
  <r>
    <x v="118"/>
    <s v="Green's"/>
    <n v="139.1"/>
    <m/>
    <x v="4"/>
    <x v="2"/>
    <x v="1"/>
    <x v="4"/>
    <x v="3"/>
    <n v="-139.1"/>
  </r>
  <r>
    <x v="118"/>
    <s v="Drink"/>
    <n v="5"/>
    <m/>
    <x v="1"/>
    <x v="1"/>
    <x v="1"/>
    <x v="4"/>
    <x v="3"/>
    <n v="-5"/>
  </r>
  <r>
    <x v="119"/>
    <s v="Drink"/>
    <n v="5"/>
    <m/>
    <x v="1"/>
    <x v="1"/>
    <x v="1"/>
    <x v="4"/>
    <x v="4"/>
    <n v="-5"/>
  </r>
  <r>
    <x v="119"/>
    <s v="Cinemas"/>
    <n v="43.9"/>
    <m/>
    <x v="6"/>
    <x v="4"/>
    <x v="1"/>
    <x v="4"/>
    <x v="4"/>
    <n v="-43.9"/>
  </r>
  <r>
    <x v="119"/>
    <s v="Fashionistas"/>
    <n v="101.80000000000001"/>
    <m/>
    <x v="7"/>
    <x v="4"/>
    <x v="1"/>
    <x v="4"/>
    <x v="4"/>
    <n v="-101.80000000000001"/>
  </r>
  <r>
    <x v="119"/>
    <s v="Burger"/>
    <n v="55.9"/>
    <m/>
    <x v="8"/>
    <x v="1"/>
    <x v="1"/>
    <x v="4"/>
    <x v="4"/>
    <n v="-55.9"/>
  </r>
  <r>
    <x v="120"/>
    <s v="Uba"/>
    <n v="32"/>
    <m/>
    <x v="9"/>
    <x v="3"/>
    <x v="1"/>
    <x v="4"/>
    <x v="5"/>
    <n v="-32"/>
  </r>
  <r>
    <x v="121"/>
    <s v="Onlne earning"/>
    <m/>
    <n v="1000"/>
    <x v="10"/>
    <x v="5"/>
    <x v="0"/>
    <x v="4"/>
    <x v="6"/>
    <n v="1000"/>
  </r>
  <r>
    <x v="121"/>
    <s v="Drink"/>
    <n v="5"/>
    <m/>
    <x v="1"/>
    <x v="1"/>
    <x v="1"/>
    <x v="4"/>
    <x v="6"/>
    <n v="-5"/>
  </r>
  <r>
    <x v="122"/>
    <s v="Drink"/>
    <n v="5"/>
    <m/>
    <x v="1"/>
    <x v="1"/>
    <x v="1"/>
    <x v="4"/>
    <x v="0"/>
    <n v="-5"/>
  </r>
  <r>
    <x v="122"/>
    <s v="Taken medication"/>
    <n v="75"/>
    <m/>
    <x v="16"/>
    <x v="7"/>
    <x v="1"/>
    <x v="4"/>
    <x v="0"/>
    <n v="-75"/>
  </r>
  <r>
    <x v="122"/>
    <s v="Phone"/>
    <n v="40"/>
    <m/>
    <x v="12"/>
    <x v="2"/>
    <x v="1"/>
    <x v="4"/>
    <x v="0"/>
    <n v="-40"/>
  </r>
  <r>
    <x v="123"/>
    <s v="Sallah give away"/>
    <n v="49"/>
    <m/>
    <x v="13"/>
    <x v="4"/>
    <x v="1"/>
    <x v="4"/>
    <x v="1"/>
    <n v="-49"/>
  </r>
  <r>
    <x v="123"/>
    <s v="Online streaming"/>
    <n v="35"/>
    <m/>
    <x v="6"/>
    <x v="4"/>
    <x v="1"/>
    <x v="4"/>
    <x v="1"/>
    <n v="-35"/>
  </r>
  <r>
    <x v="123"/>
    <s v="Drink"/>
    <n v="5"/>
    <m/>
    <x v="1"/>
    <x v="1"/>
    <x v="1"/>
    <x v="4"/>
    <x v="1"/>
    <n v="-5"/>
  </r>
  <r>
    <x v="124"/>
    <s v="Drink"/>
    <n v="5"/>
    <m/>
    <x v="1"/>
    <x v="1"/>
    <x v="1"/>
    <x v="4"/>
    <x v="2"/>
    <n v="-5"/>
  </r>
  <r>
    <x v="125"/>
    <s v="Drink"/>
    <n v="5"/>
    <m/>
    <x v="1"/>
    <x v="1"/>
    <x v="1"/>
    <x v="4"/>
    <x v="3"/>
    <n v="-5"/>
  </r>
  <r>
    <x v="125"/>
    <s v="Green's"/>
    <n v="174"/>
    <m/>
    <x v="4"/>
    <x v="2"/>
    <x v="1"/>
    <x v="4"/>
    <x v="3"/>
    <n v="-174"/>
  </r>
  <r>
    <x v="126"/>
    <s v="Suya"/>
    <n v="41.1"/>
    <m/>
    <x v="8"/>
    <x v="1"/>
    <x v="1"/>
    <x v="4"/>
    <x v="4"/>
    <n v="-41.1"/>
  </r>
  <r>
    <x v="127"/>
    <s v="Oha soup/White soup"/>
    <n v="16.2"/>
    <m/>
    <x v="8"/>
    <x v="1"/>
    <x v="1"/>
    <x v="4"/>
    <x v="5"/>
    <n v="-16.2"/>
  </r>
  <r>
    <x v="128"/>
    <s v="Orphanage"/>
    <n v="55"/>
    <m/>
    <x v="14"/>
    <x v="6"/>
    <x v="1"/>
    <x v="4"/>
    <x v="6"/>
    <n v="-55"/>
  </r>
  <r>
    <x v="128"/>
    <s v="Fuel"/>
    <n v="67"/>
    <m/>
    <x v="15"/>
    <x v="3"/>
    <x v="1"/>
    <x v="4"/>
    <x v="6"/>
    <n v="-67"/>
  </r>
  <r>
    <x v="128"/>
    <s v="Drink"/>
    <n v="5"/>
    <m/>
    <x v="1"/>
    <x v="1"/>
    <x v="1"/>
    <x v="4"/>
    <x v="6"/>
    <n v="-5"/>
  </r>
  <r>
    <x v="129"/>
    <s v="Drink"/>
    <n v="5"/>
    <m/>
    <x v="1"/>
    <x v="1"/>
    <x v="1"/>
    <x v="4"/>
    <x v="0"/>
    <n v="-5"/>
  </r>
  <r>
    <x v="130"/>
    <s v="Drink"/>
    <n v="5"/>
    <m/>
    <x v="1"/>
    <x v="1"/>
    <x v="1"/>
    <x v="4"/>
    <x v="1"/>
    <n v="-5"/>
  </r>
  <r>
    <x v="131"/>
    <s v="Drink"/>
    <n v="5"/>
    <m/>
    <x v="1"/>
    <x v="1"/>
    <x v="1"/>
    <x v="4"/>
    <x v="2"/>
    <n v="-5"/>
  </r>
  <r>
    <x v="132"/>
    <s v="Drink"/>
    <n v="5"/>
    <m/>
    <x v="1"/>
    <x v="1"/>
    <x v="1"/>
    <x v="4"/>
    <x v="3"/>
    <n v="-5"/>
  </r>
  <r>
    <x v="132"/>
    <s v="Green's"/>
    <n v="165.8"/>
    <m/>
    <x v="4"/>
    <x v="2"/>
    <x v="1"/>
    <x v="4"/>
    <x v="3"/>
    <n v="-165.8"/>
  </r>
  <r>
    <x v="133"/>
    <s v="Trainers"/>
    <n v="128.80000000000001"/>
    <m/>
    <x v="7"/>
    <x v="4"/>
    <x v="1"/>
    <x v="4"/>
    <x v="4"/>
    <n v="-128.80000000000001"/>
  </r>
  <r>
    <x v="133"/>
    <s v="Home décor"/>
    <n v="235"/>
    <m/>
    <x v="17"/>
    <x v="4"/>
    <x v="1"/>
    <x v="4"/>
    <x v="4"/>
    <n v="-235"/>
  </r>
  <r>
    <x v="134"/>
    <s v="Fashionistas"/>
    <n v="149.19999999999999"/>
    <m/>
    <x v="7"/>
    <x v="4"/>
    <x v="1"/>
    <x v="4"/>
    <x v="5"/>
    <n v="-149.19999999999999"/>
  </r>
  <r>
    <x v="134"/>
    <s v="Uba"/>
    <n v="27.200000000000003"/>
    <m/>
    <x v="9"/>
    <x v="3"/>
    <x v="1"/>
    <x v="4"/>
    <x v="5"/>
    <n v="-27.200000000000003"/>
  </r>
  <r>
    <x v="135"/>
    <s v="Foodary"/>
    <n v="15"/>
    <m/>
    <x v="8"/>
    <x v="1"/>
    <x v="1"/>
    <x v="4"/>
    <x v="0"/>
    <n v="-15"/>
  </r>
  <r>
    <x v="136"/>
    <s v="Drink"/>
    <n v="5"/>
    <m/>
    <x v="1"/>
    <x v="1"/>
    <x v="1"/>
    <x v="4"/>
    <x v="6"/>
    <n v="-5"/>
  </r>
  <r>
    <x v="135"/>
    <s v="Drink"/>
    <n v="5"/>
    <m/>
    <x v="1"/>
    <x v="1"/>
    <x v="1"/>
    <x v="4"/>
    <x v="0"/>
    <n v="-5"/>
  </r>
  <r>
    <x v="137"/>
    <s v="Data With Decision"/>
    <m/>
    <n v="5000"/>
    <x v="0"/>
    <x v="0"/>
    <x v="0"/>
    <x v="5"/>
    <x v="1"/>
    <n v="5000"/>
  </r>
  <r>
    <x v="138"/>
    <s v="Drink"/>
    <n v="5"/>
    <m/>
    <x v="1"/>
    <x v="1"/>
    <x v="1"/>
    <x v="5"/>
    <x v="3"/>
    <n v="-5"/>
  </r>
  <r>
    <x v="138"/>
    <s v="Estate Mangement"/>
    <n v="900"/>
    <m/>
    <x v="2"/>
    <x v="2"/>
    <x v="1"/>
    <x v="5"/>
    <x v="3"/>
    <n v="-900"/>
  </r>
  <r>
    <x v="138"/>
    <s v="Financail upgrade"/>
    <n v="150"/>
    <m/>
    <x v="3"/>
    <x v="3"/>
    <x v="1"/>
    <x v="5"/>
    <x v="3"/>
    <n v="-150"/>
  </r>
  <r>
    <x v="138"/>
    <s v="Drink"/>
    <n v="5"/>
    <m/>
    <x v="1"/>
    <x v="1"/>
    <x v="1"/>
    <x v="5"/>
    <x v="3"/>
    <n v="-5"/>
  </r>
  <r>
    <x v="139"/>
    <s v="Drink"/>
    <n v="5"/>
    <m/>
    <x v="1"/>
    <x v="1"/>
    <x v="1"/>
    <x v="5"/>
    <x v="4"/>
    <n v="-5"/>
  </r>
  <r>
    <x v="140"/>
    <s v="Drink"/>
    <n v="5"/>
    <m/>
    <x v="1"/>
    <x v="1"/>
    <x v="1"/>
    <x v="5"/>
    <x v="5"/>
    <n v="-5"/>
  </r>
  <r>
    <x v="141"/>
    <s v="Drink"/>
    <n v="5"/>
    <m/>
    <x v="1"/>
    <x v="1"/>
    <x v="1"/>
    <x v="5"/>
    <x v="6"/>
    <n v="-5"/>
  </r>
  <r>
    <x v="141"/>
    <s v="Green's"/>
    <n v="119"/>
    <m/>
    <x v="4"/>
    <x v="2"/>
    <x v="1"/>
    <x v="5"/>
    <x v="6"/>
    <n v="-119"/>
  </r>
  <r>
    <x v="142"/>
    <s v="Power source"/>
    <n v="55"/>
    <m/>
    <x v="5"/>
    <x v="2"/>
    <x v="1"/>
    <x v="5"/>
    <x v="2"/>
    <n v="-55"/>
  </r>
  <r>
    <x v="142"/>
    <s v="Drink"/>
    <n v="5"/>
    <m/>
    <x v="1"/>
    <x v="1"/>
    <x v="1"/>
    <x v="5"/>
    <x v="2"/>
    <n v="-5"/>
  </r>
  <r>
    <x v="143"/>
    <s v="Drink"/>
    <n v="5"/>
    <m/>
    <x v="1"/>
    <x v="1"/>
    <x v="1"/>
    <x v="5"/>
    <x v="3"/>
    <n v="-5"/>
  </r>
  <r>
    <x v="144"/>
    <s v="Fuel"/>
    <n v="82.1"/>
    <m/>
    <x v="15"/>
    <x v="3"/>
    <x v="1"/>
    <x v="5"/>
    <x v="4"/>
    <n v="-82.1"/>
  </r>
  <r>
    <x v="144"/>
    <s v="Drink"/>
    <n v="5"/>
    <m/>
    <x v="1"/>
    <x v="1"/>
    <x v="1"/>
    <x v="5"/>
    <x v="4"/>
    <n v="-5"/>
  </r>
  <r>
    <x v="145"/>
    <s v="Drink"/>
    <n v="5"/>
    <m/>
    <x v="1"/>
    <x v="1"/>
    <x v="1"/>
    <x v="5"/>
    <x v="5"/>
    <n v="-5"/>
  </r>
  <r>
    <x v="146"/>
    <s v="Green's"/>
    <n v="140.19999999999999"/>
    <m/>
    <x v="4"/>
    <x v="2"/>
    <x v="1"/>
    <x v="5"/>
    <x v="6"/>
    <n v="-140.19999999999999"/>
  </r>
  <r>
    <x v="146"/>
    <s v="Drink"/>
    <n v="5"/>
    <m/>
    <x v="1"/>
    <x v="1"/>
    <x v="1"/>
    <x v="5"/>
    <x v="6"/>
    <n v="-5"/>
  </r>
  <r>
    <x v="147"/>
    <s v="Drink"/>
    <n v="5"/>
    <m/>
    <x v="1"/>
    <x v="1"/>
    <x v="1"/>
    <x v="5"/>
    <x v="0"/>
    <n v="-5"/>
  </r>
  <r>
    <x v="147"/>
    <s v="Cinemas"/>
    <n v="44.9"/>
    <m/>
    <x v="6"/>
    <x v="4"/>
    <x v="1"/>
    <x v="5"/>
    <x v="0"/>
    <n v="-44.9"/>
  </r>
  <r>
    <x v="147"/>
    <s v="Fashionistas"/>
    <n v="102.9"/>
    <m/>
    <x v="7"/>
    <x v="4"/>
    <x v="1"/>
    <x v="5"/>
    <x v="0"/>
    <n v="-102.9"/>
  </r>
  <r>
    <x v="147"/>
    <s v="Burger"/>
    <n v="56.9"/>
    <m/>
    <x v="8"/>
    <x v="1"/>
    <x v="1"/>
    <x v="5"/>
    <x v="0"/>
    <n v="-56.9"/>
  </r>
  <r>
    <x v="148"/>
    <s v="Uba"/>
    <n v="33.1"/>
    <m/>
    <x v="9"/>
    <x v="3"/>
    <x v="1"/>
    <x v="5"/>
    <x v="1"/>
    <n v="-33.1"/>
  </r>
  <r>
    <x v="149"/>
    <s v="Onlne earning"/>
    <m/>
    <n v="100"/>
    <x v="10"/>
    <x v="5"/>
    <x v="0"/>
    <x v="5"/>
    <x v="2"/>
    <n v="100"/>
  </r>
  <r>
    <x v="149"/>
    <s v="Drink"/>
    <n v="5"/>
    <m/>
    <x v="1"/>
    <x v="1"/>
    <x v="1"/>
    <x v="5"/>
    <x v="2"/>
    <n v="-5"/>
  </r>
  <r>
    <x v="150"/>
    <s v="Drink"/>
    <n v="5"/>
    <m/>
    <x v="1"/>
    <x v="1"/>
    <x v="1"/>
    <x v="5"/>
    <x v="3"/>
    <n v="-5"/>
  </r>
  <r>
    <x v="150"/>
    <s v="Phone"/>
    <n v="40"/>
    <m/>
    <x v="12"/>
    <x v="2"/>
    <x v="1"/>
    <x v="5"/>
    <x v="3"/>
    <n v="-40"/>
  </r>
  <r>
    <x v="151"/>
    <s v="Sallah give away"/>
    <n v="50.1"/>
    <m/>
    <x v="13"/>
    <x v="4"/>
    <x v="1"/>
    <x v="5"/>
    <x v="4"/>
    <n v="-50.1"/>
  </r>
  <r>
    <x v="151"/>
    <s v="Online streaming"/>
    <n v="35"/>
    <m/>
    <x v="6"/>
    <x v="4"/>
    <x v="1"/>
    <x v="5"/>
    <x v="4"/>
    <n v="-35"/>
  </r>
  <r>
    <x v="151"/>
    <s v="Drink"/>
    <n v="5"/>
    <m/>
    <x v="1"/>
    <x v="1"/>
    <x v="1"/>
    <x v="5"/>
    <x v="4"/>
    <n v="-5"/>
  </r>
  <r>
    <x v="152"/>
    <s v="Drink"/>
    <n v="5"/>
    <m/>
    <x v="1"/>
    <x v="1"/>
    <x v="1"/>
    <x v="5"/>
    <x v="5"/>
    <n v="-5"/>
  </r>
  <r>
    <x v="153"/>
    <s v="Drink"/>
    <n v="5"/>
    <m/>
    <x v="1"/>
    <x v="1"/>
    <x v="1"/>
    <x v="5"/>
    <x v="6"/>
    <n v="-5"/>
  </r>
  <r>
    <x v="153"/>
    <s v="Green's"/>
    <n v="234"/>
    <m/>
    <x v="4"/>
    <x v="2"/>
    <x v="1"/>
    <x v="5"/>
    <x v="6"/>
    <n v="-234"/>
  </r>
  <r>
    <x v="154"/>
    <s v="Suya"/>
    <n v="42.1"/>
    <m/>
    <x v="8"/>
    <x v="1"/>
    <x v="1"/>
    <x v="5"/>
    <x v="0"/>
    <n v="-42.1"/>
  </r>
  <r>
    <x v="155"/>
    <s v="Oha soup/White soup"/>
    <n v="17.099999999999998"/>
    <m/>
    <x v="8"/>
    <x v="1"/>
    <x v="1"/>
    <x v="5"/>
    <x v="1"/>
    <n v="-17.099999999999998"/>
  </r>
  <r>
    <x v="156"/>
    <s v="Orphanage"/>
    <n v="55"/>
    <m/>
    <x v="14"/>
    <x v="6"/>
    <x v="1"/>
    <x v="5"/>
    <x v="2"/>
    <n v="-55"/>
  </r>
  <r>
    <x v="156"/>
    <s v="Fuel"/>
    <n v="67.900000000000006"/>
    <m/>
    <x v="15"/>
    <x v="3"/>
    <x v="1"/>
    <x v="5"/>
    <x v="2"/>
    <n v="-67.900000000000006"/>
  </r>
  <r>
    <x v="156"/>
    <s v="Drink"/>
    <n v="5"/>
    <m/>
    <x v="1"/>
    <x v="1"/>
    <x v="1"/>
    <x v="5"/>
    <x v="2"/>
    <n v="-5"/>
  </r>
  <r>
    <x v="157"/>
    <s v="Drink"/>
    <n v="5"/>
    <m/>
    <x v="1"/>
    <x v="1"/>
    <x v="1"/>
    <x v="5"/>
    <x v="3"/>
    <n v="-5"/>
  </r>
  <r>
    <x v="158"/>
    <s v="Drink"/>
    <n v="5"/>
    <m/>
    <x v="1"/>
    <x v="1"/>
    <x v="1"/>
    <x v="5"/>
    <x v="4"/>
    <n v="-5"/>
  </r>
  <r>
    <x v="159"/>
    <s v="Drink"/>
    <n v="5"/>
    <m/>
    <x v="1"/>
    <x v="1"/>
    <x v="1"/>
    <x v="5"/>
    <x v="5"/>
    <n v="-5"/>
  </r>
  <r>
    <x v="160"/>
    <s v="Drink"/>
    <n v="5"/>
    <m/>
    <x v="1"/>
    <x v="1"/>
    <x v="1"/>
    <x v="5"/>
    <x v="6"/>
    <n v="-5"/>
  </r>
  <r>
    <x v="160"/>
    <s v="Green's"/>
    <n v="166.9"/>
    <m/>
    <x v="4"/>
    <x v="2"/>
    <x v="1"/>
    <x v="5"/>
    <x v="6"/>
    <n v="-166.9"/>
  </r>
  <r>
    <x v="161"/>
    <s v="Trainers"/>
    <n v="129.9"/>
    <m/>
    <x v="7"/>
    <x v="4"/>
    <x v="1"/>
    <x v="5"/>
    <x v="0"/>
    <n v="-129.9"/>
  </r>
  <r>
    <x v="161"/>
    <s v="Hangingout/Ticket"/>
    <n v="180.29999999999998"/>
    <m/>
    <x v="6"/>
    <x v="4"/>
    <x v="1"/>
    <x v="5"/>
    <x v="0"/>
    <n v="-180.29999999999998"/>
  </r>
  <r>
    <x v="162"/>
    <s v="Fashionistas"/>
    <n v="150.1"/>
    <m/>
    <x v="7"/>
    <x v="4"/>
    <x v="1"/>
    <x v="5"/>
    <x v="1"/>
    <n v="-150.1"/>
  </r>
  <r>
    <x v="162"/>
    <s v="Uba"/>
    <n v="28.200000000000003"/>
    <m/>
    <x v="9"/>
    <x v="3"/>
    <x v="1"/>
    <x v="5"/>
    <x v="1"/>
    <n v="-28.200000000000003"/>
  </r>
  <r>
    <x v="162"/>
    <s v="Foodary"/>
    <n v="15"/>
    <m/>
    <x v="8"/>
    <x v="1"/>
    <x v="1"/>
    <x v="5"/>
    <x v="1"/>
    <n v="-15"/>
  </r>
  <r>
    <x v="163"/>
    <s v="Drink"/>
    <n v="5"/>
    <m/>
    <x v="1"/>
    <x v="1"/>
    <x v="1"/>
    <x v="5"/>
    <x v="2"/>
    <n v="-5"/>
  </r>
  <r>
    <x v="164"/>
    <s v="Drink"/>
    <n v="5"/>
    <m/>
    <x v="1"/>
    <x v="1"/>
    <x v="1"/>
    <x v="6"/>
    <x v="3"/>
    <n v="-5"/>
  </r>
  <r>
    <x v="165"/>
    <s v="Data With Decision"/>
    <m/>
    <n v="5000"/>
    <x v="0"/>
    <x v="0"/>
    <x v="0"/>
    <x v="6"/>
    <x v="4"/>
    <n v="5000"/>
  </r>
  <r>
    <x v="166"/>
    <s v="Drink"/>
    <n v="5"/>
    <m/>
    <x v="1"/>
    <x v="1"/>
    <x v="1"/>
    <x v="6"/>
    <x v="5"/>
    <n v="-5"/>
  </r>
  <r>
    <x v="167"/>
    <s v="Estate Mangement"/>
    <n v="900"/>
    <m/>
    <x v="2"/>
    <x v="2"/>
    <x v="1"/>
    <x v="6"/>
    <x v="0"/>
    <n v="-900"/>
  </r>
  <r>
    <x v="167"/>
    <s v="Financail upgrade"/>
    <n v="150"/>
    <m/>
    <x v="3"/>
    <x v="3"/>
    <x v="1"/>
    <x v="6"/>
    <x v="0"/>
    <n v="-150"/>
  </r>
  <r>
    <x v="167"/>
    <s v="Feedings"/>
    <n v="15"/>
    <m/>
    <x v="8"/>
    <x v="1"/>
    <x v="1"/>
    <x v="6"/>
    <x v="0"/>
    <n v="-15"/>
  </r>
  <r>
    <x v="167"/>
    <s v="Drink"/>
    <n v="5"/>
    <m/>
    <x v="1"/>
    <x v="1"/>
    <x v="1"/>
    <x v="6"/>
    <x v="0"/>
    <n v="-5"/>
  </r>
  <r>
    <x v="168"/>
    <s v="Drink"/>
    <n v="5"/>
    <m/>
    <x v="1"/>
    <x v="1"/>
    <x v="1"/>
    <x v="6"/>
    <x v="1"/>
    <n v="-5"/>
  </r>
  <r>
    <x v="169"/>
    <s v="Drink"/>
    <n v="5"/>
    <m/>
    <x v="1"/>
    <x v="1"/>
    <x v="1"/>
    <x v="6"/>
    <x v="2"/>
    <n v="-5"/>
  </r>
  <r>
    <x v="169"/>
    <s v="Green's"/>
    <n v="180"/>
    <m/>
    <x v="4"/>
    <x v="2"/>
    <x v="1"/>
    <x v="6"/>
    <x v="2"/>
    <n v="-180"/>
  </r>
  <r>
    <x v="170"/>
    <s v="Power source"/>
    <n v="56.1"/>
    <m/>
    <x v="5"/>
    <x v="2"/>
    <x v="1"/>
    <x v="6"/>
    <x v="5"/>
    <n v="-56.1"/>
  </r>
  <r>
    <x v="170"/>
    <s v="Drink"/>
    <n v="5"/>
    <m/>
    <x v="1"/>
    <x v="1"/>
    <x v="1"/>
    <x v="6"/>
    <x v="5"/>
    <n v="-5"/>
  </r>
  <r>
    <x v="171"/>
    <s v="Drink"/>
    <n v="5"/>
    <m/>
    <x v="1"/>
    <x v="1"/>
    <x v="1"/>
    <x v="6"/>
    <x v="6"/>
    <n v="-5"/>
  </r>
  <r>
    <x v="172"/>
    <s v="Fuel"/>
    <n v="83.1"/>
    <m/>
    <x v="15"/>
    <x v="3"/>
    <x v="1"/>
    <x v="6"/>
    <x v="0"/>
    <n v="-83.1"/>
  </r>
  <r>
    <x v="172"/>
    <s v="Drink"/>
    <n v="5"/>
    <m/>
    <x v="1"/>
    <x v="1"/>
    <x v="1"/>
    <x v="6"/>
    <x v="0"/>
    <n v="-5"/>
  </r>
  <r>
    <x v="173"/>
    <s v="Drink"/>
    <n v="5"/>
    <m/>
    <x v="1"/>
    <x v="1"/>
    <x v="1"/>
    <x v="6"/>
    <x v="1"/>
    <n v="-5"/>
  </r>
  <r>
    <x v="174"/>
    <s v="Green's"/>
    <n v="141.1"/>
    <m/>
    <x v="4"/>
    <x v="2"/>
    <x v="1"/>
    <x v="6"/>
    <x v="2"/>
    <n v="-141.1"/>
  </r>
  <r>
    <x v="174"/>
    <s v="Drink"/>
    <n v="5"/>
    <m/>
    <x v="1"/>
    <x v="1"/>
    <x v="1"/>
    <x v="6"/>
    <x v="2"/>
    <n v="-5"/>
  </r>
  <r>
    <x v="175"/>
    <s v="Drink"/>
    <n v="5"/>
    <m/>
    <x v="1"/>
    <x v="1"/>
    <x v="1"/>
    <x v="6"/>
    <x v="3"/>
    <n v="-5"/>
  </r>
  <r>
    <x v="175"/>
    <s v="Cinemas"/>
    <n v="45.8"/>
    <m/>
    <x v="6"/>
    <x v="4"/>
    <x v="1"/>
    <x v="6"/>
    <x v="3"/>
    <n v="-45.8"/>
  </r>
  <r>
    <x v="175"/>
    <s v="Fashionistas"/>
    <n v="103.80000000000001"/>
    <m/>
    <x v="7"/>
    <x v="4"/>
    <x v="1"/>
    <x v="6"/>
    <x v="3"/>
    <n v="-103.80000000000001"/>
  </r>
  <r>
    <x v="175"/>
    <s v="Burger"/>
    <n v="58"/>
    <m/>
    <x v="8"/>
    <x v="1"/>
    <x v="1"/>
    <x v="6"/>
    <x v="3"/>
    <n v="-58"/>
  </r>
  <r>
    <x v="176"/>
    <s v="Uba"/>
    <n v="34.200000000000003"/>
    <m/>
    <x v="9"/>
    <x v="3"/>
    <x v="1"/>
    <x v="6"/>
    <x v="4"/>
    <n v="-34.200000000000003"/>
  </r>
  <r>
    <x v="177"/>
    <s v="Onlne earning"/>
    <m/>
    <n v="200"/>
    <x v="10"/>
    <x v="5"/>
    <x v="0"/>
    <x v="6"/>
    <x v="5"/>
    <n v="200"/>
  </r>
  <r>
    <x v="177"/>
    <s v="Drink"/>
    <n v="5"/>
    <m/>
    <x v="1"/>
    <x v="1"/>
    <x v="1"/>
    <x v="6"/>
    <x v="5"/>
    <n v="-5"/>
  </r>
  <r>
    <x v="178"/>
    <s v="Drink"/>
    <n v="5"/>
    <m/>
    <x v="1"/>
    <x v="1"/>
    <x v="1"/>
    <x v="6"/>
    <x v="6"/>
    <n v="-5"/>
  </r>
  <r>
    <x v="178"/>
    <s v="Phone"/>
    <n v="40"/>
    <m/>
    <x v="12"/>
    <x v="2"/>
    <x v="1"/>
    <x v="6"/>
    <x v="6"/>
    <n v="-40"/>
  </r>
  <r>
    <x v="179"/>
    <s v="Sallah give away"/>
    <n v="51.1"/>
    <m/>
    <x v="13"/>
    <x v="4"/>
    <x v="1"/>
    <x v="6"/>
    <x v="0"/>
    <n v="-51.1"/>
  </r>
  <r>
    <x v="179"/>
    <s v="Online streaming"/>
    <n v="35"/>
    <m/>
    <x v="6"/>
    <x v="4"/>
    <x v="1"/>
    <x v="6"/>
    <x v="0"/>
    <n v="-35"/>
  </r>
  <r>
    <x v="179"/>
    <s v="Drink"/>
    <n v="5"/>
    <m/>
    <x v="1"/>
    <x v="1"/>
    <x v="1"/>
    <x v="6"/>
    <x v="0"/>
    <n v="-5"/>
  </r>
  <r>
    <x v="180"/>
    <s v="Drink"/>
    <n v="5"/>
    <m/>
    <x v="1"/>
    <x v="1"/>
    <x v="1"/>
    <x v="6"/>
    <x v="1"/>
    <n v="-5"/>
  </r>
  <r>
    <x v="181"/>
    <s v="Drink"/>
    <n v="5"/>
    <m/>
    <x v="1"/>
    <x v="1"/>
    <x v="1"/>
    <x v="6"/>
    <x v="2"/>
    <n v="-5"/>
  </r>
  <r>
    <x v="181"/>
    <s v="Green's"/>
    <n v="176"/>
    <m/>
    <x v="4"/>
    <x v="2"/>
    <x v="1"/>
    <x v="6"/>
    <x v="2"/>
    <n v="-176"/>
  </r>
  <r>
    <x v="182"/>
    <s v="Suya"/>
    <n v="43.1"/>
    <m/>
    <x v="8"/>
    <x v="1"/>
    <x v="1"/>
    <x v="6"/>
    <x v="3"/>
    <n v="-43.1"/>
  </r>
  <r>
    <x v="183"/>
    <s v="Oha soup/White soup"/>
    <n v="18.2"/>
    <m/>
    <x v="8"/>
    <x v="1"/>
    <x v="1"/>
    <x v="6"/>
    <x v="4"/>
    <n v="-18.2"/>
  </r>
  <r>
    <x v="184"/>
    <s v="Orphanage"/>
    <n v="55"/>
    <m/>
    <x v="14"/>
    <x v="6"/>
    <x v="1"/>
    <x v="6"/>
    <x v="5"/>
    <n v="-55"/>
  </r>
  <r>
    <x v="184"/>
    <s v="Fuel"/>
    <n v="68.800000000000011"/>
    <m/>
    <x v="15"/>
    <x v="3"/>
    <x v="1"/>
    <x v="6"/>
    <x v="5"/>
    <n v="-68.800000000000011"/>
  </r>
  <r>
    <x v="184"/>
    <s v="Drink"/>
    <n v="5"/>
    <m/>
    <x v="1"/>
    <x v="1"/>
    <x v="1"/>
    <x v="6"/>
    <x v="5"/>
    <n v="-5"/>
  </r>
  <r>
    <x v="185"/>
    <s v="Drink"/>
    <n v="5"/>
    <m/>
    <x v="1"/>
    <x v="1"/>
    <x v="1"/>
    <x v="6"/>
    <x v="6"/>
    <n v="-5"/>
  </r>
  <r>
    <x v="186"/>
    <s v="Drink"/>
    <n v="5"/>
    <m/>
    <x v="1"/>
    <x v="1"/>
    <x v="1"/>
    <x v="6"/>
    <x v="0"/>
    <n v="-5"/>
  </r>
  <r>
    <x v="187"/>
    <s v="Drink"/>
    <n v="5"/>
    <m/>
    <x v="1"/>
    <x v="1"/>
    <x v="1"/>
    <x v="6"/>
    <x v="1"/>
    <n v="-5"/>
  </r>
  <r>
    <x v="188"/>
    <s v="Drink"/>
    <n v="5"/>
    <m/>
    <x v="1"/>
    <x v="1"/>
    <x v="1"/>
    <x v="6"/>
    <x v="2"/>
    <n v="-5"/>
  </r>
  <r>
    <x v="188"/>
    <s v="Green's"/>
    <n v="193"/>
    <m/>
    <x v="4"/>
    <x v="2"/>
    <x v="1"/>
    <x v="6"/>
    <x v="2"/>
    <n v="-193"/>
  </r>
  <r>
    <x v="189"/>
    <s v="Trainers"/>
    <n v="130.80000000000001"/>
    <m/>
    <x v="7"/>
    <x v="4"/>
    <x v="1"/>
    <x v="6"/>
    <x v="3"/>
    <n v="-130.80000000000001"/>
  </r>
  <r>
    <x v="189"/>
    <s v="Home décor"/>
    <n v="181.39999999999998"/>
    <m/>
    <x v="17"/>
    <x v="4"/>
    <x v="1"/>
    <x v="6"/>
    <x v="3"/>
    <n v="-181.39999999999998"/>
  </r>
  <r>
    <x v="190"/>
    <s v="Fashionistas"/>
    <n v="151.19999999999999"/>
    <m/>
    <x v="7"/>
    <x v="4"/>
    <x v="1"/>
    <x v="6"/>
    <x v="4"/>
    <n v="-151.19999999999999"/>
  </r>
  <r>
    <x v="190"/>
    <s v="Uba"/>
    <n v="29.300000000000004"/>
    <m/>
    <x v="9"/>
    <x v="3"/>
    <x v="1"/>
    <x v="6"/>
    <x v="4"/>
    <n v="-29.300000000000004"/>
  </r>
  <r>
    <x v="190"/>
    <s v="Foodary"/>
    <n v="15"/>
    <m/>
    <x v="8"/>
    <x v="1"/>
    <x v="1"/>
    <x v="6"/>
    <x v="4"/>
    <n v="-15"/>
  </r>
  <r>
    <x v="191"/>
    <s v="Drink"/>
    <n v="5"/>
    <m/>
    <x v="1"/>
    <x v="1"/>
    <x v="1"/>
    <x v="6"/>
    <x v="5"/>
    <n v="-5"/>
  </r>
  <r>
    <x v="192"/>
    <s v="Drink"/>
    <n v="5"/>
    <m/>
    <x v="1"/>
    <x v="1"/>
    <x v="1"/>
    <x v="7"/>
    <x v="0"/>
    <n v="-5"/>
  </r>
  <r>
    <x v="192"/>
    <s v="Data With Decision"/>
    <m/>
    <n v="5000"/>
    <x v="0"/>
    <x v="0"/>
    <x v="0"/>
    <x v="7"/>
    <x v="0"/>
    <n v="5000"/>
  </r>
  <r>
    <x v="193"/>
    <s v="Drink"/>
    <n v="5"/>
    <m/>
    <x v="1"/>
    <x v="1"/>
    <x v="1"/>
    <x v="7"/>
    <x v="1"/>
    <n v="-5"/>
  </r>
  <r>
    <x v="194"/>
    <s v="Estate Mangement"/>
    <n v="900"/>
    <m/>
    <x v="2"/>
    <x v="2"/>
    <x v="1"/>
    <x v="7"/>
    <x v="3"/>
    <n v="-900"/>
  </r>
  <r>
    <x v="194"/>
    <s v="Financail upgrade"/>
    <n v="150"/>
    <m/>
    <x v="3"/>
    <x v="3"/>
    <x v="1"/>
    <x v="7"/>
    <x v="3"/>
    <n v="-150"/>
  </r>
  <r>
    <x v="194"/>
    <s v="Drink"/>
    <n v="5"/>
    <m/>
    <x v="1"/>
    <x v="1"/>
    <x v="1"/>
    <x v="7"/>
    <x v="3"/>
    <n v="-5"/>
  </r>
  <r>
    <x v="194"/>
    <s v="Drink"/>
    <n v="5"/>
    <m/>
    <x v="1"/>
    <x v="1"/>
    <x v="1"/>
    <x v="7"/>
    <x v="3"/>
    <n v="-5"/>
  </r>
  <r>
    <x v="195"/>
    <s v="Drink"/>
    <n v="5"/>
    <m/>
    <x v="1"/>
    <x v="1"/>
    <x v="1"/>
    <x v="7"/>
    <x v="4"/>
    <n v="-5"/>
  </r>
  <r>
    <x v="196"/>
    <s v="Drink"/>
    <n v="5"/>
    <m/>
    <x v="1"/>
    <x v="1"/>
    <x v="1"/>
    <x v="7"/>
    <x v="5"/>
    <n v="-5"/>
  </r>
  <r>
    <x v="196"/>
    <s v="Green's"/>
    <n v="137"/>
    <m/>
    <x v="4"/>
    <x v="2"/>
    <x v="1"/>
    <x v="7"/>
    <x v="5"/>
    <n v="-137"/>
  </r>
  <r>
    <x v="197"/>
    <s v="Power source"/>
    <n v="57"/>
    <m/>
    <x v="5"/>
    <x v="2"/>
    <x v="1"/>
    <x v="7"/>
    <x v="1"/>
    <n v="-57"/>
  </r>
  <r>
    <x v="197"/>
    <s v="Drink"/>
    <n v="5"/>
    <m/>
    <x v="1"/>
    <x v="1"/>
    <x v="1"/>
    <x v="7"/>
    <x v="1"/>
    <n v="-5"/>
  </r>
  <r>
    <x v="198"/>
    <s v="Drink"/>
    <n v="5"/>
    <m/>
    <x v="1"/>
    <x v="1"/>
    <x v="1"/>
    <x v="7"/>
    <x v="2"/>
    <n v="-5"/>
  </r>
  <r>
    <x v="199"/>
    <s v="Fuel"/>
    <n v="84.199999999999989"/>
    <m/>
    <x v="15"/>
    <x v="3"/>
    <x v="1"/>
    <x v="7"/>
    <x v="3"/>
    <n v="-84.199999999999989"/>
  </r>
  <r>
    <x v="199"/>
    <s v="Drink"/>
    <n v="5"/>
    <m/>
    <x v="1"/>
    <x v="1"/>
    <x v="1"/>
    <x v="7"/>
    <x v="3"/>
    <n v="-5"/>
  </r>
  <r>
    <x v="200"/>
    <s v="Drink"/>
    <n v="5"/>
    <m/>
    <x v="1"/>
    <x v="1"/>
    <x v="1"/>
    <x v="7"/>
    <x v="4"/>
    <n v="-5"/>
  </r>
  <r>
    <x v="201"/>
    <s v="Green's"/>
    <n v="142.1"/>
    <m/>
    <x v="4"/>
    <x v="2"/>
    <x v="1"/>
    <x v="7"/>
    <x v="5"/>
    <n v="-142.1"/>
  </r>
  <r>
    <x v="201"/>
    <s v="Drink"/>
    <n v="5"/>
    <m/>
    <x v="1"/>
    <x v="1"/>
    <x v="1"/>
    <x v="7"/>
    <x v="5"/>
    <n v="-5"/>
  </r>
  <r>
    <x v="202"/>
    <s v="Drink"/>
    <n v="5"/>
    <m/>
    <x v="1"/>
    <x v="1"/>
    <x v="1"/>
    <x v="7"/>
    <x v="6"/>
    <n v="-5"/>
  </r>
  <r>
    <x v="202"/>
    <s v="Cinemas"/>
    <n v="46.8"/>
    <m/>
    <x v="6"/>
    <x v="4"/>
    <x v="1"/>
    <x v="7"/>
    <x v="6"/>
    <n v="-46.8"/>
  </r>
  <r>
    <x v="202"/>
    <s v="Fashionistas"/>
    <n v="104.70000000000002"/>
    <m/>
    <x v="7"/>
    <x v="4"/>
    <x v="1"/>
    <x v="7"/>
    <x v="6"/>
    <n v="-104.70000000000002"/>
  </r>
  <r>
    <x v="202"/>
    <s v="Burger"/>
    <n v="59.1"/>
    <m/>
    <x v="8"/>
    <x v="1"/>
    <x v="1"/>
    <x v="7"/>
    <x v="6"/>
    <n v="-59.1"/>
  </r>
  <r>
    <x v="203"/>
    <s v="Uba"/>
    <n v="35.1"/>
    <m/>
    <x v="9"/>
    <x v="3"/>
    <x v="1"/>
    <x v="7"/>
    <x v="0"/>
    <n v="-35.1"/>
  </r>
  <r>
    <x v="204"/>
    <s v="Onlne earning"/>
    <m/>
    <n v="800"/>
    <x v="10"/>
    <x v="5"/>
    <x v="0"/>
    <x v="7"/>
    <x v="1"/>
    <n v="800"/>
  </r>
  <r>
    <x v="204"/>
    <s v="Drink"/>
    <n v="5"/>
    <m/>
    <x v="1"/>
    <x v="1"/>
    <x v="1"/>
    <x v="7"/>
    <x v="1"/>
    <n v="-5"/>
  </r>
  <r>
    <x v="205"/>
    <s v="Drink"/>
    <n v="5"/>
    <m/>
    <x v="1"/>
    <x v="1"/>
    <x v="1"/>
    <x v="7"/>
    <x v="2"/>
    <n v="-5"/>
  </r>
  <r>
    <x v="205"/>
    <s v="Phone"/>
    <n v="40"/>
    <m/>
    <x v="12"/>
    <x v="2"/>
    <x v="1"/>
    <x v="7"/>
    <x v="2"/>
    <n v="-40"/>
  </r>
  <r>
    <x v="206"/>
    <s v="Sallah give away"/>
    <n v="52.1"/>
    <m/>
    <x v="13"/>
    <x v="4"/>
    <x v="1"/>
    <x v="7"/>
    <x v="3"/>
    <n v="-52.1"/>
  </r>
  <r>
    <x v="206"/>
    <s v="Online streaming"/>
    <n v="35"/>
    <m/>
    <x v="6"/>
    <x v="4"/>
    <x v="1"/>
    <x v="7"/>
    <x v="3"/>
    <n v="-35"/>
  </r>
  <r>
    <x v="206"/>
    <s v="Drink"/>
    <n v="5"/>
    <m/>
    <x v="1"/>
    <x v="1"/>
    <x v="1"/>
    <x v="7"/>
    <x v="3"/>
    <n v="-5"/>
  </r>
  <r>
    <x v="207"/>
    <s v="Drink"/>
    <n v="5"/>
    <m/>
    <x v="1"/>
    <x v="1"/>
    <x v="1"/>
    <x v="7"/>
    <x v="4"/>
    <n v="-5"/>
  </r>
  <r>
    <x v="208"/>
    <s v="Drink"/>
    <n v="5"/>
    <m/>
    <x v="1"/>
    <x v="1"/>
    <x v="1"/>
    <x v="7"/>
    <x v="5"/>
    <n v="-5"/>
  </r>
  <r>
    <x v="208"/>
    <s v="Green's"/>
    <n v="177"/>
    <m/>
    <x v="4"/>
    <x v="2"/>
    <x v="1"/>
    <x v="7"/>
    <x v="5"/>
    <n v="-177"/>
  </r>
  <r>
    <x v="209"/>
    <s v="Suya"/>
    <n v="44.2"/>
    <m/>
    <x v="8"/>
    <x v="1"/>
    <x v="1"/>
    <x v="7"/>
    <x v="6"/>
    <n v="-44.2"/>
  </r>
  <r>
    <x v="210"/>
    <s v="Oha soup/White soup"/>
    <n v="19.2"/>
    <m/>
    <x v="8"/>
    <x v="1"/>
    <x v="1"/>
    <x v="7"/>
    <x v="0"/>
    <n v="-19.2"/>
  </r>
  <r>
    <x v="211"/>
    <s v="Orphanage"/>
    <n v="55"/>
    <m/>
    <x v="14"/>
    <x v="6"/>
    <x v="1"/>
    <x v="7"/>
    <x v="1"/>
    <n v="-55"/>
  </r>
  <r>
    <x v="211"/>
    <s v="Fuel"/>
    <n v="69.700000000000017"/>
    <m/>
    <x v="15"/>
    <x v="3"/>
    <x v="1"/>
    <x v="7"/>
    <x v="1"/>
    <n v="-69.700000000000017"/>
  </r>
  <r>
    <x v="211"/>
    <s v="Drink"/>
    <n v="5"/>
    <m/>
    <x v="1"/>
    <x v="1"/>
    <x v="1"/>
    <x v="7"/>
    <x v="1"/>
    <n v="-5"/>
  </r>
  <r>
    <x v="212"/>
    <s v="Drink"/>
    <n v="5"/>
    <m/>
    <x v="1"/>
    <x v="1"/>
    <x v="1"/>
    <x v="7"/>
    <x v="2"/>
    <n v="-5"/>
  </r>
  <r>
    <x v="213"/>
    <s v="Drink"/>
    <n v="5"/>
    <m/>
    <x v="1"/>
    <x v="1"/>
    <x v="1"/>
    <x v="7"/>
    <x v="3"/>
    <n v="-5"/>
  </r>
  <r>
    <x v="214"/>
    <s v="Drink"/>
    <n v="5"/>
    <m/>
    <x v="1"/>
    <x v="1"/>
    <x v="1"/>
    <x v="7"/>
    <x v="4"/>
    <n v="-5"/>
  </r>
  <r>
    <x v="215"/>
    <s v="Drink"/>
    <n v="5"/>
    <m/>
    <x v="1"/>
    <x v="1"/>
    <x v="1"/>
    <x v="7"/>
    <x v="5"/>
    <n v="-5"/>
  </r>
  <r>
    <x v="215"/>
    <s v="Green's"/>
    <n v="117"/>
    <m/>
    <x v="4"/>
    <x v="2"/>
    <x v="1"/>
    <x v="7"/>
    <x v="5"/>
    <n v="-117"/>
  </r>
  <r>
    <x v="216"/>
    <s v="Trainers"/>
    <n v="131.9"/>
    <m/>
    <x v="7"/>
    <x v="4"/>
    <x v="1"/>
    <x v="7"/>
    <x v="6"/>
    <n v="-131.9"/>
  </r>
  <r>
    <x v="216"/>
    <s v="Hangingout/Ticket"/>
    <n v="182.39999999999998"/>
    <m/>
    <x v="6"/>
    <x v="4"/>
    <x v="1"/>
    <x v="7"/>
    <x v="6"/>
    <n v="-182.39999999999998"/>
  </r>
  <r>
    <x v="217"/>
    <s v="Fashionistas"/>
    <n v="152.29999999999998"/>
    <m/>
    <x v="7"/>
    <x v="4"/>
    <x v="1"/>
    <x v="7"/>
    <x v="0"/>
    <n v="-152.29999999999998"/>
  </r>
  <r>
    <x v="217"/>
    <s v="Uba"/>
    <n v="30.300000000000004"/>
    <m/>
    <x v="9"/>
    <x v="3"/>
    <x v="1"/>
    <x v="7"/>
    <x v="0"/>
    <n v="-30.300000000000004"/>
  </r>
  <r>
    <x v="217"/>
    <s v="Foodary"/>
    <n v="15"/>
    <m/>
    <x v="8"/>
    <x v="1"/>
    <x v="1"/>
    <x v="7"/>
    <x v="0"/>
    <n v="-15"/>
  </r>
  <r>
    <x v="218"/>
    <s v="Drink"/>
    <n v="5"/>
    <m/>
    <x v="1"/>
    <x v="1"/>
    <x v="1"/>
    <x v="7"/>
    <x v="1"/>
    <n v="-5"/>
  </r>
  <r>
    <x v="219"/>
    <s v="Drink"/>
    <n v="5"/>
    <m/>
    <x v="1"/>
    <x v="1"/>
    <x v="1"/>
    <x v="8"/>
    <x v="3"/>
    <n v="-5"/>
  </r>
  <r>
    <x v="219"/>
    <s v="Data With Decision"/>
    <m/>
    <n v="5000"/>
    <x v="0"/>
    <x v="0"/>
    <x v="0"/>
    <x v="8"/>
    <x v="3"/>
    <n v="5000"/>
  </r>
  <r>
    <x v="220"/>
    <s v="Drink"/>
    <n v="5"/>
    <m/>
    <x v="1"/>
    <x v="1"/>
    <x v="1"/>
    <x v="8"/>
    <x v="4"/>
    <n v="-5"/>
  </r>
  <r>
    <x v="221"/>
    <s v="Estate Mangement"/>
    <n v="900"/>
    <m/>
    <x v="2"/>
    <x v="2"/>
    <x v="1"/>
    <x v="8"/>
    <x v="6"/>
    <n v="-900"/>
  </r>
  <r>
    <x v="221"/>
    <s v="Financail upgrade"/>
    <n v="150"/>
    <m/>
    <x v="3"/>
    <x v="3"/>
    <x v="1"/>
    <x v="8"/>
    <x v="6"/>
    <n v="-150"/>
  </r>
  <r>
    <x v="221"/>
    <s v="Drink"/>
    <n v="5"/>
    <m/>
    <x v="1"/>
    <x v="1"/>
    <x v="1"/>
    <x v="8"/>
    <x v="6"/>
    <n v="-5"/>
  </r>
  <r>
    <x v="221"/>
    <s v="Drink"/>
    <n v="5"/>
    <m/>
    <x v="1"/>
    <x v="1"/>
    <x v="1"/>
    <x v="8"/>
    <x v="6"/>
    <n v="-5"/>
  </r>
  <r>
    <x v="222"/>
    <s v="Drink"/>
    <n v="5"/>
    <m/>
    <x v="1"/>
    <x v="1"/>
    <x v="1"/>
    <x v="8"/>
    <x v="0"/>
    <n v="-5"/>
  </r>
  <r>
    <x v="223"/>
    <s v="Drink"/>
    <n v="5"/>
    <m/>
    <x v="1"/>
    <x v="1"/>
    <x v="1"/>
    <x v="8"/>
    <x v="1"/>
    <n v="-5"/>
  </r>
  <r>
    <x v="223"/>
    <s v="Green's"/>
    <n v="163.39999999999998"/>
    <m/>
    <x v="4"/>
    <x v="2"/>
    <x v="1"/>
    <x v="8"/>
    <x v="1"/>
    <n v="-163.39999999999998"/>
  </r>
  <r>
    <x v="224"/>
    <s v="Power source"/>
    <n v="58.1"/>
    <m/>
    <x v="5"/>
    <x v="2"/>
    <x v="1"/>
    <x v="8"/>
    <x v="4"/>
    <n v="-58.1"/>
  </r>
  <r>
    <x v="224"/>
    <s v="Drink"/>
    <n v="5"/>
    <m/>
    <x v="1"/>
    <x v="1"/>
    <x v="1"/>
    <x v="8"/>
    <x v="4"/>
    <n v="-5"/>
  </r>
  <r>
    <x v="225"/>
    <s v="Drink"/>
    <n v="5"/>
    <m/>
    <x v="1"/>
    <x v="1"/>
    <x v="1"/>
    <x v="8"/>
    <x v="5"/>
    <n v="-5"/>
  </r>
  <r>
    <x v="226"/>
    <s v="Fuel"/>
    <n v="85.299999999999983"/>
    <m/>
    <x v="15"/>
    <x v="3"/>
    <x v="1"/>
    <x v="8"/>
    <x v="6"/>
    <n v="-85.299999999999983"/>
  </r>
  <r>
    <x v="226"/>
    <s v="Drink"/>
    <n v="5"/>
    <m/>
    <x v="1"/>
    <x v="1"/>
    <x v="1"/>
    <x v="8"/>
    <x v="6"/>
    <n v="-5"/>
  </r>
  <r>
    <x v="227"/>
    <s v="Drink"/>
    <n v="5"/>
    <m/>
    <x v="1"/>
    <x v="1"/>
    <x v="1"/>
    <x v="8"/>
    <x v="0"/>
    <n v="-5"/>
  </r>
  <r>
    <x v="228"/>
    <s v="Green's"/>
    <n v="143"/>
    <m/>
    <x v="4"/>
    <x v="2"/>
    <x v="1"/>
    <x v="8"/>
    <x v="1"/>
    <n v="-143"/>
  </r>
  <r>
    <x v="228"/>
    <s v="Drink"/>
    <n v="5"/>
    <m/>
    <x v="1"/>
    <x v="1"/>
    <x v="1"/>
    <x v="8"/>
    <x v="1"/>
    <n v="-5"/>
  </r>
  <r>
    <x v="229"/>
    <s v="Drink"/>
    <n v="5"/>
    <m/>
    <x v="1"/>
    <x v="1"/>
    <x v="1"/>
    <x v="8"/>
    <x v="2"/>
    <n v="-5"/>
  </r>
  <r>
    <x v="229"/>
    <s v="Cinemas"/>
    <n v="47.8"/>
    <m/>
    <x v="6"/>
    <x v="4"/>
    <x v="1"/>
    <x v="8"/>
    <x v="2"/>
    <n v="-47.8"/>
  </r>
  <r>
    <x v="229"/>
    <s v="Fashionistas"/>
    <n v="105.80000000000001"/>
    <m/>
    <x v="7"/>
    <x v="4"/>
    <x v="1"/>
    <x v="8"/>
    <x v="2"/>
    <n v="-105.80000000000001"/>
  </r>
  <r>
    <x v="229"/>
    <s v="Burger"/>
    <n v="60.1"/>
    <m/>
    <x v="8"/>
    <x v="1"/>
    <x v="1"/>
    <x v="8"/>
    <x v="2"/>
    <n v="-60.1"/>
  </r>
  <r>
    <x v="230"/>
    <s v="Uba"/>
    <n v="36.200000000000003"/>
    <m/>
    <x v="9"/>
    <x v="3"/>
    <x v="1"/>
    <x v="8"/>
    <x v="3"/>
    <n v="-36.200000000000003"/>
  </r>
  <r>
    <x v="231"/>
    <s v="Onlne earning"/>
    <m/>
    <n v="100"/>
    <x v="10"/>
    <x v="5"/>
    <x v="0"/>
    <x v="8"/>
    <x v="4"/>
    <n v="100"/>
  </r>
  <r>
    <x v="231"/>
    <s v="Drink"/>
    <n v="5"/>
    <m/>
    <x v="1"/>
    <x v="1"/>
    <x v="1"/>
    <x v="8"/>
    <x v="4"/>
    <n v="-5"/>
  </r>
  <r>
    <x v="232"/>
    <s v="Drink"/>
    <n v="5"/>
    <m/>
    <x v="1"/>
    <x v="1"/>
    <x v="1"/>
    <x v="8"/>
    <x v="5"/>
    <n v="-5"/>
  </r>
  <r>
    <x v="232"/>
    <s v="Phone"/>
    <n v="40"/>
    <m/>
    <x v="12"/>
    <x v="2"/>
    <x v="1"/>
    <x v="8"/>
    <x v="5"/>
    <n v="-40"/>
  </r>
  <r>
    <x v="233"/>
    <s v="Sallah give away"/>
    <n v="53"/>
    <m/>
    <x v="13"/>
    <x v="4"/>
    <x v="1"/>
    <x v="8"/>
    <x v="6"/>
    <n v="-53"/>
  </r>
  <r>
    <x v="233"/>
    <s v="Online streaming"/>
    <n v="35"/>
    <m/>
    <x v="6"/>
    <x v="4"/>
    <x v="1"/>
    <x v="8"/>
    <x v="6"/>
    <n v="-35"/>
  </r>
  <r>
    <x v="233"/>
    <s v="Drink"/>
    <n v="5"/>
    <m/>
    <x v="1"/>
    <x v="1"/>
    <x v="1"/>
    <x v="8"/>
    <x v="6"/>
    <n v="-5"/>
  </r>
  <r>
    <x v="234"/>
    <s v="Drink"/>
    <n v="5"/>
    <m/>
    <x v="1"/>
    <x v="1"/>
    <x v="1"/>
    <x v="8"/>
    <x v="0"/>
    <n v="-5"/>
  </r>
  <r>
    <x v="235"/>
    <s v="Drink"/>
    <n v="5"/>
    <m/>
    <x v="1"/>
    <x v="1"/>
    <x v="1"/>
    <x v="8"/>
    <x v="1"/>
    <n v="-5"/>
  </r>
  <r>
    <x v="235"/>
    <s v="Green's"/>
    <n v="177.9"/>
    <m/>
    <x v="4"/>
    <x v="2"/>
    <x v="1"/>
    <x v="8"/>
    <x v="1"/>
    <n v="-177.9"/>
  </r>
  <r>
    <x v="236"/>
    <s v="Suya"/>
    <n v="45.300000000000004"/>
    <m/>
    <x v="8"/>
    <x v="1"/>
    <x v="1"/>
    <x v="8"/>
    <x v="2"/>
    <n v="-45.300000000000004"/>
  </r>
  <r>
    <x v="237"/>
    <s v="Oha soup/White soup"/>
    <n v="20.099999999999998"/>
    <m/>
    <x v="8"/>
    <x v="1"/>
    <x v="1"/>
    <x v="8"/>
    <x v="3"/>
    <n v="-20.099999999999998"/>
  </r>
  <r>
    <x v="238"/>
    <s v="Orphanage"/>
    <n v="55"/>
    <m/>
    <x v="14"/>
    <x v="6"/>
    <x v="1"/>
    <x v="8"/>
    <x v="4"/>
    <n v="-55"/>
  </r>
  <r>
    <x v="238"/>
    <s v="Fuel"/>
    <n v="70.600000000000023"/>
    <m/>
    <x v="15"/>
    <x v="3"/>
    <x v="1"/>
    <x v="8"/>
    <x v="4"/>
    <n v="-70.600000000000023"/>
  </r>
  <r>
    <x v="238"/>
    <s v="Drink"/>
    <n v="5"/>
    <m/>
    <x v="1"/>
    <x v="1"/>
    <x v="1"/>
    <x v="8"/>
    <x v="4"/>
    <n v="-5"/>
  </r>
  <r>
    <x v="239"/>
    <s v="Drink"/>
    <n v="5"/>
    <m/>
    <x v="1"/>
    <x v="1"/>
    <x v="1"/>
    <x v="8"/>
    <x v="5"/>
    <n v="-5"/>
  </r>
  <r>
    <x v="240"/>
    <s v="Drink"/>
    <n v="5"/>
    <m/>
    <x v="1"/>
    <x v="1"/>
    <x v="1"/>
    <x v="8"/>
    <x v="6"/>
    <n v="-5"/>
  </r>
  <r>
    <x v="241"/>
    <s v="Drink"/>
    <n v="5"/>
    <m/>
    <x v="1"/>
    <x v="1"/>
    <x v="1"/>
    <x v="8"/>
    <x v="0"/>
    <n v="-5"/>
  </r>
  <r>
    <x v="242"/>
    <s v="Drink"/>
    <n v="5"/>
    <m/>
    <x v="1"/>
    <x v="1"/>
    <x v="1"/>
    <x v="8"/>
    <x v="1"/>
    <n v="-5"/>
  </r>
  <r>
    <x v="242"/>
    <s v="Green's"/>
    <n v="223"/>
    <m/>
    <x v="4"/>
    <x v="2"/>
    <x v="1"/>
    <x v="8"/>
    <x v="1"/>
    <n v="-223"/>
  </r>
  <r>
    <x v="243"/>
    <s v="Trainers"/>
    <n v="132.9"/>
    <m/>
    <x v="7"/>
    <x v="4"/>
    <x v="1"/>
    <x v="8"/>
    <x v="2"/>
    <n v="-132.9"/>
  </r>
  <r>
    <x v="243"/>
    <s v="Global Fashion"/>
    <n v="175"/>
    <m/>
    <x v="7"/>
    <x v="4"/>
    <x v="1"/>
    <x v="8"/>
    <x v="2"/>
    <n v="-175"/>
  </r>
  <r>
    <x v="244"/>
    <s v="Fashionistas"/>
    <n v="153.39999999999998"/>
    <m/>
    <x v="7"/>
    <x v="4"/>
    <x v="1"/>
    <x v="8"/>
    <x v="3"/>
    <n v="-153.39999999999998"/>
  </r>
  <r>
    <x v="244"/>
    <s v="Uba"/>
    <n v="31.200000000000003"/>
    <m/>
    <x v="9"/>
    <x v="3"/>
    <x v="1"/>
    <x v="8"/>
    <x v="3"/>
    <n v="-31.200000000000003"/>
  </r>
  <r>
    <x v="244"/>
    <s v="Foodary"/>
    <n v="15"/>
    <m/>
    <x v="8"/>
    <x v="1"/>
    <x v="1"/>
    <x v="8"/>
    <x v="3"/>
    <n v="-15"/>
  </r>
  <r>
    <x v="245"/>
    <s v="Drink"/>
    <n v="5"/>
    <m/>
    <x v="1"/>
    <x v="1"/>
    <x v="1"/>
    <x v="9"/>
    <x v="4"/>
    <n v="-5"/>
  </r>
  <r>
    <x v="246"/>
    <s v="Drink"/>
    <n v="5"/>
    <m/>
    <x v="1"/>
    <x v="1"/>
    <x v="1"/>
    <x v="9"/>
    <x v="6"/>
    <n v="-5"/>
  </r>
  <r>
    <x v="246"/>
    <s v="Data With Decision"/>
    <m/>
    <n v="5000"/>
    <x v="0"/>
    <x v="0"/>
    <x v="0"/>
    <x v="9"/>
    <x v="6"/>
    <n v="5000"/>
  </r>
  <r>
    <x v="247"/>
    <s v="Drink"/>
    <n v="5"/>
    <m/>
    <x v="1"/>
    <x v="1"/>
    <x v="1"/>
    <x v="9"/>
    <x v="0"/>
    <n v="-5"/>
  </r>
  <r>
    <x v="248"/>
    <s v="Estate Mangement"/>
    <n v="900"/>
    <m/>
    <x v="2"/>
    <x v="2"/>
    <x v="1"/>
    <x v="9"/>
    <x v="2"/>
    <n v="-900"/>
  </r>
  <r>
    <x v="248"/>
    <s v="Financail upgrade"/>
    <n v="150"/>
    <m/>
    <x v="3"/>
    <x v="3"/>
    <x v="1"/>
    <x v="9"/>
    <x v="2"/>
    <n v="-150"/>
  </r>
  <r>
    <x v="248"/>
    <s v="Drink"/>
    <n v="5"/>
    <m/>
    <x v="1"/>
    <x v="1"/>
    <x v="1"/>
    <x v="9"/>
    <x v="2"/>
    <n v="-5"/>
  </r>
  <r>
    <x v="248"/>
    <s v="Drink"/>
    <n v="5"/>
    <m/>
    <x v="1"/>
    <x v="1"/>
    <x v="1"/>
    <x v="9"/>
    <x v="2"/>
    <n v="-5"/>
  </r>
  <r>
    <x v="249"/>
    <s v="Drink"/>
    <n v="5"/>
    <m/>
    <x v="1"/>
    <x v="1"/>
    <x v="1"/>
    <x v="9"/>
    <x v="3"/>
    <n v="-5"/>
  </r>
  <r>
    <x v="250"/>
    <s v="Drink"/>
    <n v="5"/>
    <m/>
    <x v="1"/>
    <x v="1"/>
    <x v="1"/>
    <x v="9"/>
    <x v="4"/>
    <n v="-5"/>
  </r>
  <r>
    <x v="250"/>
    <s v="Green's"/>
    <n v="105"/>
    <m/>
    <x v="4"/>
    <x v="2"/>
    <x v="1"/>
    <x v="9"/>
    <x v="4"/>
    <n v="-105"/>
  </r>
  <r>
    <x v="251"/>
    <s v="Power source"/>
    <n v="59"/>
    <m/>
    <x v="5"/>
    <x v="2"/>
    <x v="1"/>
    <x v="9"/>
    <x v="0"/>
    <n v="-59"/>
  </r>
  <r>
    <x v="251"/>
    <s v="Drink"/>
    <n v="5"/>
    <m/>
    <x v="1"/>
    <x v="1"/>
    <x v="1"/>
    <x v="9"/>
    <x v="0"/>
    <n v="-5"/>
  </r>
  <r>
    <x v="252"/>
    <s v="Drink"/>
    <n v="5"/>
    <m/>
    <x v="1"/>
    <x v="1"/>
    <x v="1"/>
    <x v="9"/>
    <x v="1"/>
    <n v="-5"/>
  </r>
  <r>
    <x v="253"/>
    <s v="Fuel"/>
    <n v="86.399999999999977"/>
    <m/>
    <x v="15"/>
    <x v="3"/>
    <x v="1"/>
    <x v="9"/>
    <x v="2"/>
    <n v="-86.399999999999977"/>
  </r>
  <r>
    <x v="253"/>
    <s v="Drink"/>
    <n v="5"/>
    <m/>
    <x v="1"/>
    <x v="1"/>
    <x v="1"/>
    <x v="9"/>
    <x v="2"/>
    <n v="-5"/>
  </r>
  <r>
    <x v="254"/>
    <s v="Drink"/>
    <n v="5"/>
    <m/>
    <x v="1"/>
    <x v="1"/>
    <x v="1"/>
    <x v="9"/>
    <x v="3"/>
    <n v="-5"/>
  </r>
  <r>
    <x v="255"/>
    <s v="Green's"/>
    <n v="143.9"/>
    <m/>
    <x v="4"/>
    <x v="2"/>
    <x v="1"/>
    <x v="9"/>
    <x v="4"/>
    <n v="-143.9"/>
  </r>
  <r>
    <x v="255"/>
    <s v="Drink"/>
    <n v="5"/>
    <m/>
    <x v="1"/>
    <x v="1"/>
    <x v="1"/>
    <x v="9"/>
    <x v="4"/>
    <n v="-5"/>
  </r>
  <r>
    <x v="256"/>
    <s v="Drink"/>
    <n v="5"/>
    <m/>
    <x v="1"/>
    <x v="1"/>
    <x v="1"/>
    <x v="9"/>
    <x v="5"/>
    <n v="-5"/>
  </r>
  <r>
    <x v="256"/>
    <s v="Cinemas"/>
    <n v="48.8"/>
    <m/>
    <x v="6"/>
    <x v="4"/>
    <x v="1"/>
    <x v="9"/>
    <x v="5"/>
    <n v="-48.8"/>
  </r>
  <r>
    <x v="256"/>
    <s v="Fashionistas"/>
    <n v="106.70000000000002"/>
    <m/>
    <x v="7"/>
    <x v="4"/>
    <x v="1"/>
    <x v="9"/>
    <x v="5"/>
    <n v="-106.70000000000002"/>
  </r>
  <r>
    <x v="256"/>
    <s v="Burger"/>
    <n v="61.1"/>
    <m/>
    <x v="8"/>
    <x v="1"/>
    <x v="1"/>
    <x v="9"/>
    <x v="5"/>
    <n v="-61.1"/>
  </r>
  <r>
    <x v="257"/>
    <s v="Uba"/>
    <n v="37.200000000000003"/>
    <m/>
    <x v="9"/>
    <x v="3"/>
    <x v="1"/>
    <x v="9"/>
    <x v="6"/>
    <n v="-37.200000000000003"/>
  </r>
  <r>
    <x v="258"/>
    <s v="Onlne earning"/>
    <m/>
    <n v="100"/>
    <x v="10"/>
    <x v="5"/>
    <x v="0"/>
    <x v="9"/>
    <x v="0"/>
    <n v="100"/>
  </r>
  <r>
    <x v="258"/>
    <s v="Drink"/>
    <n v="5"/>
    <m/>
    <x v="1"/>
    <x v="1"/>
    <x v="1"/>
    <x v="9"/>
    <x v="0"/>
    <n v="-5"/>
  </r>
  <r>
    <x v="259"/>
    <s v="Drink"/>
    <n v="5"/>
    <m/>
    <x v="1"/>
    <x v="1"/>
    <x v="1"/>
    <x v="9"/>
    <x v="1"/>
    <n v="-5"/>
  </r>
  <r>
    <x v="259"/>
    <s v="Taken medication"/>
    <n v="75"/>
    <m/>
    <x v="16"/>
    <x v="7"/>
    <x v="1"/>
    <x v="9"/>
    <x v="1"/>
    <n v="-75"/>
  </r>
  <r>
    <x v="259"/>
    <s v="Phone"/>
    <n v="40"/>
    <m/>
    <x v="12"/>
    <x v="2"/>
    <x v="1"/>
    <x v="9"/>
    <x v="1"/>
    <n v="-40"/>
  </r>
  <r>
    <x v="260"/>
    <s v="Sallah give away"/>
    <n v="54.1"/>
    <m/>
    <x v="13"/>
    <x v="4"/>
    <x v="1"/>
    <x v="9"/>
    <x v="2"/>
    <n v="-54.1"/>
  </r>
  <r>
    <x v="260"/>
    <s v="Online streaming"/>
    <n v="35"/>
    <m/>
    <x v="6"/>
    <x v="4"/>
    <x v="1"/>
    <x v="9"/>
    <x v="2"/>
    <n v="-35"/>
  </r>
  <r>
    <x v="260"/>
    <s v="Drink"/>
    <n v="5"/>
    <m/>
    <x v="1"/>
    <x v="1"/>
    <x v="1"/>
    <x v="9"/>
    <x v="2"/>
    <n v="-5"/>
  </r>
  <r>
    <x v="261"/>
    <s v="Drink"/>
    <n v="5"/>
    <m/>
    <x v="1"/>
    <x v="1"/>
    <x v="1"/>
    <x v="9"/>
    <x v="3"/>
    <n v="-5"/>
  </r>
  <r>
    <x v="262"/>
    <s v="Drink"/>
    <n v="5"/>
    <m/>
    <x v="1"/>
    <x v="1"/>
    <x v="1"/>
    <x v="9"/>
    <x v="4"/>
    <n v="-5"/>
  </r>
  <r>
    <x v="262"/>
    <s v="Green's"/>
    <n v="178.9"/>
    <m/>
    <x v="4"/>
    <x v="2"/>
    <x v="1"/>
    <x v="9"/>
    <x v="4"/>
    <n v="-178.9"/>
  </r>
  <r>
    <x v="263"/>
    <s v="Suya"/>
    <n v="46.2"/>
    <m/>
    <x v="8"/>
    <x v="1"/>
    <x v="1"/>
    <x v="9"/>
    <x v="5"/>
    <n v="-46.2"/>
  </r>
  <r>
    <x v="264"/>
    <s v="Oha soup/White soup"/>
    <n v="21.099999999999998"/>
    <m/>
    <x v="8"/>
    <x v="1"/>
    <x v="1"/>
    <x v="9"/>
    <x v="6"/>
    <n v="-21.099999999999998"/>
  </r>
  <r>
    <x v="265"/>
    <s v="Orphanage"/>
    <n v="55"/>
    <m/>
    <x v="14"/>
    <x v="6"/>
    <x v="1"/>
    <x v="9"/>
    <x v="0"/>
    <n v="-55"/>
  </r>
  <r>
    <x v="265"/>
    <s v="Fuel"/>
    <n v="71.500000000000028"/>
    <m/>
    <x v="15"/>
    <x v="3"/>
    <x v="1"/>
    <x v="9"/>
    <x v="0"/>
    <n v="-71.500000000000028"/>
  </r>
  <r>
    <x v="265"/>
    <s v="Drink"/>
    <n v="5"/>
    <m/>
    <x v="1"/>
    <x v="1"/>
    <x v="1"/>
    <x v="9"/>
    <x v="0"/>
    <n v="-5"/>
  </r>
  <r>
    <x v="266"/>
    <s v="Drink"/>
    <n v="5"/>
    <m/>
    <x v="1"/>
    <x v="1"/>
    <x v="1"/>
    <x v="9"/>
    <x v="1"/>
    <n v="-5"/>
  </r>
  <r>
    <x v="267"/>
    <s v="Drink"/>
    <n v="5"/>
    <m/>
    <x v="1"/>
    <x v="1"/>
    <x v="1"/>
    <x v="9"/>
    <x v="2"/>
    <n v="-5"/>
  </r>
  <r>
    <x v="268"/>
    <s v="Drink"/>
    <n v="5"/>
    <m/>
    <x v="1"/>
    <x v="1"/>
    <x v="1"/>
    <x v="9"/>
    <x v="3"/>
    <n v="-5"/>
  </r>
  <r>
    <x v="269"/>
    <s v="Drink"/>
    <n v="5"/>
    <m/>
    <x v="1"/>
    <x v="1"/>
    <x v="1"/>
    <x v="9"/>
    <x v="4"/>
    <n v="-5"/>
  </r>
  <r>
    <x v="269"/>
    <s v="Green's"/>
    <n v="189"/>
    <m/>
    <x v="4"/>
    <x v="2"/>
    <x v="1"/>
    <x v="9"/>
    <x v="4"/>
    <n v="-189"/>
  </r>
  <r>
    <x v="270"/>
    <s v="Trainers"/>
    <n v="133.80000000000001"/>
    <m/>
    <x v="7"/>
    <x v="4"/>
    <x v="1"/>
    <x v="9"/>
    <x v="5"/>
    <n v="-133.80000000000001"/>
  </r>
  <r>
    <x v="270"/>
    <s v="Hangingout/Ticket"/>
    <n v="184.39999999999998"/>
    <m/>
    <x v="6"/>
    <x v="4"/>
    <x v="1"/>
    <x v="9"/>
    <x v="5"/>
    <n v="-184.39999999999998"/>
  </r>
  <r>
    <x v="271"/>
    <s v="Fashionistas"/>
    <n v="154.49999999999997"/>
    <m/>
    <x v="7"/>
    <x v="4"/>
    <x v="1"/>
    <x v="9"/>
    <x v="6"/>
    <n v="-154.49999999999997"/>
  </r>
  <r>
    <x v="271"/>
    <s v="Uba"/>
    <n v="32.1"/>
    <m/>
    <x v="9"/>
    <x v="3"/>
    <x v="1"/>
    <x v="9"/>
    <x v="6"/>
    <n v="-32.1"/>
  </r>
  <r>
    <x v="271"/>
    <s v="Foodary"/>
    <n v="15"/>
    <m/>
    <x v="8"/>
    <x v="1"/>
    <x v="1"/>
    <x v="9"/>
    <x v="6"/>
    <n v="-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9D8FC1-F261-435E-884E-F02CFB15B83C}"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6">
  <location ref="N6:O12" firstHeaderRow="1" firstDataRow="1"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compact="0" outline="0" showAll="0"/>
    <pivotField axis="axisRow" compact="0" outline="0" showAll="0">
      <items count="9">
        <item x="6"/>
        <item x="1"/>
        <item x="4"/>
        <item x="2"/>
        <item x="7"/>
        <item x="5"/>
        <item x="0"/>
        <item x="3"/>
        <item t="default"/>
      </items>
    </pivotField>
    <pivotField axis="axisPage" compact="0" outline="0" multipleItemSelectionAllowed="1" showAll="0">
      <items count="3">
        <item x="1"/>
        <item h="1" x="0"/>
        <item t="default"/>
      </items>
    </pivotField>
    <pivotField compact="0" outline="0" showAll="0"/>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5"/>
  </rowFields>
  <rowItems count="6">
    <i>
      <x/>
    </i>
    <i>
      <x v="1"/>
    </i>
    <i>
      <x v="2"/>
    </i>
    <i>
      <x v="3"/>
    </i>
    <i>
      <x v="4"/>
    </i>
    <i>
      <x v="7"/>
    </i>
  </rowItems>
  <colItems count="1">
    <i/>
  </colItems>
  <pageFields count="1">
    <pageField fld="6" hier="-1"/>
  </pageFields>
  <dataFields count="1">
    <dataField name=" Debit" fld="2" baseField="0" baseItem="0"/>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5" type="button" dataOnly="0" labelOnly="1" outline="0" axis="axisRow" fieldPosition="0"/>
    </format>
    <format dxfId="2">
      <pivotArea dataOnly="0" labelOnly="1" outline="0" fieldPosition="0">
        <references count="1">
          <reference field="5" count="6">
            <x v="0"/>
            <x v="1"/>
            <x v="2"/>
            <x v="3"/>
            <x v="4"/>
            <x v="7"/>
          </reference>
        </references>
      </pivotArea>
    </format>
    <format dxfId="1">
      <pivotArea dataOnly="0" labelOnly="1" outline="0" axis="axisValues" fieldPosition="0"/>
    </format>
    <format dxfId="0">
      <pivotArea dataOnly="0" labelOnly="1" outline="0" fieldPosition="0">
        <references count="1">
          <reference field="5" count="6">
            <x v="0"/>
            <x v="1"/>
            <x v="2"/>
            <x v="3"/>
            <x v="4"/>
            <x v="7"/>
          </reference>
        </references>
      </pivotArea>
    </format>
  </formats>
  <chartFormats count="2">
    <chartFormat chart="4" format="3"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C10CB79-B64F-499F-9203-5596FA3D0DA9}"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5">
  <location ref="G6:H16"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compact="0" outline="0" showAll="0"/>
    <pivotField compact="0" outline="0" showAll="0">
      <items count="9">
        <item x="6"/>
        <item x="1"/>
        <item x="4"/>
        <item x="2"/>
        <item x="7"/>
        <item x="5"/>
        <item x="0"/>
        <item x="3"/>
        <item t="default"/>
      </items>
    </pivotField>
    <pivotField compact="0" outline="0" showAll="0"/>
    <pivotField compact="0" outline="0" showAll="0"/>
    <pivotField compact="0" numFmtId="164" outline="0" showAll="0"/>
    <pivotField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10"/>
  </rowFields>
  <rowItems count="10">
    <i>
      <x v="1"/>
    </i>
    <i>
      <x v="2"/>
    </i>
    <i>
      <x v="3"/>
    </i>
    <i>
      <x v="4"/>
    </i>
    <i>
      <x v="5"/>
    </i>
    <i>
      <x v="6"/>
    </i>
    <i>
      <x v="7"/>
    </i>
    <i>
      <x v="8"/>
    </i>
    <i>
      <x v="9"/>
    </i>
    <i>
      <x v="10"/>
    </i>
  </rowItems>
  <colItems count="1">
    <i/>
  </colItems>
  <dataFields count="1">
    <dataField name="Sum of Debit" fld="2" baseField="0" baseItem="0"/>
  </dataFields>
  <formats count="12">
    <format dxfId="18">
      <pivotArea outline="0" collapsedLevelsAreSubtotals="1" fieldPosition="0"/>
    </format>
    <format dxfId="17">
      <pivotArea type="all" dataOnly="0" outline="0" fieldPosition="0"/>
    </format>
    <format dxfId="16">
      <pivotArea outline="0" collapsedLevelsAreSubtotals="1" fieldPosition="0"/>
    </format>
    <format dxfId="15">
      <pivotArea field="10" type="button" dataOnly="0" labelOnly="1" outline="0" axis="axisRow" fieldPosition="0"/>
    </format>
    <format dxfId="14">
      <pivotArea dataOnly="0" labelOnly="1" outline="0" fieldPosition="0">
        <references count="1">
          <reference field="10" count="10">
            <x v="1"/>
            <x v="2"/>
            <x v="3"/>
            <x v="4"/>
            <x v="5"/>
            <x v="6"/>
            <x v="7"/>
            <x v="8"/>
            <x v="9"/>
            <x v="10"/>
          </reference>
        </references>
      </pivotArea>
    </format>
    <format dxfId="13">
      <pivotArea dataOnly="0" labelOnly="1" outline="0" axis="axisValues" fieldPosition="0"/>
    </format>
    <format dxfId="12">
      <pivotArea dataOnly="0" labelOnly="1" outline="0" fieldPosition="0">
        <references count="1">
          <reference field="10" count="10">
            <x v="1"/>
            <x v="2"/>
            <x v="3"/>
            <x v="4"/>
            <x v="5"/>
            <x v="6"/>
            <x v="7"/>
            <x v="8"/>
            <x v="9"/>
            <x v="10"/>
          </reference>
        </references>
      </pivotArea>
    </format>
    <format dxfId="11">
      <pivotArea type="all" dataOnly="0" outline="0" fieldPosition="0"/>
    </format>
    <format dxfId="10">
      <pivotArea outline="0" collapsedLevelsAreSubtotals="1" fieldPosition="0"/>
    </format>
    <format dxfId="9">
      <pivotArea field="10" type="button" dataOnly="0" labelOnly="1" outline="0" axis="axisRow" fieldPosition="0"/>
    </format>
    <format dxfId="8">
      <pivotArea dataOnly="0" labelOnly="1" outline="0" fieldPosition="0">
        <references count="1">
          <reference field="10" count="10">
            <x v="1"/>
            <x v="2"/>
            <x v="3"/>
            <x v="4"/>
            <x v="5"/>
            <x v="6"/>
            <x v="7"/>
            <x v="8"/>
            <x v="9"/>
            <x v="10"/>
          </reference>
        </references>
      </pivotArea>
    </format>
    <format dxfId="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12F7E6-0D48-418C-A397-222FBAFD9065}"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D6:E16"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pivotField dataField="1" compact="0" outline="0" showAll="0"/>
    <pivotField axis="axisRow"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10"/>
  </rowFields>
  <rowItems count="10">
    <i>
      <x v="1"/>
    </i>
    <i>
      <x v="2"/>
    </i>
    <i>
      <x v="3"/>
    </i>
    <i>
      <x v="4"/>
    </i>
    <i>
      <x v="5"/>
    </i>
    <i>
      <x v="6"/>
    </i>
    <i>
      <x v="7"/>
    </i>
    <i>
      <x v="8"/>
    </i>
    <i>
      <x v="9"/>
    </i>
    <i>
      <x v="10"/>
    </i>
  </rowItems>
  <colItems count="1">
    <i/>
  </colItems>
  <dataFields count="1">
    <dataField name="Sum of Amount" fld="9" baseField="0" baseItem="0"/>
  </dataFields>
  <formats count="7">
    <format dxfId="25">
      <pivotArea outline="0" collapsedLevelsAreSubtotals="1" fieldPosition="0"/>
    </format>
    <format dxfId="24">
      <pivotArea type="all" dataOnly="0" outline="0" fieldPosition="0"/>
    </format>
    <format dxfId="23">
      <pivotArea outline="0" collapsedLevelsAreSubtotals="1" fieldPosition="0"/>
    </format>
    <format dxfId="22">
      <pivotArea field="10" type="button" dataOnly="0" labelOnly="1" outline="0" axis="axisRow" fieldPosition="0"/>
    </format>
    <format dxfId="21">
      <pivotArea dataOnly="0" labelOnly="1" outline="0" fieldPosition="0">
        <references count="1">
          <reference field="10" count="10">
            <x v="1"/>
            <x v="2"/>
            <x v="3"/>
            <x v="4"/>
            <x v="5"/>
            <x v="6"/>
            <x v="7"/>
            <x v="8"/>
            <x v="9"/>
            <x v="10"/>
          </reference>
        </references>
      </pivotArea>
    </format>
    <format dxfId="20">
      <pivotArea dataOnly="0" labelOnly="1" outline="0" axis="axisValues" fieldPosition="0"/>
    </format>
    <format dxfId="19">
      <pivotArea dataOnly="0" labelOnly="1" outline="0" fieldPosition="0">
        <references count="1">
          <reference field="10" count="10">
            <x v="1"/>
            <x v="2"/>
            <x v="3"/>
            <x v="4"/>
            <x v="5"/>
            <x v="6"/>
            <x v="7"/>
            <x v="8"/>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792A18-426E-4FC6-A85C-31D8290B0F57}"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6">
  <location ref="J6:L7" firstHeaderRow="0" firstDataRow="1" firstDataCol="0"/>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dataField="1" compact="0" outline="0" showAll="0"/>
    <pivotField compact="0" outline="0" showAll="0"/>
    <pivotField compact="0" outline="0" showAll="0"/>
    <pivotField compact="0" outline="0" multipleItemSelectionAllowed="1" showAll="0"/>
    <pivotField compact="0" outline="0" showAll="0">
      <items count="13">
        <item x="0"/>
        <item x="1"/>
        <item x="2"/>
        <item x="3"/>
        <item x="4"/>
        <item x="5"/>
        <item x="6"/>
        <item x="7"/>
        <item x="8"/>
        <item x="9"/>
        <item m="1" x="10"/>
        <item m="1" x="11"/>
        <item t="default"/>
      </items>
    </pivotField>
    <pivotField compact="0" numFmtId="164" outline="0" showAll="0"/>
    <pivotField dataField="1"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Items count="1">
    <i/>
  </rowItems>
  <colFields count="1">
    <field x="-2"/>
  </colFields>
  <colItems count="3">
    <i>
      <x/>
    </i>
    <i i="1">
      <x v="1"/>
    </i>
    <i i="2">
      <x v="2"/>
    </i>
  </colItems>
  <dataFields count="3">
    <dataField name=" Debit" fld="2" baseField="0" baseItem="0"/>
    <dataField name=" Credit" fld="3" baseField="0" baseItem="0"/>
    <dataField name=" Amount" fld="9" baseField="0" baseItem="0"/>
  </dataFields>
  <formats count="4">
    <format dxfId="29">
      <pivotArea outline="0" collapsedLevelsAreSubtotals="1" fieldPosition="0"/>
    </format>
    <format dxfId="28">
      <pivotArea type="all" dataOnly="0" outline="0" fieldPosition="0"/>
    </format>
    <format dxfId="27">
      <pivotArea outline="0" collapsedLevelsAreSubtotals="1" fieldPosition="0"/>
    </format>
    <format dxfId="26">
      <pivotArea dataOnly="0" labelOnly="1" outline="0" fieldPosition="0">
        <references count="1">
          <reference field="4294967294" count="3">
            <x v="0"/>
            <x v="1"/>
            <x v="2"/>
          </reference>
        </references>
      </pivotArea>
    </format>
  </formats>
  <chartFormats count="7">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324DD5-E54B-4E88-9C46-8EDB1D517118}"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9">
  <location ref="Z8:AF16" firstHeaderRow="1" firstDataRow="2"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compact="0" outline="0" showAll="0"/>
    <pivotField axis="axisCol" compact="0" outline="0" showAll="0">
      <items count="9">
        <item x="6"/>
        <item x="1"/>
        <item x="4"/>
        <item x="2"/>
        <item x="7"/>
        <item x="5"/>
        <item x="0"/>
        <item x="3"/>
        <item t="default"/>
      </items>
    </pivotField>
    <pivotField axis="axisPage" compact="0" outline="0" multipleItemSelectionAllowed="1" showAll="0">
      <items count="3">
        <item x="1"/>
        <item h="1" x="0"/>
        <item t="default"/>
      </items>
    </pivotField>
    <pivotField compact="0" outline="0" showAll="0">
      <items count="13">
        <item x="0"/>
        <item x="1"/>
        <item x="2"/>
        <item x="3"/>
        <item x="4"/>
        <item x="5"/>
        <item x="6"/>
        <item x="7"/>
        <item x="8"/>
        <item x="9"/>
        <item m="1" x="10"/>
        <item m="1" x="11"/>
        <item t="default"/>
      </items>
    </pivotField>
    <pivotField axis="axisRow" compact="0" numFmtId="164" outline="0" showAll="0">
      <items count="8">
        <item x="6"/>
        <item x="0"/>
        <item x="1"/>
        <item x="2"/>
        <item x="3"/>
        <item x="4"/>
        <item x="5"/>
        <item t="default"/>
      </items>
    </pivotField>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8"/>
  </rowFields>
  <rowItems count="7">
    <i>
      <x/>
    </i>
    <i>
      <x v="1"/>
    </i>
    <i>
      <x v="2"/>
    </i>
    <i>
      <x v="3"/>
    </i>
    <i>
      <x v="4"/>
    </i>
    <i>
      <x v="5"/>
    </i>
    <i>
      <x v="6"/>
    </i>
  </rowItems>
  <colFields count="1">
    <field x="5"/>
  </colFields>
  <colItems count="6">
    <i>
      <x/>
    </i>
    <i>
      <x v="1"/>
    </i>
    <i>
      <x v="2"/>
    </i>
    <i>
      <x v="3"/>
    </i>
    <i>
      <x v="4"/>
    </i>
    <i>
      <x v="7"/>
    </i>
  </colItems>
  <pageFields count="1">
    <pageField fld="6" hier="-1"/>
  </pageFields>
  <dataFields count="1">
    <dataField name=" Debit" fld="2" baseField="0" baseItem="0"/>
  </dataFields>
  <formats count="5">
    <format dxfId="34">
      <pivotArea outline="0" collapsedLevelsAreSubtotals="1" fieldPosition="0"/>
    </format>
    <format dxfId="33">
      <pivotArea outline="0" collapsedLevelsAreSubtotals="1" fieldPosition="0"/>
    </format>
    <format dxfId="32">
      <pivotArea field="8" type="button" dataOnly="0" labelOnly="1" outline="0" axis="axisRow" fieldPosition="0"/>
    </format>
    <format dxfId="31">
      <pivotArea dataOnly="0" labelOnly="1" outline="0" fieldPosition="0">
        <references count="1">
          <reference field="8" count="0"/>
        </references>
      </pivotArea>
    </format>
    <format dxfId="30">
      <pivotArea dataOnly="0" labelOnly="1" outline="0" fieldPosition="0">
        <references count="1">
          <reference field="5" count="6">
            <x v="0"/>
            <x v="1"/>
            <x v="2"/>
            <x v="3"/>
            <x v="4"/>
            <x v="7"/>
          </reference>
        </references>
      </pivotArea>
    </format>
  </formats>
  <chartFormats count="9">
    <chartFormat chart="4" format="3"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8" format="12" series="1">
      <pivotArea type="data" outline="0" fieldPosition="0">
        <references count="2">
          <reference field="4294967294" count="1" selected="0">
            <x v="0"/>
          </reference>
          <reference field="5" count="1" selected="0">
            <x v="0"/>
          </reference>
        </references>
      </pivotArea>
    </chartFormat>
    <chartFormat chart="8" format="13" series="1">
      <pivotArea type="data" outline="0" fieldPosition="0">
        <references count="2">
          <reference field="4294967294" count="1" selected="0">
            <x v="0"/>
          </reference>
          <reference field="5" count="1" selected="0">
            <x v="1"/>
          </reference>
        </references>
      </pivotArea>
    </chartFormat>
    <chartFormat chart="8" format="14" series="1">
      <pivotArea type="data" outline="0" fieldPosition="0">
        <references count="2">
          <reference field="4294967294" count="1" selected="0">
            <x v="0"/>
          </reference>
          <reference field="5" count="1" selected="0">
            <x v="2"/>
          </reference>
        </references>
      </pivotArea>
    </chartFormat>
    <chartFormat chart="8" format="15" series="1">
      <pivotArea type="data" outline="0" fieldPosition="0">
        <references count="2">
          <reference field="4294967294" count="1" selected="0">
            <x v="0"/>
          </reference>
          <reference field="5" count="1" selected="0">
            <x v="3"/>
          </reference>
        </references>
      </pivotArea>
    </chartFormat>
    <chartFormat chart="8" format="16" series="1">
      <pivotArea type="data" outline="0" fieldPosition="0">
        <references count="2">
          <reference field="4294967294" count="1" selected="0">
            <x v="0"/>
          </reference>
          <reference field="5" count="1" selected="0">
            <x v="4"/>
          </reference>
        </references>
      </pivotArea>
    </chartFormat>
    <chartFormat chart="8" format="17" series="1">
      <pivotArea type="data" outline="0" fieldPosition="0">
        <references count="2">
          <reference field="4294967294" count="1" selected="0">
            <x v="0"/>
          </reference>
          <reference field="5" count="1" selected="0">
            <x v="7"/>
          </reference>
        </references>
      </pivotArea>
    </chartFormat>
    <chartFormat chart="8"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2B78F13-F624-4571-B3F0-A3EB15556C8D}"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2">
  <location ref="AQ6:AQ16"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pivotField compact="0" outline="0" multipleItemSelectionAllowed="1" showAll="0"/>
    <pivotField axis="axisRow" compact="0" outline="0" showAll="0">
      <items count="13">
        <item x="0"/>
        <item x="1"/>
        <item x="2"/>
        <item x="3"/>
        <item x="4"/>
        <item x="5"/>
        <item x="6"/>
        <item x="7"/>
        <item x="8"/>
        <item x="9"/>
        <item m="1" x="11"/>
        <item m="1" x="10"/>
        <item t="default"/>
      </items>
    </pivotField>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7"/>
  </rowFields>
  <rowItems count="10">
    <i>
      <x/>
    </i>
    <i>
      <x v="1"/>
    </i>
    <i>
      <x v="2"/>
    </i>
    <i>
      <x v="3"/>
    </i>
    <i>
      <x v="4"/>
    </i>
    <i>
      <x v="5"/>
    </i>
    <i>
      <x v="6"/>
    </i>
    <i>
      <x v="7"/>
    </i>
    <i>
      <x v="8"/>
    </i>
    <i>
      <x v="9"/>
    </i>
  </rowItems>
  <colItems count="1">
    <i/>
  </colItem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524CCBB-7065-4FBD-A181-F10637854F05}" name="PivotTable14" cacheId="0" applyNumberFormats="0" applyBorderFormats="0" applyFontFormats="0" applyPatternFormats="0" applyAlignmentFormats="0" applyWidthHeightFormats="1" dataCaption="Values" updatedVersion="8" minRefreshableVersion="3" useAutoFormatting="1" colGrandTotals="0" itemPrintTitles="1" createdVersion="6" indent="0" compact="0" compactData="0" multipleFieldFilters="0" chartFormat="12">
  <location ref="AI8:AJ14" firstHeaderRow="1" firstDataRow="1"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dataField="1" compact="0" outline="0" showAll="0"/>
    <pivotField compact="0" outline="0" showAll="0"/>
    <pivotField axis="axisRow" compact="0" outline="0" showAll="0" measureFilter="1" sortType="descending">
      <items count="20">
        <item x="3"/>
        <item x="7"/>
        <item x="1"/>
        <item x="16"/>
        <item x="14"/>
        <item x="6"/>
        <item x="15"/>
        <item x="17"/>
        <item x="5"/>
        <item x="13"/>
        <item x="4"/>
        <item x="12"/>
        <item x="2"/>
        <item x="8"/>
        <item m="1" x="18"/>
        <item x="9"/>
        <item x="11"/>
        <item x="10"/>
        <item x="0"/>
        <item t="default"/>
      </items>
      <autoSortScope>
        <pivotArea dataOnly="0" outline="0" fieldPosition="0">
          <references count="1">
            <reference field="4294967294" count="1" selected="0">
              <x v="0"/>
            </reference>
          </references>
        </pivotArea>
      </autoSortScope>
    </pivotField>
    <pivotField compact="0" outline="0"/>
    <pivotField axis="axisPage" compact="0" outline="0" multipleItemSelectionAllowed="1" showAll="0">
      <items count="3">
        <item x="1"/>
        <item h="1" x="0"/>
        <item t="default"/>
      </items>
    </pivotField>
    <pivotField compact="0" outline="0" showAll="0">
      <items count="13">
        <item x="0"/>
        <item x="1"/>
        <item x="2"/>
        <item x="3"/>
        <item x="4"/>
        <item x="5"/>
        <item x="6"/>
        <item x="7"/>
        <item x="8"/>
        <item x="9"/>
        <item m="1" x="10"/>
        <item m="1" x="11"/>
        <item t="default"/>
      </items>
    </pivotField>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4"/>
  </rowFields>
  <rowItems count="6">
    <i>
      <x v="12"/>
    </i>
    <i>
      <x v="10"/>
    </i>
    <i>
      <x v="1"/>
    </i>
    <i>
      <x v="5"/>
    </i>
    <i>
      <x/>
    </i>
    <i t="grand">
      <x/>
    </i>
  </rowItems>
  <colItems count="1">
    <i/>
  </colItems>
  <pageFields count="1">
    <pageField fld="6" hier="-1"/>
  </pageFields>
  <dataFields count="1">
    <dataField name="Sum of Debit" fld="2" baseField="0" baseItem="0"/>
  </dataFields>
  <formats count="7">
    <format dxfId="42">
      <pivotArea outline="0" collapsedLevelsAreSubtotals="1" fieldPosition="0"/>
    </format>
    <format dxfId="41">
      <pivotArea type="all" dataOnly="0" outline="0" fieldPosition="0"/>
    </format>
    <format dxfId="40">
      <pivotArea outline="0" collapsedLevelsAreSubtotals="1" fieldPosition="0"/>
    </format>
    <format dxfId="39">
      <pivotArea field="4" type="button" dataOnly="0" labelOnly="1" outline="0" axis="axisRow" fieldPosition="0"/>
    </format>
    <format dxfId="38">
      <pivotArea dataOnly="0" labelOnly="1" outline="0" fieldPosition="0">
        <references count="1">
          <reference field="4" count="5">
            <x v="0"/>
            <x v="1"/>
            <x v="5"/>
            <x v="10"/>
            <x v="12"/>
          </reference>
        </references>
      </pivotArea>
    </format>
    <format dxfId="37">
      <pivotArea dataOnly="0" labelOnly="1" grandRow="1" outline="0" fieldPosition="0"/>
    </format>
    <format dxfId="36">
      <pivotArea dataOnly="0" labelOnly="1" outline="0" axis="axisValues"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C9381F6-86A0-4D54-A44D-82F356EFE7BF}" name="PivotTable11" cacheId="0" applyNumberFormats="0" applyBorderFormats="0" applyFontFormats="0" applyPatternFormats="0" applyAlignmentFormats="0" applyWidthHeightFormats="1" dataCaption="Values" grandTotalCaption="Total Balance" updatedVersion="8" minRefreshableVersion="3" useAutoFormatting="1" colGrandTotals="0" itemPrintTitles="1" createdVersion="6" indent="0" compact="0" compactData="0" multipleFieldFilters="0" chartFormat="9">
  <location ref="V6:W15" firstHeaderRow="1" firstDataRow="1" firstDataCol="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axis="axisRow" compact="0" outline="0">
      <items count="9">
        <item x="0"/>
        <item x="5"/>
        <item x="2"/>
        <item x="4"/>
        <item x="3"/>
        <item x="1"/>
        <item x="6"/>
        <item x="7"/>
        <item t="default"/>
      </items>
    </pivotField>
    <pivotField compact="0" outline="0" multipleItemSelectionAllowed="1" showAll="0"/>
    <pivotField compact="0" outline="0" showAll="0">
      <items count="13">
        <item x="0"/>
        <item x="1"/>
        <item x="2"/>
        <item x="3"/>
        <item x="4"/>
        <item x="5"/>
        <item x="6"/>
        <item x="7"/>
        <item x="8"/>
        <item x="9"/>
        <item m="1" x="10"/>
        <item m="1" x="11"/>
        <item t="default"/>
      </items>
    </pivotField>
    <pivotField compact="0" numFmtId="164" outline="0" showAll="0"/>
    <pivotField dataField="1"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5"/>
  </rowFields>
  <rowItems count="9">
    <i>
      <x/>
    </i>
    <i>
      <x v="1"/>
    </i>
    <i>
      <x v="2"/>
    </i>
    <i>
      <x v="3"/>
    </i>
    <i>
      <x v="4"/>
    </i>
    <i>
      <x v="5"/>
    </i>
    <i>
      <x v="6"/>
    </i>
    <i>
      <x v="7"/>
    </i>
    <i t="grand">
      <x/>
    </i>
  </rowItems>
  <colItems count="1">
    <i/>
  </colItems>
  <dataFields count="1">
    <dataField name="Sum of Amount" fld="9" baseField="0" baseItem="0"/>
  </dataFields>
  <formats count="8">
    <format dxfId="50">
      <pivotArea outline="0" collapsedLevelsAreSubtotals="1" fieldPosition="0"/>
    </format>
    <format dxfId="49">
      <pivotArea type="all" dataOnly="0" outline="0" fieldPosition="0"/>
    </format>
    <format dxfId="48">
      <pivotArea outline="0" collapsedLevelsAreSubtotals="1" fieldPosition="0"/>
    </format>
    <format dxfId="47">
      <pivotArea field="5" type="button" dataOnly="0" labelOnly="1" outline="0" axis="axisRow" fieldPosition="0"/>
    </format>
    <format dxfId="46">
      <pivotArea dataOnly="0" labelOnly="1" outline="0" fieldPosition="0">
        <references count="1">
          <reference field="5" count="0"/>
        </references>
      </pivotArea>
    </format>
    <format dxfId="45">
      <pivotArea dataOnly="0" labelOnly="1" grandRow="1" outline="0" fieldPosition="0"/>
    </format>
    <format dxfId="44">
      <pivotArea dataOnly="0" labelOnly="1" outline="0" axis="axisValues" fieldPosition="0"/>
    </format>
    <format dxfId="43">
      <pivotArea dataOnly="0" labelOnly="1" outline="0"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DEBB4DD-7ADE-43AB-8894-DB8F2F40E5DA}"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9">
  <location ref="R6:S9" firstHeaderRow="1" firstDataRow="1" firstDataCol="1" rowPageCount="1" colPageCount="1"/>
  <pivotFields count="13">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dataField="1" compact="0" outline="0" showAll="0"/>
    <pivotField axis="axisRow" compact="0" outline="0" showAll="0">
      <items count="20">
        <item x="3"/>
        <item x="7"/>
        <item x="1"/>
        <item x="16"/>
        <item x="14"/>
        <item x="6"/>
        <item x="15"/>
        <item x="17"/>
        <item x="5"/>
        <item x="13"/>
        <item x="4"/>
        <item x="12"/>
        <item x="2"/>
        <item x="8"/>
        <item m="1" x="18"/>
        <item x="9"/>
        <item x="11"/>
        <item x="10"/>
        <item n="DWD" x="0"/>
        <item t="default"/>
      </items>
    </pivotField>
    <pivotField compact="0" outline="0" showAll="0"/>
    <pivotField axis="axisPage" compact="0" outline="0" multipleItemSelectionAllowed="1" showAll="0">
      <items count="3">
        <item h="1" x="1"/>
        <item x="0"/>
        <item t="default"/>
      </items>
    </pivotField>
    <pivotField compact="0" outline="0" showAll="0"/>
    <pivotField compact="0" numFmtId="164" outline="0" showAll="0"/>
    <pivotField compact="0" outline="0" showAll="0"/>
    <pivotField compact="0" outline="0" showAll="0">
      <items count="15">
        <item sd="0" x="0"/>
        <item sd="0" x="1"/>
        <item sd="0" x="2"/>
        <item sd="0" x="3"/>
        <item sd="0" x="4"/>
        <item sd="0" x="5"/>
        <item sd="0" x="6"/>
        <item sd="0" x="7"/>
        <item sd="0" x="8"/>
        <item sd="0" x="9"/>
        <item sd="0" x="10"/>
        <item sd="0" x="11"/>
        <item sd="0" x="12"/>
        <item sd="0" x="13"/>
        <item t="default"/>
      </items>
    </pivotField>
    <pivotField compact="0" outline="0" showAll="0">
      <items count="7">
        <item sd="0" x="0"/>
        <item sd="0" x="1"/>
        <item sd="0" x="2"/>
        <item sd="0" x="3"/>
        <item sd="0" x="4"/>
        <item x="5"/>
        <item t="default"/>
      </items>
    </pivotField>
    <pivotField compact="0" outline="0" showAll="0">
      <items count="4">
        <item sd="0" x="0"/>
        <item sd="0" x="1"/>
        <item x="2"/>
        <item t="default"/>
      </items>
    </pivotField>
  </pivotFields>
  <rowFields count="1">
    <field x="4"/>
  </rowFields>
  <rowItems count="3">
    <i>
      <x v="16"/>
    </i>
    <i>
      <x v="17"/>
    </i>
    <i>
      <x v="18"/>
    </i>
  </rowItems>
  <colItems count="1">
    <i/>
  </colItems>
  <pageFields count="1">
    <pageField fld="6" hier="-1"/>
  </pageFields>
  <dataFields count="1">
    <dataField name="Sum of Credit" fld="3" baseField="0" baseItem="0"/>
  </dataFields>
  <formats count="7">
    <format dxfId="57">
      <pivotArea outline="0" collapsedLevelsAreSubtotals="1" fieldPosition="0"/>
    </format>
    <format dxfId="56">
      <pivotArea type="all" dataOnly="0" outline="0" fieldPosition="0"/>
    </format>
    <format dxfId="55">
      <pivotArea outline="0" collapsedLevelsAreSubtotals="1" fieldPosition="0"/>
    </format>
    <format dxfId="54">
      <pivotArea field="4" type="button" dataOnly="0" labelOnly="1" outline="0" axis="axisRow" fieldPosition="0"/>
    </format>
    <format dxfId="53">
      <pivotArea dataOnly="0" labelOnly="1" outline="0" fieldPosition="0">
        <references count="1">
          <reference field="4" count="3">
            <x v="16"/>
            <x v="17"/>
            <x v="18"/>
          </reference>
        </references>
      </pivotArea>
    </format>
    <format dxfId="52">
      <pivotArea dataOnly="0" labelOnly="1" outline="0" axis="axisValues" fieldPosition="0"/>
    </format>
    <format dxfId="51">
      <pivotArea dataOnly="0" labelOnly="1" outline="0" fieldPosition="0">
        <references count="1">
          <reference field="4" count="3">
            <x v="16"/>
            <x v="17"/>
            <x v="18"/>
          </reference>
        </references>
      </pivotArea>
    </format>
  </formats>
  <chartFormats count="5">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4" count="1" selected="0">
            <x v="14"/>
          </reference>
        </references>
      </pivotArea>
    </chartFormat>
    <chartFormat chart="8" format="7">
      <pivotArea type="data" outline="0" fieldPosition="0">
        <references count="2">
          <reference field="4294967294" count="1" selected="0">
            <x v="0"/>
          </reference>
          <reference field="4" count="1" selected="0">
            <x v="16"/>
          </reference>
        </references>
      </pivotArea>
    </chartFormat>
    <chartFormat chart="8" format="8">
      <pivotArea type="data" outline="0" fieldPosition="0">
        <references count="2">
          <reference field="4294967294" count="1" selected="0">
            <x v="0"/>
          </reference>
          <reference field="4" count="1" selected="0">
            <x v="17"/>
          </reference>
        </references>
      </pivotArea>
    </chartFormat>
    <chartFormat chart="8" format="9">
      <pivotArea type="data" outline="0" fieldPosition="0">
        <references count="2">
          <reference field="4294967294" count="1" selected="0">
            <x v="0"/>
          </reference>
          <reference field="4"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22C21C11-C115-48D1-A8AD-D35BE0EFC2CD}" sourceName="Month number">
  <pivotTables>
    <pivotTable tabId="6" name="PivotTable1"/>
    <pivotTable tabId="6" name="PivotTable11"/>
    <pivotTable tabId="6" name="PivotTable13"/>
    <pivotTable tabId="6" name="PivotTable14"/>
    <pivotTable tabId="6" name="PivotTable5"/>
  </pivotTables>
  <data>
    <tabular pivotCacheId="1157273840">
      <items count="12">
        <i x="0" s="1"/>
        <i x="1" s="1"/>
        <i x="2" s="1"/>
        <i x="3" s="1"/>
        <i x="4" s="1"/>
        <i x="5" s="1"/>
        <i x="6" s="1"/>
        <i x="7" s="1"/>
        <i x="8" s="1"/>
        <i x="9" s="1"/>
        <i x="10" s="1" nd="1"/>
        <i x="1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3B58F11-31F4-4D50-AE01-A4E880E60330}" sourceName="Category">
  <pivotTables>
    <pivotTable tabId="6" name="PivotTable4"/>
  </pivotTables>
  <data>
    <tabular pivotCacheId="1157273840">
      <items count="8">
        <i x="6" s="1"/>
        <i x="1" s="1"/>
        <i x="4" s="1"/>
        <i x="2" s="1"/>
        <i x="7" s="1"/>
        <i x="3" s="1"/>
        <i x="5"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umber" xr10:uid="{D629A922-083B-4928-9DC1-6CD7C45514D1}" cache="Slicer_Month_number" caption="Month number" columnCount="4" showCaption="0" style="SlicerStyleLight1 2" lockedPosition="1" rowHeight="274320"/>
  <slicer name="Category" xr10:uid="{7B25F57F-7DD6-4751-B01A-AA8297A052BA}" cache="Slicer_Category" caption="Category" columnCount="2" showCaption="0" style="SlicerStyleLight1 2 2" lockedPosition="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6F2DFF-A715-482E-BED1-BA8BCE4FE0E1}" name="Table1" displayName="Table1" ref="A1:H100" totalsRowShown="0">
  <autoFilter ref="A1:H100" xr:uid="{AC042777-227A-4399-914E-3C271B35F275}"/>
  <tableColumns count="8">
    <tableColumn id="1" xr3:uid="{F10E1DA5-3A80-4F84-9CBA-4A0A251F7ED3}" name="Date" dataDxfId="62"/>
    <tableColumn id="2" xr3:uid="{E175EA10-2DA0-4413-8C52-9180A1342278}" name="Description"/>
    <tableColumn id="3" xr3:uid="{E90CD5A0-EE2A-4082-974F-F2C69A3D601D}" name="Debit"/>
    <tableColumn id="4" xr3:uid="{3989C951-DEFA-44EC-B40C-C87199D3F940}" name="Credit"/>
    <tableColumn id="5" xr3:uid="{3E12F0A1-E9F5-4F4E-8B39-A8958C01B52F}" name="Sub-category"/>
    <tableColumn id="6" xr3:uid="{38021ACA-8703-4FA1-AD22-1FDC6DFE29ED}" name="Category"/>
    <tableColumn id="7" xr3:uid="{3FB0BC2C-5302-4C0C-9FE1-3732C3935906}" name="Category Type"/>
    <tableColumn id="8" xr3:uid="{6CD7DB75-1532-42E9-95BB-485B9B9E7A0D}" name="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69B9AE1-7200-4165-AA00-445CE4E4F60E}" name="Table2" displayName="Table2" ref="A1:J487" totalsRowShown="0">
  <autoFilter ref="A1:J487" xr:uid="{F495A0C7-2CC0-416A-B86C-804C52E4C595}"/>
  <tableColumns count="10">
    <tableColumn id="2" xr3:uid="{A53AB1DF-05E8-4FC4-A6EC-10E9C1ECAC3C}" name="Date" dataDxfId="61"/>
    <tableColumn id="4" xr3:uid="{A5FF22CA-AFAA-44A3-9B29-8D1677643E16}" name="Description"/>
    <tableColumn id="5" xr3:uid="{752C3C75-0A86-41A5-B700-89372E1AE076}" name="Debit"/>
    <tableColumn id="6" xr3:uid="{450BAF4A-6A5D-43C9-88FB-B206C70E3C5F}" name="Credit"/>
    <tableColumn id="8" xr3:uid="{1DF2BF30-5E7D-407E-8C5B-5AAB0D0740E6}" name="Sub-category"/>
    <tableColumn id="9" xr3:uid="{425037F3-928A-438D-8FAE-5C8BB5AC46C3}" name="Category"/>
    <tableColumn id="10" xr3:uid="{F7043AEE-8D04-4EA0-8711-02A4BF64EC5F}" name="Category Type"/>
    <tableColumn id="3" xr3:uid="{E57F0564-B837-4848-A31E-E9CDF8DC8AD3}" name="Month number" dataDxfId="60">
      <calculatedColumnFormula>MONTH(Table2[[#This Row],[Date]])</calculatedColumnFormula>
    </tableColumn>
    <tableColumn id="1" xr3:uid="{70A80F82-CC0B-4D63-B7E8-77C3FFC3E9F1}" name="Weeday" dataDxfId="59">
      <calculatedColumnFormula>WEEKDAY(Table2[[#This Row],[Date]])</calculatedColumnFormula>
    </tableColumn>
    <tableColumn id="11" xr3:uid="{6705D4CE-64A3-46A2-8617-6F4D6CC6352C}" name="Amount" dataDxfId="58">
      <calculatedColumnFormula>Table2[[#This Row],[Credit]]-Table2[[#This Row],[Debit]]</calculatedColumnFormula>
    </tableColumn>
  </tableColumns>
  <tableStyleInfo name="TableStyleMedium2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AFAC5-2A40-42E7-889E-9AA77E84B628}">
  <sheetPr codeName="Sheet1"/>
  <dimension ref="A1:H100"/>
  <sheetViews>
    <sheetView topLeftCell="A56" workbookViewId="0">
      <selection activeCell="C89" sqref="C89:C92"/>
    </sheetView>
  </sheetViews>
  <sheetFormatPr defaultColWidth="22.86328125" defaultRowHeight="14.25" x14ac:dyDescent="0.45"/>
  <sheetData>
    <row r="1" spans="1:8" x14ac:dyDescent="0.45">
      <c r="A1" t="s">
        <v>0</v>
      </c>
      <c r="B1" t="s">
        <v>1</v>
      </c>
      <c r="C1" t="s">
        <v>2</v>
      </c>
      <c r="D1" t="s">
        <v>3</v>
      </c>
      <c r="E1" t="s">
        <v>5</v>
      </c>
      <c r="F1" t="s">
        <v>6</v>
      </c>
      <c r="G1" t="s">
        <v>7</v>
      </c>
      <c r="H1" t="s">
        <v>4</v>
      </c>
    </row>
    <row r="2" spans="1:8" x14ac:dyDescent="0.45">
      <c r="A2" s="1">
        <v>44531</v>
      </c>
      <c r="B2" t="s">
        <v>8</v>
      </c>
      <c r="D2">
        <v>5000</v>
      </c>
      <c r="E2" t="s">
        <v>100</v>
      </c>
      <c r="F2" t="s">
        <v>9</v>
      </c>
      <c r="G2" t="s">
        <v>10</v>
      </c>
    </row>
    <row r="3" spans="1:8" x14ac:dyDescent="0.45">
      <c r="A3" s="1">
        <v>44531</v>
      </c>
      <c r="B3" t="s">
        <v>11</v>
      </c>
      <c r="C3">
        <v>5</v>
      </c>
      <c r="E3" t="s">
        <v>12</v>
      </c>
      <c r="F3" t="s">
        <v>13</v>
      </c>
      <c r="G3" t="s">
        <v>14</v>
      </c>
    </row>
    <row r="4" spans="1:8" x14ac:dyDescent="0.45">
      <c r="A4" s="1">
        <v>44532</v>
      </c>
      <c r="B4" t="s">
        <v>15</v>
      </c>
      <c r="C4">
        <v>900</v>
      </c>
      <c r="E4" t="s">
        <v>16</v>
      </c>
      <c r="F4" t="s">
        <v>17</v>
      </c>
      <c r="G4" t="s">
        <v>14</v>
      </c>
    </row>
    <row r="5" spans="1:8" x14ac:dyDescent="0.45">
      <c r="A5" s="1">
        <v>44532</v>
      </c>
      <c r="B5" t="s">
        <v>18</v>
      </c>
      <c r="C5">
        <v>150</v>
      </c>
      <c r="E5" t="s">
        <v>19</v>
      </c>
      <c r="F5" t="s">
        <v>20</v>
      </c>
      <c r="G5" t="s">
        <v>14</v>
      </c>
    </row>
    <row r="6" spans="1:8" x14ac:dyDescent="0.45">
      <c r="A6" s="1">
        <v>44532</v>
      </c>
      <c r="B6" t="s">
        <v>11</v>
      </c>
      <c r="C6">
        <v>5</v>
      </c>
      <c r="E6" t="s">
        <v>12</v>
      </c>
      <c r="F6" t="s">
        <v>13</v>
      </c>
      <c r="G6" t="s">
        <v>14</v>
      </c>
    </row>
    <row r="7" spans="1:8" x14ac:dyDescent="0.45">
      <c r="A7" s="1">
        <v>44533</v>
      </c>
      <c r="B7" t="s">
        <v>11</v>
      </c>
      <c r="C7">
        <v>5</v>
      </c>
      <c r="E7" t="s">
        <v>12</v>
      </c>
      <c r="F7" t="s">
        <v>13</v>
      </c>
      <c r="G7" t="s">
        <v>14</v>
      </c>
    </row>
    <row r="8" spans="1:8" x14ac:dyDescent="0.45">
      <c r="A8" s="1">
        <v>44534</v>
      </c>
      <c r="B8" t="s">
        <v>11</v>
      </c>
      <c r="C8">
        <v>5</v>
      </c>
      <c r="E8" t="s">
        <v>12</v>
      </c>
      <c r="F8" t="s">
        <v>13</v>
      </c>
      <c r="G8" t="s">
        <v>14</v>
      </c>
    </row>
    <row r="9" spans="1:8" x14ac:dyDescent="0.45">
      <c r="A9" s="1">
        <v>44535</v>
      </c>
      <c r="B9" t="s">
        <v>11</v>
      </c>
      <c r="C9">
        <v>5</v>
      </c>
      <c r="E9" t="s">
        <v>12</v>
      </c>
      <c r="F9" t="s">
        <v>13</v>
      </c>
      <c r="G9" t="s">
        <v>14</v>
      </c>
    </row>
    <row r="10" spans="1:8" x14ac:dyDescent="0.45">
      <c r="A10" s="1">
        <v>44535</v>
      </c>
      <c r="B10" t="s">
        <v>21</v>
      </c>
      <c r="C10">
        <v>149</v>
      </c>
      <c r="E10" t="s">
        <v>22</v>
      </c>
      <c r="F10" t="s">
        <v>17</v>
      </c>
      <c r="G10" t="s">
        <v>14</v>
      </c>
    </row>
    <row r="11" spans="1:8" x14ac:dyDescent="0.45">
      <c r="A11" s="1">
        <v>44538</v>
      </c>
      <c r="B11" t="s">
        <v>23</v>
      </c>
      <c r="C11">
        <v>52.1</v>
      </c>
      <c r="E11" t="s">
        <v>24</v>
      </c>
      <c r="F11" t="s">
        <v>17</v>
      </c>
      <c r="G11" t="s">
        <v>14</v>
      </c>
    </row>
    <row r="12" spans="1:8" x14ac:dyDescent="0.45">
      <c r="A12" s="1">
        <v>44538</v>
      </c>
      <c r="B12" t="s">
        <v>11</v>
      </c>
      <c r="C12">
        <v>5</v>
      </c>
      <c r="E12" t="s">
        <v>12</v>
      </c>
      <c r="F12" t="s">
        <v>13</v>
      </c>
      <c r="G12" t="s">
        <v>14</v>
      </c>
    </row>
    <row r="13" spans="1:8" x14ac:dyDescent="0.45">
      <c r="A13" s="1">
        <v>44539</v>
      </c>
      <c r="B13" t="s">
        <v>11</v>
      </c>
      <c r="C13">
        <v>5</v>
      </c>
      <c r="E13" t="s">
        <v>12</v>
      </c>
      <c r="F13" t="s">
        <v>13</v>
      </c>
      <c r="G13" t="s">
        <v>14</v>
      </c>
    </row>
    <row r="14" spans="1:8" x14ac:dyDescent="0.45">
      <c r="A14" s="1">
        <v>44540</v>
      </c>
      <c r="B14" t="s">
        <v>25</v>
      </c>
      <c r="C14">
        <v>78.900000000000006</v>
      </c>
      <c r="E14" t="s">
        <v>26</v>
      </c>
      <c r="F14" t="s">
        <v>13</v>
      </c>
      <c r="G14" t="s">
        <v>14</v>
      </c>
    </row>
    <row r="15" spans="1:8" x14ac:dyDescent="0.45">
      <c r="A15" s="1">
        <v>44540</v>
      </c>
      <c r="B15" t="s">
        <v>36</v>
      </c>
      <c r="C15">
        <v>5</v>
      </c>
      <c r="D15">
        <v>2000</v>
      </c>
      <c r="E15" t="s">
        <v>53</v>
      </c>
      <c r="F15" t="s">
        <v>38</v>
      </c>
      <c r="G15" t="s">
        <v>10</v>
      </c>
    </row>
    <row r="16" spans="1:8" x14ac:dyDescent="0.45">
      <c r="A16" s="1">
        <v>44541</v>
      </c>
      <c r="B16" t="s">
        <v>11</v>
      </c>
      <c r="C16">
        <v>5</v>
      </c>
      <c r="E16" t="s">
        <v>12</v>
      </c>
      <c r="F16" t="s">
        <v>13</v>
      </c>
      <c r="G16" t="s">
        <v>14</v>
      </c>
    </row>
    <row r="17" spans="1:7" x14ac:dyDescent="0.45">
      <c r="A17" s="1">
        <v>44542</v>
      </c>
      <c r="B17" t="s">
        <v>21</v>
      </c>
      <c r="C17">
        <v>137</v>
      </c>
      <c r="E17" t="s">
        <v>22</v>
      </c>
      <c r="F17" t="s">
        <v>17</v>
      </c>
      <c r="G17" t="s">
        <v>14</v>
      </c>
    </row>
    <row r="18" spans="1:7" x14ac:dyDescent="0.45">
      <c r="A18" s="1">
        <v>44542</v>
      </c>
      <c r="B18" t="s">
        <v>11</v>
      </c>
      <c r="C18">
        <v>5</v>
      </c>
      <c r="E18" t="s">
        <v>12</v>
      </c>
      <c r="F18" t="s">
        <v>13</v>
      </c>
      <c r="G18" t="s">
        <v>14</v>
      </c>
    </row>
    <row r="19" spans="1:7" x14ac:dyDescent="0.45">
      <c r="A19" s="1">
        <v>44543</v>
      </c>
      <c r="B19" t="s">
        <v>11</v>
      </c>
      <c r="C19">
        <v>5</v>
      </c>
      <c r="E19" t="s">
        <v>12</v>
      </c>
      <c r="F19" t="s">
        <v>13</v>
      </c>
      <c r="G19" t="s">
        <v>14</v>
      </c>
    </row>
    <row r="20" spans="1:7" x14ac:dyDescent="0.45">
      <c r="A20" s="1">
        <v>44543</v>
      </c>
      <c r="B20" t="s">
        <v>27</v>
      </c>
      <c r="C20">
        <v>41.8</v>
      </c>
      <c r="E20" t="s">
        <v>28</v>
      </c>
      <c r="F20" t="s">
        <v>29</v>
      </c>
      <c r="G20" t="s">
        <v>14</v>
      </c>
    </row>
    <row r="21" spans="1:7" x14ac:dyDescent="0.45">
      <c r="A21" s="1">
        <v>44543</v>
      </c>
      <c r="B21" t="s">
        <v>30</v>
      </c>
      <c r="C21">
        <v>99.9</v>
      </c>
      <c r="E21" t="s">
        <v>31</v>
      </c>
      <c r="F21" t="s">
        <v>29</v>
      </c>
      <c r="G21" t="s">
        <v>14</v>
      </c>
    </row>
    <row r="22" spans="1:7" x14ac:dyDescent="0.45">
      <c r="A22" s="1">
        <v>44543</v>
      </c>
      <c r="B22" t="s">
        <v>32</v>
      </c>
      <c r="C22">
        <v>54</v>
      </c>
      <c r="E22" t="s">
        <v>33</v>
      </c>
      <c r="F22" t="s">
        <v>13</v>
      </c>
      <c r="G22" t="s">
        <v>14</v>
      </c>
    </row>
    <row r="23" spans="1:7" x14ac:dyDescent="0.45">
      <c r="A23" s="1">
        <v>44544</v>
      </c>
      <c r="B23" t="s">
        <v>34</v>
      </c>
      <c r="C23">
        <v>30</v>
      </c>
      <c r="E23" t="s">
        <v>35</v>
      </c>
      <c r="F23" t="s">
        <v>20</v>
      </c>
      <c r="G23" t="s">
        <v>14</v>
      </c>
    </row>
    <row r="24" spans="1:7" x14ac:dyDescent="0.45">
      <c r="A24" s="1">
        <v>44545</v>
      </c>
      <c r="B24" t="s">
        <v>36</v>
      </c>
      <c r="D24">
        <v>5000</v>
      </c>
      <c r="E24" t="s">
        <v>37</v>
      </c>
      <c r="F24" t="s">
        <v>38</v>
      </c>
      <c r="G24" t="s">
        <v>10</v>
      </c>
    </row>
    <row r="25" spans="1:7" x14ac:dyDescent="0.45">
      <c r="A25" s="1">
        <v>44545</v>
      </c>
      <c r="B25" t="s">
        <v>11</v>
      </c>
      <c r="C25">
        <v>5</v>
      </c>
      <c r="E25" t="s">
        <v>12</v>
      </c>
      <c r="F25" t="s">
        <v>13</v>
      </c>
      <c r="G25" t="s">
        <v>14</v>
      </c>
    </row>
    <row r="26" spans="1:7" x14ac:dyDescent="0.45">
      <c r="A26" s="1">
        <v>44546</v>
      </c>
      <c r="B26" t="s">
        <v>11</v>
      </c>
      <c r="C26">
        <v>5</v>
      </c>
      <c r="E26" t="s">
        <v>12</v>
      </c>
      <c r="F26" t="s">
        <v>13</v>
      </c>
      <c r="G26" t="s">
        <v>14</v>
      </c>
    </row>
    <row r="27" spans="1:7" x14ac:dyDescent="0.45">
      <c r="A27" s="1">
        <v>44546</v>
      </c>
      <c r="B27" t="s">
        <v>36</v>
      </c>
      <c r="C27">
        <v>75</v>
      </c>
      <c r="E27" t="s">
        <v>39</v>
      </c>
      <c r="F27" t="s">
        <v>56</v>
      </c>
      <c r="G27" t="s">
        <v>14</v>
      </c>
    </row>
    <row r="28" spans="1:7" x14ac:dyDescent="0.45">
      <c r="A28" s="1">
        <v>44546</v>
      </c>
      <c r="B28" t="s">
        <v>40</v>
      </c>
      <c r="C28">
        <v>40</v>
      </c>
      <c r="E28" t="s">
        <v>40</v>
      </c>
      <c r="F28" t="s">
        <v>17</v>
      </c>
      <c r="G28" t="s">
        <v>14</v>
      </c>
    </row>
    <row r="29" spans="1:7" x14ac:dyDescent="0.45">
      <c r="A29" s="1">
        <v>44547</v>
      </c>
      <c r="B29" t="s">
        <v>41</v>
      </c>
      <c r="C29">
        <v>46.8</v>
      </c>
      <c r="E29" t="s">
        <v>42</v>
      </c>
      <c r="F29" t="s">
        <v>29</v>
      </c>
      <c r="G29" t="s">
        <v>14</v>
      </c>
    </row>
    <row r="30" spans="1:7" x14ac:dyDescent="0.45">
      <c r="A30" s="1">
        <v>44547</v>
      </c>
      <c r="B30" t="s">
        <v>43</v>
      </c>
      <c r="C30">
        <v>35</v>
      </c>
      <c r="E30" t="s">
        <v>28</v>
      </c>
      <c r="F30" t="s">
        <v>29</v>
      </c>
      <c r="G30" t="s">
        <v>14</v>
      </c>
    </row>
    <row r="31" spans="1:7" x14ac:dyDescent="0.45">
      <c r="A31" s="1">
        <v>44547</v>
      </c>
      <c r="B31" t="s">
        <v>11</v>
      </c>
      <c r="C31">
        <v>5</v>
      </c>
      <c r="E31" t="s">
        <v>12</v>
      </c>
      <c r="F31" t="s">
        <v>13</v>
      </c>
      <c r="G31" t="s">
        <v>14</v>
      </c>
    </row>
    <row r="32" spans="1:7" x14ac:dyDescent="0.45">
      <c r="A32" s="1">
        <v>44548</v>
      </c>
      <c r="B32" t="s">
        <v>11</v>
      </c>
      <c r="C32">
        <v>5</v>
      </c>
      <c r="E32" t="s">
        <v>12</v>
      </c>
      <c r="F32" t="s">
        <v>13</v>
      </c>
      <c r="G32" t="s">
        <v>14</v>
      </c>
    </row>
    <row r="33" spans="1:7" x14ac:dyDescent="0.45">
      <c r="A33" s="1">
        <v>44549</v>
      </c>
      <c r="B33" t="s">
        <v>11</v>
      </c>
      <c r="C33">
        <v>5</v>
      </c>
      <c r="E33" t="s">
        <v>12</v>
      </c>
      <c r="F33" t="s">
        <v>13</v>
      </c>
      <c r="G33" t="s">
        <v>14</v>
      </c>
    </row>
    <row r="34" spans="1:7" x14ac:dyDescent="0.45">
      <c r="A34" s="1">
        <v>44549</v>
      </c>
      <c r="B34" t="s">
        <v>21</v>
      </c>
      <c r="C34">
        <v>171.9</v>
      </c>
      <c r="E34" t="s">
        <v>22</v>
      </c>
      <c r="F34" t="s">
        <v>17</v>
      </c>
      <c r="G34" t="s">
        <v>14</v>
      </c>
    </row>
    <row r="35" spans="1:7" x14ac:dyDescent="0.45">
      <c r="A35" s="1">
        <v>44550</v>
      </c>
      <c r="B35" t="s">
        <v>44</v>
      </c>
      <c r="C35">
        <v>39</v>
      </c>
      <c r="E35" t="s">
        <v>33</v>
      </c>
      <c r="F35" t="s">
        <v>13</v>
      </c>
      <c r="G35" t="s">
        <v>14</v>
      </c>
    </row>
    <row r="36" spans="1:7" x14ac:dyDescent="0.45">
      <c r="A36" s="1">
        <v>44551</v>
      </c>
      <c r="B36" t="s">
        <v>45</v>
      </c>
      <c r="C36">
        <v>14</v>
      </c>
      <c r="E36" t="s">
        <v>33</v>
      </c>
      <c r="F36" t="s">
        <v>13</v>
      </c>
      <c r="G36" t="s">
        <v>14</v>
      </c>
    </row>
    <row r="37" spans="1:7" x14ac:dyDescent="0.45">
      <c r="A37" s="1">
        <v>44552</v>
      </c>
      <c r="B37" t="s">
        <v>46</v>
      </c>
      <c r="C37">
        <v>55</v>
      </c>
      <c r="E37" t="s">
        <v>47</v>
      </c>
      <c r="F37" t="s">
        <v>48</v>
      </c>
      <c r="G37" t="s">
        <v>14</v>
      </c>
    </row>
    <row r="38" spans="1:7" x14ac:dyDescent="0.45">
      <c r="A38" s="1">
        <v>44552</v>
      </c>
      <c r="B38" t="s">
        <v>25</v>
      </c>
      <c r="C38">
        <v>65</v>
      </c>
      <c r="E38" t="s">
        <v>26</v>
      </c>
      <c r="F38" t="s">
        <v>20</v>
      </c>
      <c r="G38" t="s">
        <v>14</v>
      </c>
    </row>
    <row r="39" spans="1:7" x14ac:dyDescent="0.45">
      <c r="A39" s="1">
        <v>44552</v>
      </c>
      <c r="B39" t="s">
        <v>11</v>
      </c>
      <c r="C39">
        <v>5</v>
      </c>
      <c r="E39" t="s">
        <v>12</v>
      </c>
      <c r="F39" t="s">
        <v>13</v>
      </c>
      <c r="G39" t="s">
        <v>14</v>
      </c>
    </row>
    <row r="40" spans="1:7" x14ac:dyDescent="0.45">
      <c r="A40" s="1">
        <v>44553</v>
      </c>
      <c r="B40" t="s">
        <v>11</v>
      </c>
      <c r="C40">
        <v>5</v>
      </c>
      <c r="E40" t="s">
        <v>12</v>
      </c>
      <c r="F40" t="s">
        <v>13</v>
      </c>
      <c r="G40" t="s">
        <v>14</v>
      </c>
    </row>
    <row r="41" spans="1:7" x14ac:dyDescent="0.45">
      <c r="A41" s="1">
        <v>44554</v>
      </c>
      <c r="B41" t="s">
        <v>11</v>
      </c>
      <c r="C41">
        <v>5</v>
      </c>
      <c r="E41" t="s">
        <v>12</v>
      </c>
      <c r="F41" t="s">
        <v>13</v>
      </c>
      <c r="G41" t="s">
        <v>14</v>
      </c>
    </row>
    <row r="42" spans="1:7" x14ac:dyDescent="0.45">
      <c r="A42" s="1">
        <v>44555</v>
      </c>
      <c r="B42" t="s">
        <v>11</v>
      </c>
      <c r="C42">
        <v>5</v>
      </c>
      <c r="E42" t="s">
        <v>12</v>
      </c>
      <c r="F42" t="s">
        <v>13</v>
      </c>
      <c r="G42" t="s">
        <v>14</v>
      </c>
    </row>
    <row r="43" spans="1:7" x14ac:dyDescent="0.45">
      <c r="A43" s="1">
        <v>44556</v>
      </c>
      <c r="B43" t="s">
        <v>11</v>
      </c>
      <c r="C43">
        <v>5</v>
      </c>
      <c r="E43" t="s">
        <v>12</v>
      </c>
      <c r="F43" t="s">
        <v>13</v>
      </c>
      <c r="G43" t="s">
        <v>14</v>
      </c>
    </row>
    <row r="44" spans="1:7" x14ac:dyDescent="0.45">
      <c r="A44" s="1">
        <v>44556</v>
      </c>
      <c r="B44" t="s">
        <v>21</v>
      </c>
      <c r="C44">
        <v>209</v>
      </c>
      <c r="E44" t="s">
        <v>22</v>
      </c>
      <c r="F44" t="s">
        <v>17</v>
      </c>
      <c r="G44" t="s">
        <v>14</v>
      </c>
    </row>
    <row r="45" spans="1:7" x14ac:dyDescent="0.45">
      <c r="A45" s="1">
        <v>44557</v>
      </c>
      <c r="B45" t="s">
        <v>49</v>
      </c>
      <c r="C45">
        <v>127</v>
      </c>
      <c r="E45" t="s">
        <v>31</v>
      </c>
      <c r="F45" t="s">
        <v>29</v>
      </c>
      <c r="G45" t="s">
        <v>14</v>
      </c>
    </row>
    <row r="46" spans="1:7" x14ac:dyDescent="0.45">
      <c r="A46" s="1">
        <v>44557</v>
      </c>
      <c r="B46" t="s">
        <v>50</v>
      </c>
      <c r="C46">
        <v>177.2</v>
      </c>
      <c r="E46" t="s">
        <v>31</v>
      </c>
      <c r="F46" t="s">
        <v>29</v>
      </c>
      <c r="G46" t="s">
        <v>14</v>
      </c>
    </row>
    <row r="47" spans="1:7" x14ac:dyDescent="0.45">
      <c r="A47" s="1">
        <v>44558</v>
      </c>
      <c r="B47" t="s">
        <v>30</v>
      </c>
      <c r="C47">
        <v>147.1</v>
      </c>
      <c r="E47" t="s">
        <v>31</v>
      </c>
      <c r="F47" t="s">
        <v>29</v>
      </c>
      <c r="G47" t="s">
        <v>14</v>
      </c>
    </row>
    <row r="48" spans="1:7" x14ac:dyDescent="0.45">
      <c r="A48" s="1">
        <v>44558</v>
      </c>
      <c r="B48" t="s">
        <v>34</v>
      </c>
      <c r="C48">
        <v>25</v>
      </c>
      <c r="E48" t="s">
        <v>35</v>
      </c>
      <c r="F48" t="s">
        <v>20</v>
      </c>
      <c r="G48" t="s">
        <v>14</v>
      </c>
    </row>
    <row r="49" spans="1:7" x14ac:dyDescent="0.45">
      <c r="A49" s="1">
        <v>44559</v>
      </c>
      <c r="B49" t="s">
        <v>8</v>
      </c>
      <c r="C49">
        <v>15</v>
      </c>
      <c r="E49" t="s">
        <v>33</v>
      </c>
      <c r="F49" t="s">
        <v>13</v>
      </c>
      <c r="G49" t="s">
        <v>14</v>
      </c>
    </row>
    <row r="50" spans="1:7" x14ac:dyDescent="0.45">
      <c r="A50" s="1">
        <v>44560</v>
      </c>
      <c r="B50" t="s">
        <v>11</v>
      </c>
      <c r="C50">
        <v>5</v>
      </c>
      <c r="E50" t="s">
        <v>12</v>
      </c>
      <c r="F50" t="s">
        <v>13</v>
      </c>
      <c r="G50" t="s">
        <v>14</v>
      </c>
    </row>
    <row r="51" spans="1:7" x14ac:dyDescent="0.45">
      <c r="A51" s="1">
        <v>44561</v>
      </c>
      <c r="B51" t="s">
        <v>15</v>
      </c>
      <c r="C51">
        <v>5</v>
      </c>
      <c r="E51" t="s">
        <v>12</v>
      </c>
      <c r="F51" t="s">
        <v>17</v>
      </c>
      <c r="G51" t="s">
        <v>14</v>
      </c>
    </row>
    <row r="52" spans="1:7" x14ac:dyDescent="0.45">
      <c r="A52" s="1">
        <v>44501</v>
      </c>
      <c r="B52" t="s">
        <v>8</v>
      </c>
      <c r="D52">
        <v>5000</v>
      </c>
      <c r="E52" t="s">
        <v>100</v>
      </c>
      <c r="F52" t="s">
        <v>9</v>
      </c>
      <c r="G52" t="s">
        <v>10</v>
      </c>
    </row>
    <row r="53" spans="1:7" x14ac:dyDescent="0.45">
      <c r="A53" s="1">
        <v>44501</v>
      </c>
      <c r="B53" t="s">
        <v>11</v>
      </c>
      <c r="C53">
        <v>5</v>
      </c>
      <c r="E53" t="s">
        <v>12</v>
      </c>
      <c r="F53" t="s">
        <v>13</v>
      </c>
      <c r="G53" t="s">
        <v>14</v>
      </c>
    </row>
    <row r="54" spans="1:7" x14ac:dyDescent="0.45">
      <c r="A54" s="1">
        <v>44502</v>
      </c>
      <c r="B54" t="s">
        <v>11</v>
      </c>
      <c r="C54">
        <v>900</v>
      </c>
      <c r="E54" t="s">
        <v>16</v>
      </c>
      <c r="F54" t="s">
        <v>13</v>
      </c>
      <c r="G54" t="s">
        <v>14</v>
      </c>
    </row>
    <row r="55" spans="1:7" x14ac:dyDescent="0.45">
      <c r="A55" s="1">
        <v>44502</v>
      </c>
      <c r="B55" t="s">
        <v>11</v>
      </c>
      <c r="C55">
        <v>150</v>
      </c>
      <c r="E55" t="s">
        <v>19</v>
      </c>
      <c r="F55" t="s">
        <v>13</v>
      </c>
      <c r="G55" t="s">
        <v>14</v>
      </c>
    </row>
    <row r="56" spans="1:7" x14ac:dyDescent="0.45">
      <c r="A56" s="1">
        <v>44502</v>
      </c>
      <c r="B56" t="s">
        <v>11</v>
      </c>
      <c r="C56">
        <v>5</v>
      </c>
      <c r="E56" t="s">
        <v>12</v>
      </c>
      <c r="F56" t="s">
        <v>13</v>
      </c>
      <c r="G56" t="s">
        <v>14</v>
      </c>
    </row>
    <row r="57" spans="1:7" x14ac:dyDescent="0.45">
      <c r="A57" s="1">
        <v>44503</v>
      </c>
      <c r="B57" t="s">
        <v>21</v>
      </c>
      <c r="C57">
        <v>5</v>
      </c>
      <c r="E57" t="s">
        <v>12</v>
      </c>
      <c r="F57" t="s">
        <v>17</v>
      </c>
      <c r="G57" t="s">
        <v>14</v>
      </c>
    </row>
    <row r="58" spans="1:7" x14ac:dyDescent="0.45">
      <c r="A58" s="1">
        <v>44504</v>
      </c>
      <c r="B58" t="s">
        <v>23</v>
      </c>
      <c r="C58">
        <v>5</v>
      </c>
      <c r="E58" t="s">
        <v>12</v>
      </c>
      <c r="F58" t="s">
        <v>17</v>
      </c>
      <c r="G58" t="s">
        <v>14</v>
      </c>
    </row>
    <row r="59" spans="1:7" x14ac:dyDescent="0.45">
      <c r="A59" s="1">
        <v>44505</v>
      </c>
      <c r="B59" t="s">
        <v>11</v>
      </c>
      <c r="C59">
        <v>5</v>
      </c>
      <c r="E59" t="s">
        <v>12</v>
      </c>
      <c r="F59" t="s">
        <v>13</v>
      </c>
      <c r="G59" t="s">
        <v>14</v>
      </c>
    </row>
    <row r="60" spans="1:7" x14ac:dyDescent="0.45">
      <c r="A60" s="1">
        <v>44505</v>
      </c>
      <c r="B60" t="s">
        <v>11</v>
      </c>
      <c r="C60">
        <v>158.19999999999999</v>
      </c>
      <c r="E60" t="s">
        <v>22</v>
      </c>
      <c r="F60" t="s">
        <v>13</v>
      </c>
      <c r="G60" t="s">
        <v>14</v>
      </c>
    </row>
    <row r="61" spans="1:7" x14ac:dyDescent="0.45">
      <c r="A61" s="1">
        <v>44508</v>
      </c>
      <c r="B61" t="s">
        <v>25</v>
      </c>
      <c r="C61">
        <v>53.2</v>
      </c>
      <c r="E61" t="s">
        <v>24</v>
      </c>
      <c r="F61" t="s">
        <v>20</v>
      </c>
      <c r="G61" t="s">
        <v>14</v>
      </c>
    </row>
    <row r="62" spans="1:7" x14ac:dyDescent="0.45">
      <c r="A62" s="1">
        <v>44508</v>
      </c>
      <c r="B62" t="s">
        <v>11</v>
      </c>
      <c r="C62">
        <v>5</v>
      </c>
      <c r="E62" t="s">
        <v>12</v>
      </c>
      <c r="F62" t="s">
        <v>13</v>
      </c>
      <c r="G62" t="s">
        <v>14</v>
      </c>
    </row>
    <row r="63" spans="1:7" x14ac:dyDescent="0.45">
      <c r="A63" s="1">
        <v>44509</v>
      </c>
      <c r="B63" t="s">
        <v>11</v>
      </c>
      <c r="C63">
        <v>5</v>
      </c>
      <c r="E63" t="s">
        <v>12</v>
      </c>
      <c r="F63" t="s">
        <v>13</v>
      </c>
      <c r="G63" t="s">
        <v>14</v>
      </c>
    </row>
    <row r="64" spans="1:7" x14ac:dyDescent="0.45">
      <c r="A64" s="1">
        <v>44510</v>
      </c>
      <c r="B64" t="s">
        <v>21</v>
      </c>
      <c r="C64">
        <v>79.900000000000006</v>
      </c>
      <c r="E64" t="s">
        <v>26</v>
      </c>
      <c r="F64" t="s">
        <v>17</v>
      </c>
      <c r="G64" t="s">
        <v>14</v>
      </c>
    </row>
    <row r="65" spans="1:7" x14ac:dyDescent="0.45">
      <c r="A65" s="1">
        <v>44510</v>
      </c>
      <c r="B65" t="s">
        <v>11</v>
      </c>
      <c r="C65">
        <v>5</v>
      </c>
      <c r="E65" t="s">
        <v>12</v>
      </c>
      <c r="F65" t="s">
        <v>13</v>
      </c>
      <c r="G65" t="s">
        <v>14</v>
      </c>
    </row>
    <row r="66" spans="1:7" x14ac:dyDescent="0.45">
      <c r="A66" s="1">
        <v>44511</v>
      </c>
      <c r="B66" t="s">
        <v>11</v>
      </c>
      <c r="C66">
        <v>5</v>
      </c>
      <c r="E66" t="s">
        <v>12</v>
      </c>
      <c r="F66" t="s">
        <v>13</v>
      </c>
      <c r="G66" t="s">
        <v>14</v>
      </c>
    </row>
    <row r="67" spans="1:7" x14ac:dyDescent="0.45">
      <c r="A67" s="1">
        <v>44512</v>
      </c>
      <c r="B67" t="s">
        <v>27</v>
      </c>
      <c r="C67">
        <v>98</v>
      </c>
      <c r="E67" t="s">
        <v>22</v>
      </c>
      <c r="F67" t="s">
        <v>29</v>
      </c>
      <c r="G67" t="s">
        <v>14</v>
      </c>
    </row>
    <row r="68" spans="1:7" x14ac:dyDescent="0.45">
      <c r="A68" s="1">
        <v>44512</v>
      </c>
      <c r="B68" t="s">
        <v>30</v>
      </c>
      <c r="C68">
        <v>5</v>
      </c>
      <c r="E68" t="s">
        <v>12</v>
      </c>
      <c r="F68" t="s">
        <v>29</v>
      </c>
      <c r="G68" t="s">
        <v>14</v>
      </c>
    </row>
    <row r="69" spans="1:7" x14ac:dyDescent="0.45">
      <c r="A69" s="1">
        <v>44513</v>
      </c>
      <c r="B69" t="s">
        <v>32</v>
      </c>
      <c r="C69">
        <v>5</v>
      </c>
      <c r="E69" t="s">
        <v>12</v>
      </c>
      <c r="F69" t="s">
        <v>13</v>
      </c>
      <c r="G69" t="s">
        <v>14</v>
      </c>
    </row>
    <row r="70" spans="1:7" x14ac:dyDescent="0.45">
      <c r="A70" s="1">
        <v>44513</v>
      </c>
      <c r="B70" t="s">
        <v>34</v>
      </c>
      <c r="C70">
        <v>42.8</v>
      </c>
      <c r="E70" t="s">
        <v>28</v>
      </c>
      <c r="F70" t="s">
        <v>29</v>
      </c>
      <c r="G70" t="s">
        <v>14</v>
      </c>
    </row>
    <row r="71" spans="1:7" x14ac:dyDescent="0.45">
      <c r="A71" s="1">
        <v>44513</v>
      </c>
      <c r="B71" t="s">
        <v>36</v>
      </c>
      <c r="C71">
        <v>100.9</v>
      </c>
      <c r="E71" t="s">
        <v>31</v>
      </c>
      <c r="F71" t="s">
        <v>29</v>
      </c>
      <c r="G71" t="s">
        <v>14</v>
      </c>
    </row>
    <row r="72" spans="1:7" x14ac:dyDescent="0.45">
      <c r="A72" s="1">
        <v>44513</v>
      </c>
      <c r="B72" t="s">
        <v>11</v>
      </c>
      <c r="C72">
        <v>54.9</v>
      </c>
      <c r="E72" t="s">
        <v>33</v>
      </c>
      <c r="F72" t="s">
        <v>13</v>
      </c>
      <c r="G72" t="s">
        <v>14</v>
      </c>
    </row>
    <row r="73" spans="1:7" x14ac:dyDescent="0.45">
      <c r="A73" s="1">
        <v>44514</v>
      </c>
      <c r="B73" t="s">
        <v>11</v>
      </c>
      <c r="C73">
        <v>31</v>
      </c>
      <c r="E73" t="s">
        <v>35</v>
      </c>
      <c r="F73" t="s">
        <v>13</v>
      </c>
      <c r="G73" t="s">
        <v>14</v>
      </c>
    </row>
    <row r="74" spans="1:7" x14ac:dyDescent="0.45">
      <c r="A74" s="1">
        <v>44515</v>
      </c>
      <c r="B74" t="s">
        <v>36</v>
      </c>
      <c r="D74">
        <v>2340</v>
      </c>
      <c r="E74" t="s">
        <v>37</v>
      </c>
      <c r="F74" t="s">
        <v>38</v>
      </c>
      <c r="G74" t="s">
        <v>10</v>
      </c>
    </row>
    <row r="75" spans="1:7" x14ac:dyDescent="0.45">
      <c r="A75" s="1">
        <v>44515</v>
      </c>
      <c r="B75" t="s">
        <v>41</v>
      </c>
      <c r="C75">
        <v>5</v>
      </c>
      <c r="E75" t="s">
        <v>12</v>
      </c>
      <c r="F75" t="s">
        <v>29</v>
      </c>
      <c r="G75" t="s">
        <v>14</v>
      </c>
    </row>
    <row r="76" spans="1:7" x14ac:dyDescent="0.45">
      <c r="A76" s="1">
        <v>44516</v>
      </c>
      <c r="B76" t="s">
        <v>43</v>
      </c>
      <c r="C76">
        <v>5</v>
      </c>
      <c r="E76" t="s">
        <v>12</v>
      </c>
      <c r="F76" t="s">
        <v>29</v>
      </c>
      <c r="G76" t="s">
        <v>14</v>
      </c>
    </row>
    <row r="77" spans="1:7" x14ac:dyDescent="0.45">
      <c r="A77" s="1">
        <v>44516</v>
      </c>
      <c r="B77" t="s">
        <v>11</v>
      </c>
      <c r="C77">
        <v>40</v>
      </c>
      <c r="E77" t="s">
        <v>40</v>
      </c>
      <c r="F77" t="s">
        <v>13</v>
      </c>
      <c r="G77" t="s">
        <v>14</v>
      </c>
    </row>
    <row r="78" spans="1:7" x14ac:dyDescent="0.45">
      <c r="A78" s="1">
        <v>44517</v>
      </c>
      <c r="B78" t="s">
        <v>11</v>
      </c>
      <c r="C78">
        <v>47.9</v>
      </c>
      <c r="E78" t="s">
        <v>42</v>
      </c>
      <c r="F78" t="s">
        <v>13</v>
      </c>
      <c r="G78" t="s">
        <v>14</v>
      </c>
    </row>
    <row r="79" spans="1:7" x14ac:dyDescent="0.45">
      <c r="A79" s="1">
        <v>44517</v>
      </c>
      <c r="B79" t="s">
        <v>11</v>
      </c>
      <c r="C79">
        <v>35</v>
      </c>
      <c r="E79" t="s">
        <v>28</v>
      </c>
      <c r="F79" t="s">
        <v>29</v>
      </c>
      <c r="G79" t="s">
        <v>14</v>
      </c>
    </row>
    <row r="80" spans="1:7" x14ac:dyDescent="0.45">
      <c r="A80" s="1">
        <v>44517</v>
      </c>
      <c r="B80" t="s">
        <v>21</v>
      </c>
      <c r="C80">
        <v>5</v>
      </c>
      <c r="E80" t="s">
        <v>12</v>
      </c>
      <c r="F80" t="s">
        <v>17</v>
      </c>
      <c r="G80" t="s">
        <v>14</v>
      </c>
    </row>
    <row r="81" spans="1:7" x14ac:dyDescent="0.45">
      <c r="A81" s="1">
        <v>44518</v>
      </c>
      <c r="B81" t="s">
        <v>44</v>
      </c>
      <c r="C81">
        <v>5</v>
      </c>
      <c r="E81" t="s">
        <v>12</v>
      </c>
      <c r="F81" t="s">
        <v>13</v>
      </c>
      <c r="G81" t="s">
        <v>14</v>
      </c>
    </row>
    <row r="82" spans="1:7" x14ac:dyDescent="0.45">
      <c r="A82" s="1">
        <v>44519</v>
      </c>
      <c r="B82" t="s">
        <v>45</v>
      </c>
      <c r="C82">
        <v>5</v>
      </c>
      <c r="E82" t="s">
        <v>12</v>
      </c>
      <c r="F82" t="s">
        <v>13</v>
      </c>
      <c r="G82" t="s">
        <v>14</v>
      </c>
    </row>
    <row r="83" spans="1:7" x14ac:dyDescent="0.45">
      <c r="A83" s="1">
        <v>44519</v>
      </c>
      <c r="B83" t="s">
        <v>46</v>
      </c>
      <c r="C83">
        <v>173</v>
      </c>
      <c r="E83" t="s">
        <v>22</v>
      </c>
      <c r="F83" t="s">
        <v>48</v>
      </c>
      <c r="G83" t="s">
        <v>14</v>
      </c>
    </row>
    <row r="84" spans="1:7" x14ac:dyDescent="0.45">
      <c r="A84" s="1">
        <v>44520</v>
      </c>
      <c r="B84" t="s">
        <v>25</v>
      </c>
      <c r="C84">
        <v>40.1</v>
      </c>
      <c r="E84" t="s">
        <v>33</v>
      </c>
      <c r="F84" t="s">
        <v>13</v>
      </c>
      <c r="G84" t="s">
        <v>14</v>
      </c>
    </row>
    <row r="85" spans="1:7" x14ac:dyDescent="0.45">
      <c r="A85" s="1">
        <v>44521</v>
      </c>
      <c r="B85" t="s">
        <v>11</v>
      </c>
      <c r="C85">
        <v>15.1</v>
      </c>
      <c r="E85" t="s">
        <v>33</v>
      </c>
      <c r="F85" t="s">
        <v>13</v>
      </c>
      <c r="G85" t="s">
        <v>14</v>
      </c>
    </row>
    <row r="86" spans="1:7" x14ac:dyDescent="0.45">
      <c r="A86" s="1">
        <v>44522</v>
      </c>
      <c r="B86" t="s">
        <v>11</v>
      </c>
      <c r="C86">
        <v>55</v>
      </c>
      <c r="E86" t="s">
        <v>47</v>
      </c>
      <c r="F86" t="s">
        <v>13</v>
      </c>
      <c r="G86" t="s">
        <v>14</v>
      </c>
    </row>
    <row r="87" spans="1:7" x14ac:dyDescent="0.45">
      <c r="A87" s="1">
        <v>44522</v>
      </c>
      <c r="B87" t="s">
        <v>11</v>
      </c>
      <c r="C87">
        <v>66</v>
      </c>
      <c r="E87" t="s">
        <v>26</v>
      </c>
      <c r="F87" t="s">
        <v>13</v>
      </c>
      <c r="G87" t="s">
        <v>14</v>
      </c>
    </row>
    <row r="88" spans="1:7" x14ac:dyDescent="0.45">
      <c r="A88" s="1">
        <v>44522</v>
      </c>
      <c r="B88" t="s">
        <v>11</v>
      </c>
      <c r="C88">
        <v>5</v>
      </c>
      <c r="E88" t="s">
        <v>12</v>
      </c>
      <c r="F88" t="s">
        <v>13</v>
      </c>
      <c r="G88" t="s">
        <v>14</v>
      </c>
    </row>
    <row r="89" spans="1:7" x14ac:dyDescent="0.45">
      <c r="A89" s="1">
        <v>44523</v>
      </c>
      <c r="B89" t="s">
        <v>36</v>
      </c>
      <c r="C89">
        <v>5</v>
      </c>
      <c r="D89">
        <v>3000</v>
      </c>
      <c r="E89" t="s">
        <v>37</v>
      </c>
      <c r="F89" t="s">
        <v>38</v>
      </c>
      <c r="G89" t="s">
        <v>10</v>
      </c>
    </row>
    <row r="90" spans="1:7" x14ac:dyDescent="0.45">
      <c r="A90" s="1">
        <v>44524</v>
      </c>
      <c r="B90" t="s">
        <v>21</v>
      </c>
      <c r="C90">
        <v>5</v>
      </c>
      <c r="E90" t="s">
        <v>12</v>
      </c>
      <c r="F90" t="s">
        <v>17</v>
      </c>
      <c r="G90" t="s">
        <v>14</v>
      </c>
    </row>
    <row r="91" spans="1:7" x14ac:dyDescent="0.45">
      <c r="A91" s="1">
        <v>44525</v>
      </c>
      <c r="B91" t="s">
        <v>49</v>
      </c>
      <c r="C91">
        <v>5</v>
      </c>
      <c r="E91" t="s">
        <v>12</v>
      </c>
      <c r="F91" t="s">
        <v>29</v>
      </c>
      <c r="G91" t="s">
        <v>14</v>
      </c>
    </row>
    <row r="92" spans="1:7" x14ac:dyDescent="0.45">
      <c r="A92" s="1">
        <v>44526</v>
      </c>
      <c r="B92" t="s">
        <v>36</v>
      </c>
      <c r="C92">
        <v>5</v>
      </c>
      <c r="D92">
        <v>150</v>
      </c>
      <c r="E92" t="s">
        <v>53</v>
      </c>
      <c r="F92" t="s">
        <v>38</v>
      </c>
      <c r="G92" t="s">
        <v>10</v>
      </c>
    </row>
    <row r="93" spans="1:7" x14ac:dyDescent="0.45">
      <c r="A93" s="1">
        <v>44526</v>
      </c>
      <c r="B93" t="s">
        <v>30</v>
      </c>
      <c r="C93">
        <v>164.9</v>
      </c>
      <c r="E93" t="s">
        <v>22</v>
      </c>
      <c r="F93" t="s">
        <v>29</v>
      </c>
      <c r="G93" t="s">
        <v>14</v>
      </c>
    </row>
    <row r="94" spans="1:7" x14ac:dyDescent="0.45">
      <c r="A94" s="1">
        <v>44527</v>
      </c>
      <c r="B94" t="s">
        <v>34</v>
      </c>
      <c r="C94">
        <v>127.9</v>
      </c>
      <c r="E94" t="s">
        <v>31</v>
      </c>
      <c r="F94" t="s">
        <v>29</v>
      </c>
      <c r="G94" t="s">
        <v>14</v>
      </c>
    </row>
    <row r="95" spans="1:7" x14ac:dyDescent="0.45">
      <c r="A95" s="1">
        <v>44527</v>
      </c>
      <c r="B95" t="s">
        <v>8</v>
      </c>
      <c r="C95">
        <v>300</v>
      </c>
      <c r="E95" t="s">
        <v>28</v>
      </c>
      <c r="F95" t="s">
        <v>29</v>
      </c>
      <c r="G95" t="s">
        <v>14</v>
      </c>
    </row>
    <row r="96" spans="1:7" x14ac:dyDescent="0.45">
      <c r="A96" s="1">
        <v>44528</v>
      </c>
      <c r="B96" t="s">
        <v>11</v>
      </c>
      <c r="C96">
        <v>148.1</v>
      </c>
      <c r="E96" t="s">
        <v>31</v>
      </c>
      <c r="F96" t="s">
        <v>29</v>
      </c>
      <c r="G96" t="s">
        <v>14</v>
      </c>
    </row>
    <row r="97" spans="1:7" x14ac:dyDescent="0.45">
      <c r="A97" s="1">
        <v>44528</v>
      </c>
      <c r="B97" t="s">
        <v>15</v>
      </c>
      <c r="C97">
        <v>26.1</v>
      </c>
      <c r="E97" t="s">
        <v>35</v>
      </c>
      <c r="F97" t="s">
        <v>17</v>
      </c>
      <c r="G97" t="s">
        <v>14</v>
      </c>
    </row>
    <row r="98" spans="1:7" x14ac:dyDescent="0.45">
      <c r="A98" s="1">
        <v>44529</v>
      </c>
      <c r="B98" t="s">
        <v>18</v>
      </c>
      <c r="C98">
        <v>15</v>
      </c>
      <c r="E98" t="s">
        <v>33</v>
      </c>
      <c r="F98" t="s">
        <v>13</v>
      </c>
      <c r="G98" t="s">
        <v>14</v>
      </c>
    </row>
    <row r="99" spans="1:7" x14ac:dyDescent="0.45">
      <c r="A99" s="1">
        <v>44529</v>
      </c>
      <c r="B99" t="s">
        <v>11</v>
      </c>
      <c r="C99">
        <v>5</v>
      </c>
      <c r="E99" t="s">
        <v>12</v>
      </c>
      <c r="F99" t="s">
        <v>13</v>
      </c>
      <c r="G99" t="s">
        <v>14</v>
      </c>
    </row>
    <row r="100" spans="1:7" x14ac:dyDescent="0.45">
      <c r="A100" s="1">
        <v>44530</v>
      </c>
      <c r="B100" t="s">
        <v>11</v>
      </c>
      <c r="C100">
        <v>5</v>
      </c>
      <c r="E100" t="s">
        <v>12</v>
      </c>
      <c r="F100" t="s">
        <v>13</v>
      </c>
      <c r="G100" t="s">
        <v>14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19C1D-763C-4DCC-AC7C-E148CD298FA5}">
  <sheetPr codeName="Sheet2"/>
  <dimension ref="A1:J487"/>
  <sheetViews>
    <sheetView topLeftCell="B1" zoomScale="130" zoomScaleNormal="130" workbookViewId="0">
      <selection activeCell="D13" sqref="D13"/>
    </sheetView>
  </sheetViews>
  <sheetFormatPr defaultColWidth="20.73046875" defaultRowHeight="14.25" x14ac:dyDescent="0.45"/>
  <cols>
    <col min="1" max="1" width="20.73046875" style="1"/>
    <col min="9" max="9" width="20.73046875" style="3"/>
  </cols>
  <sheetData>
    <row r="1" spans="1:10" x14ac:dyDescent="0.45">
      <c r="A1" s="1" t="s">
        <v>0</v>
      </c>
      <c r="B1" t="s">
        <v>1</v>
      </c>
      <c r="C1" t="s">
        <v>2</v>
      </c>
      <c r="D1" t="s">
        <v>3</v>
      </c>
      <c r="E1" t="s">
        <v>5</v>
      </c>
      <c r="F1" t="s">
        <v>6</v>
      </c>
      <c r="G1" t="s">
        <v>7</v>
      </c>
      <c r="H1" t="s">
        <v>61</v>
      </c>
      <c r="I1" s="3" t="s">
        <v>62</v>
      </c>
      <c r="J1" t="s">
        <v>4</v>
      </c>
    </row>
    <row r="2" spans="1:10" x14ac:dyDescent="0.45">
      <c r="A2" s="1">
        <v>44200</v>
      </c>
      <c r="B2" t="s">
        <v>8</v>
      </c>
      <c r="D2">
        <v>5000</v>
      </c>
      <c r="E2" t="s">
        <v>100</v>
      </c>
      <c r="F2" t="s">
        <v>9</v>
      </c>
      <c r="G2" t="s">
        <v>10</v>
      </c>
      <c r="H2">
        <f>MONTH(Table2[[#This Row],[Date]])</f>
        <v>1</v>
      </c>
      <c r="I2" s="3">
        <f>WEEKDAY(Table2[[#This Row],[Date]])</f>
        <v>2</v>
      </c>
      <c r="J2">
        <f>Table2[[#This Row],[Credit]]-Table2[[#This Row],[Debit]]</f>
        <v>5000</v>
      </c>
    </row>
    <row r="3" spans="1:10" x14ac:dyDescent="0.45">
      <c r="A3" s="1">
        <v>44200</v>
      </c>
      <c r="B3" t="s">
        <v>11</v>
      </c>
      <c r="C3">
        <v>5</v>
      </c>
      <c r="E3" t="s">
        <v>12</v>
      </c>
      <c r="F3" t="s">
        <v>13</v>
      </c>
      <c r="G3" t="s">
        <v>14</v>
      </c>
      <c r="H3">
        <f>MONTH(Table2[[#This Row],[Date]])</f>
        <v>1</v>
      </c>
      <c r="I3" s="3">
        <f>WEEKDAY(Table2[[#This Row],[Date]])</f>
        <v>2</v>
      </c>
      <c r="J3">
        <f>Table2[[#This Row],[Credit]]-Table2[[#This Row],[Debit]]</f>
        <v>-5</v>
      </c>
    </row>
    <row r="4" spans="1:10" x14ac:dyDescent="0.45">
      <c r="A4" s="1">
        <v>44201</v>
      </c>
      <c r="B4" t="s">
        <v>15</v>
      </c>
      <c r="C4">
        <v>900</v>
      </c>
      <c r="E4" t="s">
        <v>16</v>
      </c>
      <c r="F4" t="s">
        <v>17</v>
      </c>
      <c r="G4" t="s">
        <v>14</v>
      </c>
      <c r="H4">
        <f>MONTH(Table2[[#This Row],[Date]])</f>
        <v>1</v>
      </c>
      <c r="I4" s="3">
        <f>WEEKDAY(Table2[[#This Row],[Date]])</f>
        <v>3</v>
      </c>
      <c r="J4">
        <f>Table2[[#This Row],[Credit]]-Table2[[#This Row],[Debit]]</f>
        <v>-900</v>
      </c>
    </row>
    <row r="5" spans="1:10" x14ac:dyDescent="0.45">
      <c r="A5" s="1">
        <v>44201</v>
      </c>
      <c r="B5" t="s">
        <v>18</v>
      </c>
      <c r="C5">
        <v>150</v>
      </c>
      <c r="E5" t="s">
        <v>19</v>
      </c>
      <c r="F5" t="s">
        <v>20</v>
      </c>
      <c r="G5" t="s">
        <v>14</v>
      </c>
      <c r="H5">
        <f>MONTH(Table2[[#This Row],[Date]])</f>
        <v>1</v>
      </c>
      <c r="I5" s="3">
        <f>WEEKDAY(Table2[[#This Row],[Date]])</f>
        <v>3</v>
      </c>
      <c r="J5">
        <f>Table2[[#This Row],[Credit]]-Table2[[#This Row],[Debit]]</f>
        <v>-150</v>
      </c>
    </row>
    <row r="6" spans="1:10" x14ac:dyDescent="0.45">
      <c r="A6" s="1">
        <v>44201</v>
      </c>
      <c r="B6" t="s">
        <v>11</v>
      </c>
      <c r="C6">
        <v>5</v>
      </c>
      <c r="E6" t="s">
        <v>12</v>
      </c>
      <c r="F6" t="s">
        <v>13</v>
      </c>
      <c r="G6" t="s">
        <v>14</v>
      </c>
      <c r="H6">
        <f>MONTH(Table2[[#This Row],[Date]])</f>
        <v>1</v>
      </c>
      <c r="I6" s="3">
        <f>WEEKDAY(Table2[[#This Row],[Date]])</f>
        <v>3</v>
      </c>
      <c r="J6">
        <f>Table2[[#This Row],[Credit]]-Table2[[#This Row],[Debit]]</f>
        <v>-5</v>
      </c>
    </row>
    <row r="7" spans="1:10" x14ac:dyDescent="0.45">
      <c r="A7" s="1">
        <v>44202</v>
      </c>
      <c r="B7" t="s">
        <v>11</v>
      </c>
      <c r="C7">
        <v>5</v>
      </c>
      <c r="E7" t="s">
        <v>12</v>
      </c>
      <c r="F7" t="s">
        <v>13</v>
      </c>
      <c r="G7" t="s">
        <v>14</v>
      </c>
      <c r="H7">
        <f>MONTH(Table2[[#This Row],[Date]])</f>
        <v>1</v>
      </c>
      <c r="I7" s="3">
        <f>WEEKDAY(Table2[[#This Row],[Date]])</f>
        <v>4</v>
      </c>
      <c r="J7">
        <f>Table2[[#This Row],[Credit]]-Table2[[#This Row],[Debit]]</f>
        <v>-5</v>
      </c>
    </row>
    <row r="8" spans="1:10" x14ac:dyDescent="0.45">
      <c r="A8" s="1">
        <v>44203</v>
      </c>
      <c r="B8" t="s">
        <v>11</v>
      </c>
      <c r="C8">
        <v>5</v>
      </c>
      <c r="E8" t="s">
        <v>12</v>
      </c>
      <c r="F8" t="s">
        <v>13</v>
      </c>
      <c r="G8" t="s">
        <v>14</v>
      </c>
      <c r="H8">
        <f>MONTH(Table2[[#This Row],[Date]])</f>
        <v>1</v>
      </c>
      <c r="I8" s="3">
        <f>WEEKDAY(Table2[[#This Row],[Date]])</f>
        <v>5</v>
      </c>
      <c r="J8">
        <f>Table2[[#This Row],[Credit]]-Table2[[#This Row],[Debit]]</f>
        <v>-5</v>
      </c>
    </row>
    <row r="9" spans="1:10" x14ac:dyDescent="0.45">
      <c r="A9" s="1">
        <v>44204</v>
      </c>
      <c r="B9" t="s">
        <v>11</v>
      </c>
      <c r="C9">
        <v>5</v>
      </c>
      <c r="E9" t="s">
        <v>12</v>
      </c>
      <c r="F9" t="s">
        <v>13</v>
      </c>
      <c r="G9" t="s">
        <v>14</v>
      </c>
      <c r="H9">
        <f>MONTH(Table2[[#This Row],[Date]])</f>
        <v>1</v>
      </c>
      <c r="I9" s="3">
        <f>WEEKDAY(Table2[[#This Row],[Date]])</f>
        <v>6</v>
      </c>
      <c r="J9">
        <f>Table2[[#This Row],[Credit]]-Table2[[#This Row],[Debit]]</f>
        <v>-5</v>
      </c>
    </row>
    <row r="10" spans="1:10" x14ac:dyDescent="0.45">
      <c r="A10" s="1">
        <v>44204</v>
      </c>
      <c r="B10" t="s">
        <v>21</v>
      </c>
      <c r="C10">
        <v>155</v>
      </c>
      <c r="E10" t="s">
        <v>22</v>
      </c>
      <c r="F10" t="s">
        <v>17</v>
      </c>
      <c r="G10" t="s">
        <v>14</v>
      </c>
      <c r="H10">
        <f>MONTH(Table2[[#This Row],[Date]])</f>
        <v>1</v>
      </c>
      <c r="I10" s="3">
        <f>WEEKDAY(Table2[[#This Row],[Date]])</f>
        <v>6</v>
      </c>
      <c r="J10">
        <f>Table2[[#This Row],[Credit]]-Table2[[#This Row],[Debit]]</f>
        <v>-155</v>
      </c>
    </row>
    <row r="11" spans="1:10" x14ac:dyDescent="0.45">
      <c r="A11" s="1">
        <v>44207</v>
      </c>
      <c r="B11" t="s">
        <v>23</v>
      </c>
      <c r="C11">
        <v>50</v>
      </c>
      <c r="E11" t="s">
        <v>24</v>
      </c>
      <c r="F11" t="s">
        <v>17</v>
      </c>
      <c r="G11" t="s">
        <v>14</v>
      </c>
      <c r="H11">
        <f>MONTH(Table2[[#This Row],[Date]])</f>
        <v>1</v>
      </c>
      <c r="I11" s="3">
        <f>WEEKDAY(Table2[[#This Row],[Date]])</f>
        <v>2</v>
      </c>
      <c r="J11">
        <f>Table2[[#This Row],[Credit]]-Table2[[#This Row],[Debit]]</f>
        <v>-50</v>
      </c>
    </row>
    <row r="12" spans="1:10" x14ac:dyDescent="0.45">
      <c r="A12" s="1">
        <v>44207</v>
      </c>
      <c r="B12" t="s">
        <v>11</v>
      </c>
      <c r="C12">
        <v>5</v>
      </c>
      <c r="E12" t="s">
        <v>12</v>
      </c>
      <c r="F12" t="s">
        <v>13</v>
      </c>
      <c r="G12" t="s">
        <v>14</v>
      </c>
      <c r="H12">
        <f>MONTH(Table2[[#This Row],[Date]])</f>
        <v>1</v>
      </c>
      <c r="I12" s="3">
        <f>WEEKDAY(Table2[[#This Row],[Date]])</f>
        <v>2</v>
      </c>
      <c r="J12">
        <f>Table2[[#This Row],[Credit]]-Table2[[#This Row],[Debit]]</f>
        <v>-5</v>
      </c>
    </row>
    <row r="13" spans="1:10" x14ac:dyDescent="0.45">
      <c r="A13" s="1">
        <v>44208</v>
      </c>
      <c r="B13" t="s">
        <v>11</v>
      </c>
      <c r="C13">
        <v>5</v>
      </c>
      <c r="E13" t="s">
        <v>12</v>
      </c>
      <c r="F13" t="s">
        <v>13</v>
      </c>
      <c r="G13" t="s">
        <v>14</v>
      </c>
      <c r="H13">
        <f>MONTH(Table2[[#This Row],[Date]])</f>
        <v>1</v>
      </c>
      <c r="I13" s="3">
        <f>WEEKDAY(Table2[[#This Row],[Date]])</f>
        <v>3</v>
      </c>
      <c r="J13">
        <f>Table2[[#This Row],[Credit]]-Table2[[#This Row],[Debit]]</f>
        <v>-5</v>
      </c>
    </row>
    <row r="14" spans="1:10" x14ac:dyDescent="0.45">
      <c r="A14" s="1">
        <v>44209</v>
      </c>
      <c r="B14" t="s">
        <v>25</v>
      </c>
      <c r="C14">
        <v>77</v>
      </c>
      <c r="E14" t="s">
        <v>12</v>
      </c>
      <c r="F14" t="s">
        <v>13</v>
      </c>
      <c r="G14" t="s">
        <v>14</v>
      </c>
      <c r="H14">
        <f>MONTH(Table2[[#This Row],[Date]])</f>
        <v>1</v>
      </c>
      <c r="I14" s="3">
        <f>WEEKDAY(Table2[[#This Row],[Date]])</f>
        <v>4</v>
      </c>
      <c r="J14">
        <f>Table2[[#This Row],[Credit]]-Table2[[#This Row],[Debit]]</f>
        <v>-77</v>
      </c>
    </row>
    <row r="15" spans="1:10" x14ac:dyDescent="0.45">
      <c r="A15" s="1">
        <v>44209</v>
      </c>
      <c r="B15" t="s">
        <v>11</v>
      </c>
      <c r="C15">
        <v>5</v>
      </c>
      <c r="E15" t="s">
        <v>12</v>
      </c>
      <c r="F15" t="s">
        <v>13</v>
      </c>
      <c r="G15" t="s">
        <v>14</v>
      </c>
      <c r="H15">
        <f>MONTH(Table2[[#This Row],[Date]])</f>
        <v>1</v>
      </c>
      <c r="I15" s="3">
        <f>WEEKDAY(Table2[[#This Row],[Date]])</f>
        <v>4</v>
      </c>
      <c r="J15">
        <f>Table2[[#This Row],[Credit]]-Table2[[#This Row],[Debit]]</f>
        <v>-5</v>
      </c>
    </row>
    <row r="16" spans="1:10" x14ac:dyDescent="0.45">
      <c r="A16" s="1">
        <v>44210</v>
      </c>
      <c r="B16" t="s">
        <v>11</v>
      </c>
      <c r="C16">
        <v>5</v>
      </c>
      <c r="E16" t="s">
        <v>12</v>
      </c>
      <c r="F16" t="s">
        <v>13</v>
      </c>
      <c r="G16" t="s">
        <v>14</v>
      </c>
      <c r="H16">
        <f>MONTH(Table2[[#This Row],[Date]])</f>
        <v>1</v>
      </c>
      <c r="I16" s="3">
        <f>WEEKDAY(Table2[[#This Row],[Date]])</f>
        <v>5</v>
      </c>
      <c r="J16">
        <f>Table2[[#This Row],[Credit]]-Table2[[#This Row],[Debit]]</f>
        <v>-5</v>
      </c>
    </row>
    <row r="17" spans="1:10" x14ac:dyDescent="0.45">
      <c r="A17" s="1">
        <v>44211</v>
      </c>
      <c r="B17" t="s">
        <v>21</v>
      </c>
      <c r="C17">
        <v>135</v>
      </c>
      <c r="E17" t="s">
        <v>22</v>
      </c>
      <c r="F17" t="s">
        <v>17</v>
      </c>
      <c r="G17" t="s">
        <v>14</v>
      </c>
      <c r="H17">
        <f>MONTH(Table2[[#This Row],[Date]])</f>
        <v>1</v>
      </c>
      <c r="I17" s="3">
        <f>WEEKDAY(Table2[[#This Row],[Date]])</f>
        <v>6</v>
      </c>
      <c r="J17">
        <f>Table2[[#This Row],[Credit]]-Table2[[#This Row],[Debit]]</f>
        <v>-135</v>
      </c>
    </row>
    <row r="18" spans="1:10" x14ac:dyDescent="0.45">
      <c r="A18" s="1">
        <v>44211</v>
      </c>
      <c r="B18" t="s">
        <v>11</v>
      </c>
      <c r="C18">
        <v>5</v>
      </c>
      <c r="E18" t="s">
        <v>12</v>
      </c>
      <c r="F18" t="s">
        <v>13</v>
      </c>
      <c r="G18" t="s">
        <v>14</v>
      </c>
      <c r="H18">
        <f>MONTH(Table2[[#This Row],[Date]])</f>
        <v>1</v>
      </c>
      <c r="I18" s="3">
        <f>WEEKDAY(Table2[[#This Row],[Date]])</f>
        <v>6</v>
      </c>
      <c r="J18">
        <f>Table2[[#This Row],[Credit]]-Table2[[#This Row],[Debit]]</f>
        <v>-5</v>
      </c>
    </row>
    <row r="19" spans="1:10" x14ac:dyDescent="0.45">
      <c r="A19" s="1">
        <v>44212</v>
      </c>
      <c r="B19" t="s">
        <v>11</v>
      </c>
      <c r="C19">
        <v>5</v>
      </c>
      <c r="E19" t="s">
        <v>12</v>
      </c>
      <c r="F19" t="s">
        <v>13</v>
      </c>
      <c r="G19" t="s">
        <v>14</v>
      </c>
      <c r="H19">
        <f>MONTH(Table2[[#This Row],[Date]])</f>
        <v>1</v>
      </c>
      <c r="I19" s="3">
        <f>WEEKDAY(Table2[[#This Row],[Date]])</f>
        <v>7</v>
      </c>
      <c r="J19">
        <f>Table2[[#This Row],[Credit]]-Table2[[#This Row],[Debit]]</f>
        <v>-5</v>
      </c>
    </row>
    <row r="20" spans="1:10" x14ac:dyDescent="0.45">
      <c r="A20" s="1">
        <v>44212</v>
      </c>
      <c r="B20" t="s">
        <v>27</v>
      </c>
      <c r="C20">
        <v>40</v>
      </c>
      <c r="E20" t="s">
        <v>28</v>
      </c>
      <c r="F20" t="s">
        <v>29</v>
      </c>
      <c r="G20" t="s">
        <v>14</v>
      </c>
      <c r="H20">
        <f>MONTH(Table2[[#This Row],[Date]])</f>
        <v>1</v>
      </c>
      <c r="I20" s="3">
        <f>WEEKDAY(Table2[[#This Row],[Date]])</f>
        <v>7</v>
      </c>
      <c r="J20">
        <f>Table2[[#This Row],[Credit]]-Table2[[#This Row],[Debit]]</f>
        <v>-40</v>
      </c>
    </row>
    <row r="21" spans="1:10" x14ac:dyDescent="0.45">
      <c r="A21" s="1">
        <v>44212</v>
      </c>
      <c r="B21" t="s">
        <v>30</v>
      </c>
      <c r="C21">
        <v>98</v>
      </c>
      <c r="E21" t="s">
        <v>31</v>
      </c>
      <c r="F21" t="s">
        <v>29</v>
      </c>
      <c r="G21" t="s">
        <v>14</v>
      </c>
      <c r="H21">
        <f>MONTH(Table2[[#This Row],[Date]])</f>
        <v>1</v>
      </c>
      <c r="I21" s="3">
        <f>WEEKDAY(Table2[[#This Row],[Date]])</f>
        <v>7</v>
      </c>
      <c r="J21">
        <f>Table2[[#This Row],[Credit]]-Table2[[#This Row],[Debit]]</f>
        <v>-98</v>
      </c>
    </row>
    <row r="22" spans="1:10" x14ac:dyDescent="0.45">
      <c r="A22" s="1">
        <v>44212</v>
      </c>
      <c r="B22" t="s">
        <v>32</v>
      </c>
      <c r="C22">
        <v>52</v>
      </c>
      <c r="E22" t="s">
        <v>33</v>
      </c>
      <c r="F22" t="s">
        <v>13</v>
      </c>
      <c r="G22" t="s">
        <v>14</v>
      </c>
      <c r="H22">
        <f>MONTH(Table2[[#This Row],[Date]])</f>
        <v>1</v>
      </c>
      <c r="I22" s="3">
        <f>WEEKDAY(Table2[[#This Row],[Date]])</f>
        <v>7</v>
      </c>
      <c r="J22">
        <f>Table2[[#This Row],[Credit]]-Table2[[#This Row],[Debit]]</f>
        <v>-52</v>
      </c>
    </row>
    <row r="23" spans="1:10" x14ac:dyDescent="0.45">
      <c r="A23" s="1">
        <v>44213</v>
      </c>
      <c r="B23" t="s">
        <v>34</v>
      </c>
      <c r="C23">
        <v>28</v>
      </c>
      <c r="E23" t="s">
        <v>35</v>
      </c>
      <c r="F23" t="s">
        <v>20</v>
      </c>
      <c r="G23" t="s">
        <v>14</v>
      </c>
      <c r="H23">
        <f>MONTH(Table2[[#This Row],[Date]])</f>
        <v>1</v>
      </c>
      <c r="I23" s="3">
        <f>WEEKDAY(Table2[[#This Row],[Date]])</f>
        <v>1</v>
      </c>
      <c r="J23">
        <f>Table2[[#This Row],[Credit]]-Table2[[#This Row],[Debit]]</f>
        <v>-28</v>
      </c>
    </row>
    <row r="24" spans="1:10" x14ac:dyDescent="0.45">
      <c r="A24" s="1">
        <v>44214</v>
      </c>
      <c r="B24" t="s">
        <v>36</v>
      </c>
      <c r="D24">
        <v>4500</v>
      </c>
      <c r="E24" t="s">
        <v>37</v>
      </c>
      <c r="F24" t="s">
        <v>38</v>
      </c>
      <c r="G24" t="s">
        <v>10</v>
      </c>
      <c r="H24">
        <f>MONTH(Table2[[#This Row],[Date]])</f>
        <v>1</v>
      </c>
      <c r="I24" s="3">
        <f>WEEKDAY(Table2[[#This Row],[Date]])</f>
        <v>2</v>
      </c>
      <c r="J24">
        <f>Table2[[#This Row],[Credit]]-Table2[[#This Row],[Debit]]</f>
        <v>4500</v>
      </c>
    </row>
    <row r="25" spans="1:10" x14ac:dyDescent="0.45">
      <c r="A25" s="1">
        <v>44214</v>
      </c>
      <c r="B25" t="s">
        <v>11</v>
      </c>
      <c r="C25">
        <v>5</v>
      </c>
      <c r="E25" t="s">
        <v>12</v>
      </c>
      <c r="F25" t="s">
        <v>13</v>
      </c>
      <c r="G25" t="s">
        <v>14</v>
      </c>
      <c r="H25">
        <f>MONTH(Table2[[#This Row],[Date]])</f>
        <v>1</v>
      </c>
      <c r="I25" s="3">
        <f>WEEKDAY(Table2[[#This Row],[Date]])</f>
        <v>2</v>
      </c>
      <c r="J25">
        <f>Table2[[#This Row],[Credit]]-Table2[[#This Row],[Debit]]</f>
        <v>-5</v>
      </c>
    </row>
    <row r="26" spans="1:10" x14ac:dyDescent="0.45">
      <c r="A26" s="1">
        <v>44215</v>
      </c>
      <c r="B26" t="s">
        <v>11</v>
      </c>
      <c r="C26">
        <v>5</v>
      </c>
      <c r="E26" t="s">
        <v>12</v>
      </c>
      <c r="F26" t="s">
        <v>13</v>
      </c>
      <c r="G26" t="s">
        <v>14</v>
      </c>
      <c r="H26">
        <f>MONTH(Table2[[#This Row],[Date]])</f>
        <v>1</v>
      </c>
      <c r="I26" s="3">
        <f>WEEKDAY(Table2[[#This Row],[Date]])</f>
        <v>3</v>
      </c>
      <c r="J26">
        <f>Table2[[#This Row],[Credit]]-Table2[[#This Row],[Debit]]</f>
        <v>-5</v>
      </c>
    </row>
    <row r="27" spans="1:10" x14ac:dyDescent="0.45">
      <c r="A27" s="1">
        <v>44215</v>
      </c>
      <c r="B27" t="s">
        <v>36</v>
      </c>
      <c r="D27">
        <v>4500</v>
      </c>
      <c r="E27" t="s">
        <v>53</v>
      </c>
      <c r="F27" t="s">
        <v>38</v>
      </c>
      <c r="G27" t="s">
        <v>10</v>
      </c>
      <c r="H27">
        <f>MONTH(Table2[[#This Row],[Date]])</f>
        <v>1</v>
      </c>
      <c r="I27" s="3">
        <f>WEEKDAY(Table2[[#This Row],[Date]])</f>
        <v>3</v>
      </c>
      <c r="J27">
        <f>Table2[[#This Row],[Credit]]-Table2[[#This Row],[Debit]]</f>
        <v>4500</v>
      </c>
    </row>
    <row r="28" spans="1:10" x14ac:dyDescent="0.45">
      <c r="A28" s="1">
        <v>44215</v>
      </c>
      <c r="B28" t="s">
        <v>40</v>
      </c>
      <c r="C28">
        <v>40</v>
      </c>
      <c r="E28" t="s">
        <v>40</v>
      </c>
      <c r="F28" t="s">
        <v>17</v>
      </c>
      <c r="G28" t="s">
        <v>14</v>
      </c>
      <c r="H28">
        <f>MONTH(Table2[[#This Row],[Date]])</f>
        <v>1</v>
      </c>
      <c r="I28" s="3">
        <f>WEEKDAY(Table2[[#This Row],[Date]])</f>
        <v>3</v>
      </c>
      <c r="J28">
        <f>Table2[[#This Row],[Credit]]-Table2[[#This Row],[Debit]]</f>
        <v>-40</v>
      </c>
    </row>
    <row r="29" spans="1:10" x14ac:dyDescent="0.45">
      <c r="A29" s="1">
        <v>44216</v>
      </c>
      <c r="B29" t="s">
        <v>41</v>
      </c>
      <c r="C29">
        <v>45</v>
      </c>
      <c r="E29" t="s">
        <v>42</v>
      </c>
      <c r="F29" t="s">
        <v>29</v>
      </c>
      <c r="G29" t="s">
        <v>14</v>
      </c>
      <c r="H29">
        <f>MONTH(Table2[[#This Row],[Date]])</f>
        <v>1</v>
      </c>
      <c r="I29" s="3">
        <f>WEEKDAY(Table2[[#This Row],[Date]])</f>
        <v>4</v>
      </c>
      <c r="J29">
        <f>Table2[[#This Row],[Credit]]-Table2[[#This Row],[Debit]]</f>
        <v>-45</v>
      </c>
    </row>
    <row r="30" spans="1:10" x14ac:dyDescent="0.45">
      <c r="A30" s="1">
        <v>44216</v>
      </c>
      <c r="B30" t="s">
        <v>43</v>
      </c>
      <c r="C30">
        <v>32</v>
      </c>
      <c r="E30" t="s">
        <v>28</v>
      </c>
      <c r="F30" t="s">
        <v>29</v>
      </c>
      <c r="G30" t="s">
        <v>14</v>
      </c>
      <c r="H30">
        <f>MONTH(Table2[[#This Row],[Date]])</f>
        <v>1</v>
      </c>
      <c r="I30" s="3">
        <f>WEEKDAY(Table2[[#This Row],[Date]])</f>
        <v>4</v>
      </c>
      <c r="J30">
        <f>Table2[[#This Row],[Credit]]-Table2[[#This Row],[Debit]]</f>
        <v>-32</v>
      </c>
    </row>
    <row r="31" spans="1:10" x14ac:dyDescent="0.45">
      <c r="A31" s="1">
        <v>44216</v>
      </c>
      <c r="B31" t="s">
        <v>11</v>
      </c>
      <c r="C31">
        <v>5</v>
      </c>
      <c r="E31" t="s">
        <v>12</v>
      </c>
      <c r="F31" t="s">
        <v>13</v>
      </c>
      <c r="G31" t="s">
        <v>14</v>
      </c>
      <c r="H31">
        <f>MONTH(Table2[[#This Row],[Date]])</f>
        <v>1</v>
      </c>
      <c r="I31" s="3">
        <f>WEEKDAY(Table2[[#This Row],[Date]])</f>
        <v>4</v>
      </c>
      <c r="J31">
        <f>Table2[[#This Row],[Credit]]-Table2[[#This Row],[Debit]]</f>
        <v>-5</v>
      </c>
    </row>
    <row r="32" spans="1:10" x14ac:dyDescent="0.45">
      <c r="A32" s="1">
        <v>44217</v>
      </c>
      <c r="B32" t="s">
        <v>11</v>
      </c>
      <c r="C32">
        <v>5</v>
      </c>
      <c r="E32" t="s">
        <v>12</v>
      </c>
      <c r="F32" t="s">
        <v>13</v>
      </c>
      <c r="G32" t="s">
        <v>14</v>
      </c>
      <c r="H32">
        <f>MONTH(Table2[[#This Row],[Date]])</f>
        <v>1</v>
      </c>
      <c r="I32" s="3">
        <f>WEEKDAY(Table2[[#This Row],[Date]])</f>
        <v>5</v>
      </c>
      <c r="J32">
        <f>Table2[[#This Row],[Credit]]-Table2[[#This Row],[Debit]]</f>
        <v>-5</v>
      </c>
    </row>
    <row r="33" spans="1:10" x14ac:dyDescent="0.45">
      <c r="A33" s="1">
        <v>44218</v>
      </c>
      <c r="B33" t="s">
        <v>11</v>
      </c>
      <c r="C33">
        <v>5</v>
      </c>
      <c r="E33" t="s">
        <v>12</v>
      </c>
      <c r="F33" t="s">
        <v>13</v>
      </c>
      <c r="G33" t="s">
        <v>14</v>
      </c>
      <c r="H33">
        <f>MONTH(Table2[[#This Row],[Date]])</f>
        <v>1</v>
      </c>
      <c r="I33" s="3">
        <f>WEEKDAY(Table2[[#This Row],[Date]])</f>
        <v>6</v>
      </c>
      <c r="J33">
        <f>Table2[[#This Row],[Credit]]-Table2[[#This Row],[Debit]]</f>
        <v>-5</v>
      </c>
    </row>
    <row r="34" spans="1:10" x14ac:dyDescent="0.45">
      <c r="A34" s="1">
        <v>44218</v>
      </c>
      <c r="B34" t="s">
        <v>21</v>
      </c>
      <c r="C34">
        <v>170</v>
      </c>
      <c r="E34" t="s">
        <v>22</v>
      </c>
      <c r="F34" t="s">
        <v>17</v>
      </c>
      <c r="G34" t="s">
        <v>14</v>
      </c>
      <c r="H34">
        <f>MONTH(Table2[[#This Row],[Date]])</f>
        <v>1</v>
      </c>
      <c r="I34" s="3">
        <f>WEEKDAY(Table2[[#This Row],[Date]])</f>
        <v>6</v>
      </c>
      <c r="J34">
        <f>Table2[[#This Row],[Credit]]-Table2[[#This Row],[Debit]]</f>
        <v>-170</v>
      </c>
    </row>
    <row r="35" spans="1:10" x14ac:dyDescent="0.45">
      <c r="A35" s="1">
        <v>44219</v>
      </c>
      <c r="B35" t="s">
        <v>44</v>
      </c>
      <c r="C35">
        <v>37</v>
      </c>
      <c r="E35" t="s">
        <v>33</v>
      </c>
      <c r="F35" t="s">
        <v>13</v>
      </c>
      <c r="G35" t="s">
        <v>14</v>
      </c>
      <c r="H35">
        <f>MONTH(Table2[[#This Row],[Date]])</f>
        <v>1</v>
      </c>
      <c r="I35" s="3">
        <f>WEEKDAY(Table2[[#This Row],[Date]])</f>
        <v>7</v>
      </c>
      <c r="J35">
        <f>Table2[[#This Row],[Credit]]-Table2[[#This Row],[Debit]]</f>
        <v>-37</v>
      </c>
    </row>
    <row r="36" spans="1:10" x14ac:dyDescent="0.45">
      <c r="A36" s="1">
        <v>44220</v>
      </c>
      <c r="B36" t="s">
        <v>45</v>
      </c>
      <c r="C36">
        <v>12</v>
      </c>
      <c r="E36" t="s">
        <v>33</v>
      </c>
      <c r="F36" t="s">
        <v>13</v>
      </c>
      <c r="G36" t="s">
        <v>14</v>
      </c>
      <c r="H36">
        <f>MONTH(Table2[[#This Row],[Date]])</f>
        <v>1</v>
      </c>
      <c r="I36" s="3">
        <f>WEEKDAY(Table2[[#This Row],[Date]])</f>
        <v>1</v>
      </c>
      <c r="J36">
        <f>Table2[[#This Row],[Credit]]-Table2[[#This Row],[Debit]]</f>
        <v>-12</v>
      </c>
    </row>
    <row r="37" spans="1:10" x14ac:dyDescent="0.45">
      <c r="A37" s="1">
        <v>44221</v>
      </c>
      <c r="B37" t="s">
        <v>46</v>
      </c>
      <c r="C37">
        <v>55</v>
      </c>
      <c r="E37" t="s">
        <v>47</v>
      </c>
      <c r="F37" t="s">
        <v>48</v>
      </c>
      <c r="G37" t="s">
        <v>14</v>
      </c>
      <c r="H37">
        <f>MONTH(Table2[[#This Row],[Date]])</f>
        <v>1</v>
      </c>
      <c r="I37" s="3">
        <f>WEEKDAY(Table2[[#This Row],[Date]])</f>
        <v>2</v>
      </c>
      <c r="J37">
        <f>Table2[[#This Row],[Credit]]-Table2[[#This Row],[Debit]]</f>
        <v>-55</v>
      </c>
    </row>
    <row r="38" spans="1:10" x14ac:dyDescent="0.45">
      <c r="A38" s="1">
        <v>44221</v>
      </c>
      <c r="B38" t="s">
        <v>25</v>
      </c>
      <c r="C38">
        <v>63</v>
      </c>
      <c r="E38" t="s">
        <v>26</v>
      </c>
      <c r="F38" t="s">
        <v>20</v>
      </c>
      <c r="G38" t="s">
        <v>14</v>
      </c>
      <c r="H38">
        <f>MONTH(Table2[[#This Row],[Date]])</f>
        <v>1</v>
      </c>
      <c r="I38" s="3">
        <f>WEEKDAY(Table2[[#This Row],[Date]])</f>
        <v>2</v>
      </c>
      <c r="J38">
        <f>Table2[[#This Row],[Credit]]-Table2[[#This Row],[Debit]]</f>
        <v>-63</v>
      </c>
    </row>
    <row r="39" spans="1:10" x14ac:dyDescent="0.45">
      <c r="A39" s="1">
        <v>44221</v>
      </c>
      <c r="B39" t="s">
        <v>11</v>
      </c>
      <c r="C39">
        <v>5</v>
      </c>
      <c r="E39" t="s">
        <v>12</v>
      </c>
      <c r="F39" t="s">
        <v>13</v>
      </c>
      <c r="G39" t="s">
        <v>14</v>
      </c>
      <c r="H39">
        <f>MONTH(Table2[[#This Row],[Date]])</f>
        <v>1</v>
      </c>
      <c r="I39" s="3">
        <f>WEEKDAY(Table2[[#This Row],[Date]])</f>
        <v>2</v>
      </c>
      <c r="J39">
        <f>Table2[[#This Row],[Credit]]-Table2[[#This Row],[Debit]]</f>
        <v>-5</v>
      </c>
    </row>
    <row r="40" spans="1:10" x14ac:dyDescent="0.45">
      <c r="A40" s="1">
        <v>44222</v>
      </c>
      <c r="B40" t="s">
        <v>11</v>
      </c>
      <c r="C40">
        <v>5</v>
      </c>
      <c r="E40" t="s">
        <v>12</v>
      </c>
      <c r="F40" t="s">
        <v>13</v>
      </c>
      <c r="G40" t="s">
        <v>14</v>
      </c>
      <c r="H40">
        <f>MONTH(Table2[[#This Row],[Date]])</f>
        <v>1</v>
      </c>
      <c r="I40" s="3">
        <f>WEEKDAY(Table2[[#This Row],[Date]])</f>
        <v>3</v>
      </c>
      <c r="J40">
        <f>Table2[[#This Row],[Credit]]-Table2[[#This Row],[Debit]]</f>
        <v>-5</v>
      </c>
    </row>
    <row r="41" spans="1:10" x14ac:dyDescent="0.45">
      <c r="A41" s="1">
        <v>44223</v>
      </c>
      <c r="B41" t="s">
        <v>11</v>
      </c>
      <c r="C41">
        <v>5</v>
      </c>
      <c r="E41" t="s">
        <v>12</v>
      </c>
      <c r="F41" t="s">
        <v>13</v>
      </c>
      <c r="G41" t="s">
        <v>14</v>
      </c>
      <c r="H41">
        <f>MONTH(Table2[[#This Row],[Date]])</f>
        <v>1</v>
      </c>
      <c r="I41" s="3">
        <f>WEEKDAY(Table2[[#This Row],[Date]])</f>
        <v>4</v>
      </c>
      <c r="J41">
        <f>Table2[[#This Row],[Credit]]-Table2[[#This Row],[Debit]]</f>
        <v>-5</v>
      </c>
    </row>
    <row r="42" spans="1:10" x14ac:dyDescent="0.45">
      <c r="A42" s="1">
        <v>44224</v>
      </c>
      <c r="B42" t="s">
        <v>11</v>
      </c>
      <c r="C42">
        <v>5</v>
      </c>
      <c r="E42" t="s">
        <v>12</v>
      </c>
      <c r="F42" t="s">
        <v>13</v>
      </c>
      <c r="G42" t="s">
        <v>14</v>
      </c>
      <c r="H42">
        <f>MONTH(Table2[[#This Row],[Date]])</f>
        <v>1</v>
      </c>
      <c r="I42" s="3">
        <f>WEEKDAY(Table2[[#This Row],[Date]])</f>
        <v>5</v>
      </c>
      <c r="J42">
        <f>Table2[[#This Row],[Credit]]-Table2[[#This Row],[Debit]]</f>
        <v>-5</v>
      </c>
    </row>
    <row r="43" spans="1:10" x14ac:dyDescent="0.45">
      <c r="A43" s="1">
        <v>44225</v>
      </c>
      <c r="B43" t="s">
        <v>11</v>
      </c>
      <c r="C43">
        <v>5</v>
      </c>
      <c r="E43" t="s">
        <v>12</v>
      </c>
      <c r="F43" t="s">
        <v>13</v>
      </c>
      <c r="G43" t="s">
        <v>14</v>
      </c>
      <c r="H43">
        <f>MONTH(Table2[[#This Row],[Date]])</f>
        <v>1</v>
      </c>
      <c r="I43" s="3">
        <f>WEEKDAY(Table2[[#This Row],[Date]])</f>
        <v>6</v>
      </c>
      <c r="J43">
        <f>Table2[[#This Row],[Credit]]-Table2[[#This Row],[Debit]]</f>
        <v>-5</v>
      </c>
    </row>
    <row r="44" spans="1:10" x14ac:dyDescent="0.45">
      <c r="A44" s="1">
        <v>44225</v>
      </c>
      <c r="B44" t="s">
        <v>21</v>
      </c>
      <c r="C44">
        <v>162</v>
      </c>
      <c r="E44" t="s">
        <v>22</v>
      </c>
      <c r="F44" t="s">
        <v>17</v>
      </c>
      <c r="G44" t="s">
        <v>14</v>
      </c>
      <c r="H44">
        <f>MONTH(Table2[[#This Row],[Date]])</f>
        <v>1</v>
      </c>
      <c r="I44" s="3">
        <f>WEEKDAY(Table2[[#This Row],[Date]])</f>
        <v>6</v>
      </c>
      <c r="J44">
        <f>Table2[[#This Row],[Credit]]-Table2[[#This Row],[Debit]]</f>
        <v>-162</v>
      </c>
    </row>
    <row r="45" spans="1:10" x14ac:dyDescent="0.45">
      <c r="A45" s="1">
        <v>44226</v>
      </c>
      <c r="B45" t="s">
        <v>49</v>
      </c>
      <c r="C45">
        <v>125</v>
      </c>
      <c r="E45" t="s">
        <v>31</v>
      </c>
      <c r="F45" t="s">
        <v>29</v>
      </c>
      <c r="G45" t="s">
        <v>14</v>
      </c>
      <c r="H45">
        <f>MONTH(Table2[[#This Row],[Date]])</f>
        <v>1</v>
      </c>
      <c r="I45" s="3">
        <f>WEEKDAY(Table2[[#This Row],[Date]])</f>
        <v>7</v>
      </c>
      <c r="J45">
        <f>Table2[[#This Row],[Credit]]-Table2[[#This Row],[Debit]]</f>
        <v>-125</v>
      </c>
    </row>
    <row r="46" spans="1:10" x14ac:dyDescent="0.45">
      <c r="A46" s="1">
        <v>44226</v>
      </c>
      <c r="B46" t="s">
        <v>50</v>
      </c>
      <c r="C46">
        <v>175</v>
      </c>
      <c r="E46" t="s">
        <v>28</v>
      </c>
      <c r="F46" t="s">
        <v>29</v>
      </c>
      <c r="G46" t="s">
        <v>14</v>
      </c>
      <c r="H46">
        <f>MONTH(Table2[[#This Row],[Date]])</f>
        <v>1</v>
      </c>
      <c r="I46" s="3">
        <f>WEEKDAY(Table2[[#This Row],[Date]])</f>
        <v>7</v>
      </c>
      <c r="J46">
        <f>Table2[[#This Row],[Credit]]-Table2[[#This Row],[Debit]]</f>
        <v>-175</v>
      </c>
    </row>
    <row r="47" spans="1:10" x14ac:dyDescent="0.45">
      <c r="A47" s="1">
        <v>44227</v>
      </c>
      <c r="B47" t="s">
        <v>30</v>
      </c>
      <c r="C47">
        <v>145</v>
      </c>
      <c r="E47" t="s">
        <v>31</v>
      </c>
      <c r="F47" t="s">
        <v>29</v>
      </c>
      <c r="G47" t="s">
        <v>14</v>
      </c>
      <c r="H47">
        <f>MONTH(Table2[[#This Row],[Date]])</f>
        <v>1</v>
      </c>
      <c r="I47" s="3">
        <f>WEEKDAY(Table2[[#This Row],[Date]])</f>
        <v>1</v>
      </c>
      <c r="J47">
        <f>Table2[[#This Row],[Credit]]-Table2[[#This Row],[Debit]]</f>
        <v>-145</v>
      </c>
    </row>
    <row r="48" spans="1:10" x14ac:dyDescent="0.45">
      <c r="A48" s="1">
        <v>44227</v>
      </c>
      <c r="B48" t="s">
        <v>34</v>
      </c>
      <c r="C48">
        <v>23</v>
      </c>
      <c r="E48" t="s">
        <v>35</v>
      </c>
      <c r="F48" t="s">
        <v>20</v>
      </c>
      <c r="G48" t="s">
        <v>14</v>
      </c>
      <c r="H48">
        <f>MONTH(Table2[[#This Row],[Date]])</f>
        <v>1</v>
      </c>
      <c r="I48" s="3">
        <f>WEEKDAY(Table2[[#This Row],[Date]])</f>
        <v>1</v>
      </c>
      <c r="J48">
        <f>Table2[[#This Row],[Credit]]-Table2[[#This Row],[Debit]]</f>
        <v>-23</v>
      </c>
    </row>
    <row r="49" spans="1:10" x14ac:dyDescent="0.45">
      <c r="A49" s="1">
        <v>44228</v>
      </c>
      <c r="B49" t="s">
        <v>8</v>
      </c>
      <c r="D49">
        <v>5000</v>
      </c>
      <c r="E49" t="s">
        <v>100</v>
      </c>
      <c r="F49" t="s">
        <v>9</v>
      </c>
      <c r="G49" t="s">
        <v>10</v>
      </c>
      <c r="H49">
        <f>MONTH(Table2[[#This Row],[Date]])</f>
        <v>2</v>
      </c>
      <c r="I49" s="3">
        <f>WEEKDAY(Table2[[#This Row],[Date]])</f>
        <v>2</v>
      </c>
      <c r="J49">
        <f>Table2[[#This Row],[Credit]]-Table2[[#This Row],[Debit]]</f>
        <v>5000</v>
      </c>
    </row>
    <row r="50" spans="1:10" x14ac:dyDescent="0.45">
      <c r="A50" s="1">
        <v>44228</v>
      </c>
      <c r="B50" t="s">
        <v>11</v>
      </c>
      <c r="C50">
        <v>5</v>
      </c>
      <c r="E50" t="s">
        <v>12</v>
      </c>
      <c r="F50" t="s">
        <v>13</v>
      </c>
      <c r="G50" t="s">
        <v>14</v>
      </c>
      <c r="H50">
        <f>MONTH(Table2[[#This Row],[Date]])</f>
        <v>2</v>
      </c>
      <c r="I50" s="3">
        <f>WEEKDAY(Table2[[#This Row],[Date]])</f>
        <v>2</v>
      </c>
      <c r="J50">
        <f>Table2[[#This Row],[Credit]]-Table2[[#This Row],[Debit]]</f>
        <v>-5</v>
      </c>
    </row>
    <row r="51" spans="1:10" x14ac:dyDescent="0.45">
      <c r="A51" s="1">
        <v>44229</v>
      </c>
      <c r="B51" t="s">
        <v>15</v>
      </c>
      <c r="C51">
        <v>900</v>
      </c>
      <c r="E51" t="s">
        <v>16</v>
      </c>
      <c r="F51" t="s">
        <v>17</v>
      </c>
      <c r="G51" t="s">
        <v>14</v>
      </c>
      <c r="H51">
        <f>MONTH(Table2[[#This Row],[Date]])</f>
        <v>2</v>
      </c>
      <c r="I51" s="3">
        <f>WEEKDAY(Table2[[#This Row],[Date]])</f>
        <v>3</v>
      </c>
      <c r="J51">
        <f>Table2[[#This Row],[Credit]]-Table2[[#This Row],[Debit]]</f>
        <v>-900</v>
      </c>
    </row>
    <row r="52" spans="1:10" x14ac:dyDescent="0.45">
      <c r="A52" s="1">
        <v>44229</v>
      </c>
      <c r="B52" t="s">
        <v>18</v>
      </c>
      <c r="C52">
        <v>150</v>
      </c>
      <c r="E52" t="s">
        <v>19</v>
      </c>
      <c r="F52" t="s">
        <v>20</v>
      </c>
      <c r="G52" t="s">
        <v>14</v>
      </c>
      <c r="H52">
        <f>MONTH(Table2[[#This Row],[Date]])</f>
        <v>2</v>
      </c>
      <c r="I52" s="3">
        <f>WEEKDAY(Table2[[#This Row],[Date]])</f>
        <v>3</v>
      </c>
      <c r="J52">
        <f>Table2[[#This Row],[Credit]]-Table2[[#This Row],[Debit]]</f>
        <v>-150</v>
      </c>
    </row>
    <row r="53" spans="1:10" x14ac:dyDescent="0.45">
      <c r="A53" s="1">
        <v>44229</v>
      </c>
      <c r="B53" t="s">
        <v>11</v>
      </c>
      <c r="C53">
        <v>5</v>
      </c>
      <c r="E53" t="s">
        <v>12</v>
      </c>
      <c r="F53" t="s">
        <v>13</v>
      </c>
      <c r="G53" t="s">
        <v>14</v>
      </c>
      <c r="H53">
        <f>MONTH(Table2[[#This Row],[Date]])</f>
        <v>2</v>
      </c>
      <c r="I53" s="3">
        <f>WEEKDAY(Table2[[#This Row],[Date]])</f>
        <v>3</v>
      </c>
      <c r="J53">
        <f>Table2[[#This Row],[Credit]]-Table2[[#This Row],[Debit]]</f>
        <v>-5</v>
      </c>
    </row>
    <row r="54" spans="1:10" x14ac:dyDescent="0.45">
      <c r="A54" s="1">
        <v>44230</v>
      </c>
      <c r="B54" t="s">
        <v>11</v>
      </c>
      <c r="C54">
        <v>5</v>
      </c>
      <c r="E54" t="s">
        <v>12</v>
      </c>
      <c r="F54" t="s">
        <v>13</v>
      </c>
      <c r="G54" t="s">
        <v>14</v>
      </c>
      <c r="H54">
        <f>MONTH(Table2[[#This Row],[Date]])</f>
        <v>2</v>
      </c>
      <c r="I54" s="3">
        <f>WEEKDAY(Table2[[#This Row],[Date]])</f>
        <v>4</v>
      </c>
      <c r="J54">
        <f>Table2[[#This Row],[Credit]]-Table2[[#This Row],[Debit]]</f>
        <v>-5</v>
      </c>
    </row>
    <row r="55" spans="1:10" x14ac:dyDescent="0.45">
      <c r="A55" s="1">
        <v>44231</v>
      </c>
      <c r="B55" t="s">
        <v>11</v>
      </c>
      <c r="C55">
        <v>5</v>
      </c>
      <c r="E55" t="s">
        <v>12</v>
      </c>
      <c r="F55" t="s">
        <v>13</v>
      </c>
      <c r="G55" t="s">
        <v>14</v>
      </c>
      <c r="H55">
        <f>MONTH(Table2[[#This Row],[Date]])</f>
        <v>2</v>
      </c>
      <c r="I55" s="3">
        <f>WEEKDAY(Table2[[#This Row],[Date]])</f>
        <v>5</v>
      </c>
      <c r="J55">
        <f>Table2[[#This Row],[Credit]]-Table2[[#This Row],[Debit]]</f>
        <v>-5</v>
      </c>
    </row>
    <row r="56" spans="1:10" x14ac:dyDescent="0.45">
      <c r="A56" s="1">
        <v>44232</v>
      </c>
      <c r="B56" t="s">
        <v>11</v>
      </c>
      <c r="C56">
        <v>5</v>
      </c>
      <c r="E56" t="s">
        <v>12</v>
      </c>
      <c r="F56" t="s">
        <v>13</v>
      </c>
      <c r="G56" t="s">
        <v>14</v>
      </c>
      <c r="H56">
        <f>MONTH(Table2[[#This Row],[Date]])</f>
        <v>2</v>
      </c>
      <c r="I56" s="3">
        <f>WEEKDAY(Table2[[#This Row],[Date]])</f>
        <v>6</v>
      </c>
      <c r="J56">
        <f>Table2[[#This Row],[Credit]]-Table2[[#This Row],[Debit]]</f>
        <v>-5</v>
      </c>
    </row>
    <row r="57" spans="1:10" x14ac:dyDescent="0.45">
      <c r="A57" s="1">
        <v>44232</v>
      </c>
      <c r="B57" t="s">
        <v>21</v>
      </c>
      <c r="C57">
        <v>205</v>
      </c>
      <c r="E57" t="s">
        <v>22</v>
      </c>
      <c r="F57" t="s">
        <v>17</v>
      </c>
      <c r="G57" t="s">
        <v>14</v>
      </c>
      <c r="H57">
        <f>MONTH(Table2[[#This Row],[Date]])</f>
        <v>2</v>
      </c>
      <c r="I57" s="3">
        <f>WEEKDAY(Table2[[#This Row],[Date]])</f>
        <v>6</v>
      </c>
      <c r="J57">
        <f>Table2[[#This Row],[Credit]]-Table2[[#This Row],[Debit]]</f>
        <v>-205</v>
      </c>
    </row>
    <row r="58" spans="1:10" x14ac:dyDescent="0.45">
      <c r="A58" s="1">
        <v>44235</v>
      </c>
      <c r="B58" t="s">
        <v>23</v>
      </c>
      <c r="C58">
        <v>51.1</v>
      </c>
      <c r="E58" t="s">
        <v>24</v>
      </c>
      <c r="F58" t="s">
        <v>17</v>
      </c>
      <c r="G58" t="s">
        <v>14</v>
      </c>
      <c r="H58">
        <f>MONTH(Table2[[#This Row],[Date]])</f>
        <v>2</v>
      </c>
      <c r="I58" s="3">
        <f>WEEKDAY(Table2[[#This Row],[Date]])</f>
        <v>2</v>
      </c>
      <c r="J58">
        <f>Table2[[#This Row],[Credit]]-Table2[[#This Row],[Debit]]</f>
        <v>-51.1</v>
      </c>
    </row>
    <row r="59" spans="1:10" x14ac:dyDescent="0.45">
      <c r="A59" s="1">
        <v>44235</v>
      </c>
      <c r="B59" t="s">
        <v>11</v>
      </c>
      <c r="C59">
        <v>5</v>
      </c>
      <c r="E59" t="s">
        <v>12</v>
      </c>
      <c r="F59" t="s">
        <v>13</v>
      </c>
      <c r="G59" t="s">
        <v>14</v>
      </c>
      <c r="H59">
        <f>MONTH(Table2[[#This Row],[Date]])</f>
        <v>2</v>
      </c>
      <c r="I59" s="3">
        <f>WEEKDAY(Table2[[#This Row],[Date]])</f>
        <v>2</v>
      </c>
      <c r="J59">
        <f>Table2[[#This Row],[Credit]]-Table2[[#This Row],[Debit]]</f>
        <v>-5</v>
      </c>
    </row>
    <row r="60" spans="1:10" x14ac:dyDescent="0.45">
      <c r="A60" s="1">
        <v>44236</v>
      </c>
      <c r="B60" t="s">
        <v>11</v>
      </c>
      <c r="C60">
        <v>5</v>
      </c>
      <c r="E60" t="s">
        <v>12</v>
      </c>
      <c r="F60" t="s">
        <v>13</v>
      </c>
      <c r="G60" t="s">
        <v>14</v>
      </c>
      <c r="H60">
        <f>MONTH(Table2[[#This Row],[Date]])</f>
        <v>2</v>
      </c>
      <c r="I60" s="3">
        <f>WEEKDAY(Table2[[#This Row],[Date]])</f>
        <v>3</v>
      </c>
      <c r="J60">
        <f>Table2[[#This Row],[Credit]]-Table2[[#This Row],[Debit]]</f>
        <v>-5</v>
      </c>
    </row>
    <row r="61" spans="1:10" x14ac:dyDescent="0.45">
      <c r="A61" s="1">
        <v>44237</v>
      </c>
      <c r="B61" t="s">
        <v>25</v>
      </c>
      <c r="C61">
        <v>78</v>
      </c>
      <c r="E61" t="s">
        <v>26</v>
      </c>
      <c r="F61" t="s">
        <v>20</v>
      </c>
      <c r="G61" t="s">
        <v>14</v>
      </c>
      <c r="H61">
        <f>MONTH(Table2[[#This Row],[Date]])</f>
        <v>2</v>
      </c>
      <c r="I61" s="3">
        <f>WEEKDAY(Table2[[#This Row],[Date]])</f>
        <v>4</v>
      </c>
      <c r="J61">
        <f>Table2[[#This Row],[Credit]]-Table2[[#This Row],[Debit]]</f>
        <v>-78</v>
      </c>
    </row>
    <row r="62" spans="1:10" x14ac:dyDescent="0.45">
      <c r="A62" s="1">
        <v>44237</v>
      </c>
      <c r="B62" t="s">
        <v>11</v>
      </c>
      <c r="C62">
        <v>5</v>
      </c>
      <c r="E62" t="s">
        <v>12</v>
      </c>
      <c r="F62" t="s">
        <v>13</v>
      </c>
      <c r="G62" t="s">
        <v>14</v>
      </c>
      <c r="H62">
        <f>MONTH(Table2[[#This Row],[Date]])</f>
        <v>2</v>
      </c>
      <c r="I62" s="3">
        <f>WEEKDAY(Table2[[#This Row],[Date]])</f>
        <v>4</v>
      </c>
      <c r="J62">
        <f>Table2[[#This Row],[Credit]]-Table2[[#This Row],[Debit]]</f>
        <v>-5</v>
      </c>
    </row>
    <row r="63" spans="1:10" x14ac:dyDescent="0.45">
      <c r="A63" s="1">
        <v>44238</v>
      </c>
      <c r="B63" t="s">
        <v>11</v>
      </c>
      <c r="C63">
        <v>5</v>
      </c>
      <c r="E63" t="s">
        <v>12</v>
      </c>
      <c r="F63" t="s">
        <v>13</v>
      </c>
      <c r="G63" t="s">
        <v>14</v>
      </c>
      <c r="H63">
        <f>MONTH(Table2[[#This Row],[Date]])</f>
        <v>2</v>
      </c>
      <c r="I63" s="3">
        <f>WEEKDAY(Table2[[#This Row],[Date]])</f>
        <v>5</v>
      </c>
      <c r="J63">
        <f>Table2[[#This Row],[Credit]]-Table2[[#This Row],[Debit]]</f>
        <v>-5</v>
      </c>
    </row>
    <row r="64" spans="1:10" x14ac:dyDescent="0.45">
      <c r="A64" s="1">
        <v>44239</v>
      </c>
      <c r="B64" t="s">
        <v>21</v>
      </c>
      <c r="C64">
        <v>135.9</v>
      </c>
      <c r="E64" t="s">
        <v>22</v>
      </c>
      <c r="F64" t="s">
        <v>17</v>
      </c>
      <c r="G64" t="s">
        <v>14</v>
      </c>
      <c r="H64">
        <f>MONTH(Table2[[#This Row],[Date]])</f>
        <v>2</v>
      </c>
      <c r="I64" s="3">
        <f>WEEKDAY(Table2[[#This Row],[Date]])</f>
        <v>6</v>
      </c>
      <c r="J64">
        <f>Table2[[#This Row],[Credit]]-Table2[[#This Row],[Debit]]</f>
        <v>-135.9</v>
      </c>
    </row>
    <row r="65" spans="1:10" x14ac:dyDescent="0.45">
      <c r="A65" s="1">
        <v>44239</v>
      </c>
      <c r="B65" t="s">
        <v>11</v>
      </c>
      <c r="C65">
        <v>5</v>
      </c>
      <c r="E65" t="s">
        <v>12</v>
      </c>
      <c r="F65" t="s">
        <v>13</v>
      </c>
      <c r="G65" t="s">
        <v>14</v>
      </c>
      <c r="H65">
        <f>MONTH(Table2[[#This Row],[Date]])</f>
        <v>2</v>
      </c>
      <c r="I65" s="3">
        <f>WEEKDAY(Table2[[#This Row],[Date]])</f>
        <v>6</v>
      </c>
      <c r="J65">
        <f>Table2[[#This Row],[Credit]]-Table2[[#This Row],[Debit]]</f>
        <v>-5</v>
      </c>
    </row>
    <row r="66" spans="1:10" x14ac:dyDescent="0.45">
      <c r="A66" s="1">
        <v>44240</v>
      </c>
      <c r="B66" t="s">
        <v>11</v>
      </c>
      <c r="C66">
        <v>5</v>
      </c>
      <c r="E66" t="s">
        <v>12</v>
      </c>
      <c r="F66" t="s">
        <v>13</v>
      </c>
      <c r="G66" t="s">
        <v>14</v>
      </c>
      <c r="H66">
        <f>MONTH(Table2[[#This Row],[Date]])</f>
        <v>2</v>
      </c>
      <c r="I66" s="3">
        <f>WEEKDAY(Table2[[#This Row],[Date]])</f>
        <v>7</v>
      </c>
      <c r="J66">
        <f>Table2[[#This Row],[Credit]]-Table2[[#This Row],[Debit]]</f>
        <v>-5</v>
      </c>
    </row>
    <row r="67" spans="1:10" x14ac:dyDescent="0.45">
      <c r="A67" s="1">
        <v>44240</v>
      </c>
      <c r="B67" t="s">
        <v>27</v>
      </c>
      <c r="C67">
        <v>40.9</v>
      </c>
      <c r="E67" t="s">
        <v>28</v>
      </c>
      <c r="F67" t="s">
        <v>29</v>
      </c>
      <c r="G67" t="s">
        <v>14</v>
      </c>
      <c r="H67">
        <f>MONTH(Table2[[#This Row],[Date]])</f>
        <v>2</v>
      </c>
      <c r="I67" s="3">
        <f>WEEKDAY(Table2[[#This Row],[Date]])</f>
        <v>7</v>
      </c>
      <c r="J67">
        <f>Table2[[#This Row],[Credit]]-Table2[[#This Row],[Debit]]</f>
        <v>-40.9</v>
      </c>
    </row>
    <row r="68" spans="1:10" x14ac:dyDescent="0.45">
      <c r="A68" s="1">
        <v>44240</v>
      </c>
      <c r="B68" t="s">
        <v>30</v>
      </c>
      <c r="C68">
        <v>99</v>
      </c>
      <c r="E68" t="s">
        <v>31</v>
      </c>
      <c r="F68" t="s">
        <v>29</v>
      </c>
      <c r="G68" t="s">
        <v>14</v>
      </c>
      <c r="H68">
        <f>MONTH(Table2[[#This Row],[Date]])</f>
        <v>2</v>
      </c>
      <c r="I68" s="3">
        <f>WEEKDAY(Table2[[#This Row],[Date]])</f>
        <v>7</v>
      </c>
      <c r="J68">
        <f>Table2[[#This Row],[Credit]]-Table2[[#This Row],[Debit]]</f>
        <v>-99</v>
      </c>
    </row>
    <row r="69" spans="1:10" x14ac:dyDescent="0.45">
      <c r="A69" s="1">
        <v>44240</v>
      </c>
      <c r="B69" t="s">
        <v>32</v>
      </c>
      <c r="C69">
        <v>53</v>
      </c>
      <c r="E69" t="s">
        <v>33</v>
      </c>
      <c r="F69" t="s">
        <v>13</v>
      </c>
      <c r="G69" t="s">
        <v>14</v>
      </c>
      <c r="H69">
        <f>MONTH(Table2[[#This Row],[Date]])</f>
        <v>2</v>
      </c>
      <c r="I69" s="3">
        <f>WEEKDAY(Table2[[#This Row],[Date]])</f>
        <v>7</v>
      </c>
      <c r="J69">
        <f>Table2[[#This Row],[Credit]]-Table2[[#This Row],[Debit]]</f>
        <v>-53</v>
      </c>
    </row>
    <row r="70" spans="1:10" x14ac:dyDescent="0.45">
      <c r="A70" s="1">
        <v>44241</v>
      </c>
      <c r="B70" t="s">
        <v>34</v>
      </c>
      <c r="C70">
        <v>28.9</v>
      </c>
      <c r="E70" t="s">
        <v>35</v>
      </c>
      <c r="F70" t="s">
        <v>20</v>
      </c>
      <c r="G70" t="s">
        <v>14</v>
      </c>
      <c r="H70">
        <f>MONTH(Table2[[#This Row],[Date]])</f>
        <v>2</v>
      </c>
      <c r="I70" s="3">
        <f>WEEKDAY(Table2[[#This Row],[Date]])</f>
        <v>1</v>
      </c>
      <c r="J70">
        <f>Table2[[#This Row],[Credit]]-Table2[[#This Row],[Debit]]</f>
        <v>-28.9</v>
      </c>
    </row>
    <row r="71" spans="1:10" x14ac:dyDescent="0.45">
      <c r="A71" s="1">
        <v>44242</v>
      </c>
      <c r="B71" t="s">
        <v>36</v>
      </c>
      <c r="D71">
        <v>800</v>
      </c>
      <c r="E71" t="s">
        <v>37</v>
      </c>
      <c r="F71" t="s">
        <v>38</v>
      </c>
      <c r="G71" t="s">
        <v>10</v>
      </c>
      <c r="H71">
        <f>MONTH(Table2[[#This Row],[Date]])</f>
        <v>2</v>
      </c>
      <c r="I71" s="3">
        <f>WEEKDAY(Table2[[#This Row],[Date]])</f>
        <v>2</v>
      </c>
      <c r="J71">
        <f>Table2[[#This Row],[Credit]]-Table2[[#This Row],[Debit]]</f>
        <v>800</v>
      </c>
    </row>
    <row r="72" spans="1:10" x14ac:dyDescent="0.45">
      <c r="A72" s="1">
        <v>44242</v>
      </c>
      <c r="B72" t="s">
        <v>11</v>
      </c>
      <c r="C72">
        <v>5</v>
      </c>
      <c r="E72" t="s">
        <v>12</v>
      </c>
      <c r="F72" t="s">
        <v>13</v>
      </c>
      <c r="G72" t="s">
        <v>14</v>
      </c>
      <c r="H72">
        <f>MONTH(Table2[[#This Row],[Date]])</f>
        <v>2</v>
      </c>
      <c r="I72" s="3">
        <f>WEEKDAY(Table2[[#This Row],[Date]])</f>
        <v>2</v>
      </c>
      <c r="J72">
        <f>Table2[[#This Row],[Credit]]-Table2[[#This Row],[Debit]]</f>
        <v>-5</v>
      </c>
    </row>
    <row r="73" spans="1:10" x14ac:dyDescent="0.45">
      <c r="A73" s="1">
        <v>44243</v>
      </c>
      <c r="B73" t="s">
        <v>11</v>
      </c>
      <c r="C73">
        <v>5</v>
      </c>
      <c r="E73" t="s">
        <v>12</v>
      </c>
      <c r="F73" t="s">
        <v>13</v>
      </c>
      <c r="G73" t="s">
        <v>14</v>
      </c>
      <c r="H73">
        <f>MONTH(Table2[[#This Row],[Date]])</f>
        <v>2</v>
      </c>
      <c r="I73" s="3">
        <f>WEEKDAY(Table2[[#This Row],[Date]])</f>
        <v>3</v>
      </c>
      <c r="J73">
        <f>Table2[[#This Row],[Credit]]-Table2[[#This Row],[Debit]]</f>
        <v>-5</v>
      </c>
    </row>
    <row r="74" spans="1:10" x14ac:dyDescent="0.45">
      <c r="A74" s="1">
        <v>44243</v>
      </c>
      <c r="B74" t="s">
        <v>40</v>
      </c>
      <c r="C74">
        <v>40</v>
      </c>
      <c r="E74" t="s">
        <v>40</v>
      </c>
      <c r="F74" t="s">
        <v>17</v>
      </c>
      <c r="G74" t="s">
        <v>14</v>
      </c>
      <c r="H74">
        <f>MONTH(Table2[[#This Row],[Date]])</f>
        <v>2</v>
      </c>
      <c r="I74" s="3">
        <f>WEEKDAY(Table2[[#This Row],[Date]])</f>
        <v>3</v>
      </c>
      <c r="J74">
        <f>Table2[[#This Row],[Credit]]-Table2[[#This Row],[Debit]]</f>
        <v>-40</v>
      </c>
    </row>
    <row r="75" spans="1:10" x14ac:dyDescent="0.45">
      <c r="A75" s="1">
        <v>44244</v>
      </c>
      <c r="B75" t="s">
        <v>41</v>
      </c>
      <c r="C75">
        <v>45.9</v>
      </c>
      <c r="E75" t="s">
        <v>42</v>
      </c>
      <c r="F75" t="s">
        <v>29</v>
      </c>
      <c r="G75" t="s">
        <v>14</v>
      </c>
      <c r="H75">
        <f>MONTH(Table2[[#This Row],[Date]])</f>
        <v>2</v>
      </c>
      <c r="I75" s="3">
        <f>WEEKDAY(Table2[[#This Row],[Date]])</f>
        <v>4</v>
      </c>
      <c r="J75">
        <f>Table2[[#This Row],[Credit]]-Table2[[#This Row],[Debit]]</f>
        <v>-45.9</v>
      </c>
    </row>
    <row r="76" spans="1:10" x14ac:dyDescent="0.45">
      <c r="A76" s="1">
        <v>44244</v>
      </c>
      <c r="B76" t="s">
        <v>43</v>
      </c>
      <c r="C76">
        <v>35</v>
      </c>
      <c r="E76" t="s">
        <v>28</v>
      </c>
      <c r="F76" t="s">
        <v>29</v>
      </c>
      <c r="G76" t="s">
        <v>14</v>
      </c>
      <c r="H76">
        <f>MONTH(Table2[[#This Row],[Date]])</f>
        <v>2</v>
      </c>
      <c r="I76" s="3">
        <f>WEEKDAY(Table2[[#This Row],[Date]])</f>
        <v>4</v>
      </c>
      <c r="J76">
        <f>Table2[[#This Row],[Credit]]-Table2[[#This Row],[Debit]]</f>
        <v>-35</v>
      </c>
    </row>
    <row r="77" spans="1:10" x14ac:dyDescent="0.45">
      <c r="A77" s="1">
        <v>44244</v>
      </c>
      <c r="B77" t="s">
        <v>11</v>
      </c>
      <c r="C77">
        <v>5</v>
      </c>
      <c r="E77" t="s">
        <v>12</v>
      </c>
      <c r="F77" t="s">
        <v>13</v>
      </c>
      <c r="G77" t="s">
        <v>14</v>
      </c>
      <c r="H77">
        <f>MONTH(Table2[[#This Row],[Date]])</f>
        <v>2</v>
      </c>
      <c r="I77" s="3">
        <f>WEEKDAY(Table2[[#This Row],[Date]])</f>
        <v>4</v>
      </c>
      <c r="J77">
        <f>Table2[[#This Row],[Credit]]-Table2[[#This Row],[Debit]]</f>
        <v>-5</v>
      </c>
    </row>
    <row r="78" spans="1:10" x14ac:dyDescent="0.45">
      <c r="A78" s="1">
        <v>44245</v>
      </c>
      <c r="B78" t="s">
        <v>11</v>
      </c>
      <c r="C78">
        <v>5</v>
      </c>
      <c r="E78" t="s">
        <v>12</v>
      </c>
      <c r="F78" t="s">
        <v>13</v>
      </c>
      <c r="G78" t="s">
        <v>14</v>
      </c>
      <c r="H78">
        <f>MONTH(Table2[[#This Row],[Date]])</f>
        <v>2</v>
      </c>
      <c r="I78" s="3">
        <f>WEEKDAY(Table2[[#This Row],[Date]])</f>
        <v>5</v>
      </c>
      <c r="J78">
        <f>Table2[[#This Row],[Credit]]-Table2[[#This Row],[Debit]]</f>
        <v>-5</v>
      </c>
    </row>
    <row r="79" spans="1:10" x14ac:dyDescent="0.45">
      <c r="A79" s="1">
        <v>44246</v>
      </c>
      <c r="B79" t="s">
        <v>11</v>
      </c>
      <c r="C79">
        <v>5</v>
      </c>
      <c r="E79" t="s">
        <v>12</v>
      </c>
      <c r="F79" t="s">
        <v>13</v>
      </c>
      <c r="G79" t="s">
        <v>14</v>
      </c>
      <c r="H79">
        <f>MONTH(Table2[[#This Row],[Date]])</f>
        <v>2</v>
      </c>
      <c r="I79" s="3">
        <f>WEEKDAY(Table2[[#This Row],[Date]])</f>
        <v>6</v>
      </c>
      <c r="J79">
        <f>Table2[[#This Row],[Credit]]-Table2[[#This Row],[Debit]]</f>
        <v>-5</v>
      </c>
    </row>
    <row r="80" spans="1:10" x14ac:dyDescent="0.45">
      <c r="A80" s="1">
        <v>44246</v>
      </c>
      <c r="B80" t="s">
        <v>21</v>
      </c>
      <c r="C80">
        <v>171</v>
      </c>
      <c r="E80" t="s">
        <v>22</v>
      </c>
      <c r="F80" t="s">
        <v>17</v>
      </c>
      <c r="G80" t="s">
        <v>14</v>
      </c>
      <c r="H80">
        <f>MONTH(Table2[[#This Row],[Date]])</f>
        <v>2</v>
      </c>
      <c r="I80" s="3">
        <f>WEEKDAY(Table2[[#This Row],[Date]])</f>
        <v>6</v>
      </c>
      <c r="J80">
        <f>Table2[[#This Row],[Credit]]-Table2[[#This Row],[Debit]]</f>
        <v>-171</v>
      </c>
    </row>
    <row r="81" spans="1:10" x14ac:dyDescent="0.45">
      <c r="A81" s="1">
        <v>44247</v>
      </c>
      <c r="B81" t="s">
        <v>44</v>
      </c>
      <c r="C81">
        <v>37.9</v>
      </c>
      <c r="E81" t="s">
        <v>33</v>
      </c>
      <c r="F81" t="s">
        <v>13</v>
      </c>
      <c r="G81" t="s">
        <v>14</v>
      </c>
      <c r="H81">
        <f>MONTH(Table2[[#This Row],[Date]])</f>
        <v>2</v>
      </c>
      <c r="I81" s="3">
        <f>WEEKDAY(Table2[[#This Row],[Date]])</f>
        <v>7</v>
      </c>
      <c r="J81">
        <f>Table2[[#This Row],[Credit]]-Table2[[#This Row],[Debit]]</f>
        <v>-37.9</v>
      </c>
    </row>
    <row r="82" spans="1:10" x14ac:dyDescent="0.45">
      <c r="A82" s="1">
        <v>44248</v>
      </c>
      <c r="B82" t="s">
        <v>45</v>
      </c>
      <c r="C82">
        <v>12.9</v>
      </c>
      <c r="E82" t="s">
        <v>33</v>
      </c>
      <c r="F82" t="s">
        <v>13</v>
      </c>
      <c r="G82" t="s">
        <v>14</v>
      </c>
      <c r="H82">
        <f>MONTH(Table2[[#This Row],[Date]])</f>
        <v>2</v>
      </c>
      <c r="I82" s="3">
        <f>WEEKDAY(Table2[[#This Row],[Date]])</f>
        <v>1</v>
      </c>
      <c r="J82">
        <f>Table2[[#This Row],[Credit]]-Table2[[#This Row],[Debit]]</f>
        <v>-12.9</v>
      </c>
    </row>
    <row r="83" spans="1:10" x14ac:dyDescent="0.45">
      <c r="A83" s="1">
        <v>44249</v>
      </c>
      <c r="B83" t="s">
        <v>46</v>
      </c>
      <c r="C83">
        <v>55</v>
      </c>
      <c r="E83" t="s">
        <v>47</v>
      </c>
      <c r="F83" t="s">
        <v>48</v>
      </c>
      <c r="G83" t="s">
        <v>14</v>
      </c>
      <c r="H83">
        <f>MONTH(Table2[[#This Row],[Date]])</f>
        <v>2</v>
      </c>
      <c r="I83" s="3">
        <f>WEEKDAY(Table2[[#This Row],[Date]])</f>
        <v>2</v>
      </c>
      <c r="J83">
        <f>Table2[[#This Row],[Credit]]-Table2[[#This Row],[Debit]]</f>
        <v>-55</v>
      </c>
    </row>
    <row r="84" spans="1:10" x14ac:dyDescent="0.45">
      <c r="A84" s="1">
        <v>44249</v>
      </c>
      <c r="B84" t="s">
        <v>25</v>
      </c>
      <c r="C84">
        <v>64.099999999999994</v>
      </c>
      <c r="E84" t="s">
        <v>26</v>
      </c>
      <c r="F84" t="s">
        <v>20</v>
      </c>
      <c r="G84" t="s">
        <v>14</v>
      </c>
      <c r="H84">
        <f>MONTH(Table2[[#This Row],[Date]])</f>
        <v>2</v>
      </c>
      <c r="I84" s="3">
        <f>WEEKDAY(Table2[[#This Row],[Date]])</f>
        <v>2</v>
      </c>
      <c r="J84">
        <f>Table2[[#This Row],[Credit]]-Table2[[#This Row],[Debit]]</f>
        <v>-64.099999999999994</v>
      </c>
    </row>
    <row r="85" spans="1:10" x14ac:dyDescent="0.45">
      <c r="A85" s="1">
        <v>44249</v>
      </c>
      <c r="B85" t="s">
        <v>11</v>
      </c>
      <c r="C85">
        <v>5</v>
      </c>
      <c r="E85" t="s">
        <v>12</v>
      </c>
      <c r="F85" t="s">
        <v>13</v>
      </c>
      <c r="G85" t="s">
        <v>14</v>
      </c>
      <c r="H85">
        <f>MONTH(Table2[[#This Row],[Date]])</f>
        <v>2</v>
      </c>
      <c r="I85" s="3">
        <f>WEEKDAY(Table2[[#This Row],[Date]])</f>
        <v>2</v>
      </c>
      <c r="J85">
        <f>Table2[[#This Row],[Credit]]-Table2[[#This Row],[Debit]]</f>
        <v>-5</v>
      </c>
    </row>
    <row r="86" spans="1:10" x14ac:dyDescent="0.45">
      <c r="A86" s="1">
        <v>44250</v>
      </c>
      <c r="B86" t="s">
        <v>11</v>
      </c>
      <c r="C86">
        <v>5</v>
      </c>
      <c r="E86" t="s">
        <v>12</v>
      </c>
      <c r="F86" t="s">
        <v>13</v>
      </c>
      <c r="G86" t="s">
        <v>14</v>
      </c>
      <c r="H86">
        <f>MONTH(Table2[[#This Row],[Date]])</f>
        <v>2</v>
      </c>
      <c r="I86" s="3">
        <f>WEEKDAY(Table2[[#This Row],[Date]])</f>
        <v>3</v>
      </c>
      <c r="J86">
        <f>Table2[[#This Row],[Credit]]-Table2[[#This Row],[Debit]]</f>
        <v>-5</v>
      </c>
    </row>
    <row r="87" spans="1:10" x14ac:dyDescent="0.45">
      <c r="A87" s="1">
        <v>44251</v>
      </c>
      <c r="B87" t="s">
        <v>11</v>
      </c>
      <c r="C87">
        <v>5</v>
      </c>
      <c r="E87" t="s">
        <v>12</v>
      </c>
      <c r="F87" t="s">
        <v>13</v>
      </c>
      <c r="G87" t="s">
        <v>14</v>
      </c>
      <c r="H87">
        <f>MONTH(Table2[[#This Row],[Date]])</f>
        <v>2</v>
      </c>
      <c r="I87" s="3">
        <f>WEEKDAY(Table2[[#This Row],[Date]])</f>
        <v>4</v>
      </c>
      <c r="J87">
        <f>Table2[[#This Row],[Credit]]-Table2[[#This Row],[Debit]]</f>
        <v>-5</v>
      </c>
    </row>
    <row r="88" spans="1:10" x14ac:dyDescent="0.45">
      <c r="A88" s="1">
        <v>44252</v>
      </c>
      <c r="B88" t="s">
        <v>11</v>
      </c>
      <c r="C88">
        <v>5</v>
      </c>
      <c r="E88" t="s">
        <v>12</v>
      </c>
      <c r="F88" t="s">
        <v>13</v>
      </c>
      <c r="G88" t="s">
        <v>14</v>
      </c>
      <c r="H88">
        <f>MONTH(Table2[[#This Row],[Date]])</f>
        <v>2</v>
      </c>
      <c r="I88" s="3">
        <f>WEEKDAY(Table2[[#This Row],[Date]])</f>
        <v>5</v>
      </c>
      <c r="J88">
        <f>Table2[[#This Row],[Credit]]-Table2[[#This Row],[Debit]]</f>
        <v>-5</v>
      </c>
    </row>
    <row r="89" spans="1:10" x14ac:dyDescent="0.45">
      <c r="A89" s="1">
        <v>44253</v>
      </c>
      <c r="B89" t="s">
        <v>11</v>
      </c>
      <c r="C89">
        <v>5</v>
      </c>
      <c r="E89" t="s">
        <v>12</v>
      </c>
      <c r="F89" t="s">
        <v>13</v>
      </c>
      <c r="G89" t="s">
        <v>14</v>
      </c>
      <c r="H89">
        <f>MONTH(Table2[[#This Row],[Date]])</f>
        <v>2</v>
      </c>
      <c r="I89" s="3">
        <f>WEEKDAY(Table2[[#This Row],[Date]])</f>
        <v>6</v>
      </c>
      <c r="J89">
        <f>Table2[[#This Row],[Credit]]-Table2[[#This Row],[Debit]]</f>
        <v>-5</v>
      </c>
    </row>
    <row r="90" spans="1:10" x14ac:dyDescent="0.45">
      <c r="A90" s="1">
        <v>44253</v>
      </c>
      <c r="B90" t="s">
        <v>21</v>
      </c>
      <c r="C90">
        <v>162.9</v>
      </c>
      <c r="E90" t="s">
        <v>22</v>
      </c>
      <c r="F90" t="s">
        <v>17</v>
      </c>
      <c r="G90" t="s">
        <v>14</v>
      </c>
      <c r="H90">
        <f>MONTH(Table2[[#This Row],[Date]])</f>
        <v>2</v>
      </c>
      <c r="I90" s="3">
        <f>WEEKDAY(Table2[[#This Row],[Date]])</f>
        <v>6</v>
      </c>
      <c r="J90">
        <f>Table2[[#This Row],[Credit]]-Table2[[#This Row],[Debit]]</f>
        <v>-162.9</v>
      </c>
    </row>
    <row r="91" spans="1:10" x14ac:dyDescent="0.45">
      <c r="A91" s="1">
        <v>44254</v>
      </c>
      <c r="B91" t="s">
        <v>49</v>
      </c>
      <c r="C91">
        <v>125.9</v>
      </c>
      <c r="E91" t="s">
        <v>31</v>
      </c>
      <c r="F91" t="s">
        <v>29</v>
      </c>
      <c r="G91" t="s">
        <v>14</v>
      </c>
      <c r="H91">
        <f>MONTH(Table2[[#This Row],[Date]])</f>
        <v>2</v>
      </c>
      <c r="I91" s="3">
        <f>WEEKDAY(Table2[[#This Row],[Date]])</f>
        <v>7</v>
      </c>
      <c r="J91">
        <f>Table2[[#This Row],[Credit]]-Table2[[#This Row],[Debit]]</f>
        <v>-125.9</v>
      </c>
    </row>
    <row r="92" spans="1:10" x14ac:dyDescent="0.45">
      <c r="A92" s="1">
        <v>44254</v>
      </c>
      <c r="B92" t="s">
        <v>52</v>
      </c>
      <c r="C92">
        <v>137</v>
      </c>
      <c r="E92" t="s">
        <v>31</v>
      </c>
      <c r="F92" t="s">
        <v>29</v>
      </c>
      <c r="G92" t="s">
        <v>14</v>
      </c>
      <c r="H92">
        <f>MONTH(Table2[[#This Row],[Date]])</f>
        <v>2</v>
      </c>
      <c r="I92" s="3">
        <f>WEEKDAY(Table2[[#This Row],[Date]])</f>
        <v>7</v>
      </c>
      <c r="J92">
        <f>Table2[[#This Row],[Credit]]-Table2[[#This Row],[Debit]]</f>
        <v>-137</v>
      </c>
    </row>
    <row r="93" spans="1:10" x14ac:dyDescent="0.45">
      <c r="A93" s="1">
        <v>44255</v>
      </c>
      <c r="B93" t="s">
        <v>30</v>
      </c>
      <c r="C93">
        <v>146.1</v>
      </c>
      <c r="E93" t="s">
        <v>31</v>
      </c>
      <c r="F93" t="s">
        <v>29</v>
      </c>
      <c r="G93" t="s">
        <v>14</v>
      </c>
      <c r="H93">
        <f>MONTH(Table2[[#This Row],[Date]])</f>
        <v>2</v>
      </c>
      <c r="I93" s="3">
        <f>WEEKDAY(Table2[[#This Row],[Date]])</f>
        <v>1</v>
      </c>
      <c r="J93">
        <f>Table2[[#This Row],[Credit]]-Table2[[#This Row],[Debit]]</f>
        <v>-146.1</v>
      </c>
    </row>
    <row r="94" spans="1:10" x14ac:dyDescent="0.45">
      <c r="A94" s="1">
        <v>44255</v>
      </c>
      <c r="B94" t="s">
        <v>34</v>
      </c>
      <c r="C94">
        <v>24.1</v>
      </c>
      <c r="E94" t="s">
        <v>35</v>
      </c>
      <c r="F94" t="s">
        <v>20</v>
      </c>
      <c r="G94" t="s">
        <v>14</v>
      </c>
      <c r="H94">
        <f>MONTH(Table2[[#This Row],[Date]])</f>
        <v>2</v>
      </c>
      <c r="I94" s="3">
        <f>WEEKDAY(Table2[[#This Row],[Date]])</f>
        <v>1</v>
      </c>
      <c r="J94">
        <f>Table2[[#This Row],[Credit]]-Table2[[#This Row],[Debit]]</f>
        <v>-24.1</v>
      </c>
    </row>
    <row r="95" spans="1:10" x14ac:dyDescent="0.45">
      <c r="A95" s="1">
        <v>44256</v>
      </c>
      <c r="B95" t="s">
        <v>8</v>
      </c>
      <c r="D95">
        <v>5000</v>
      </c>
      <c r="E95" t="s">
        <v>100</v>
      </c>
      <c r="F95" t="s">
        <v>9</v>
      </c>
      <c r="G95" t="s">
        <v>10</v>
      </c>
      <c r="H95">
        <f>MONTH(Table2[[#This Row],[Date]])</f>
        <v>3</v>
      </c>
      <c r="I95" s="3">
        <f>WEEKDAY(Table2[[#This Row],[Date]])</f>
        <v>2</v>
      </c>
      <c r="J95">
        <f>Table2[[#This Row],[Credit]]-Table2[[#This Row],[Debit]]</f>
        <v>5000</v>
      </c>
    </row>
    <row r="96" spans="1:10" x14ac:dyDescent="0.45">
      <c r="A96" s="1">
        <v>44256</v>
      </c>
      <c r="B96" t="s">
        <v>11</v>
      </c>
      <c r="C96">
        <v>5</v>
      </c>
      <c r="E96" t="s">
        <v>12</v>
      </c>
      <c r="F96" t="s">
        <v>13</v>
      </c>
      <c r="G96" t="s">
        <v>14</v>
      </c>
      <c r="H96">
        <f>MONTH(Table2[[#This Row],[Date]])</f>
        <v>3</v>
      </c>
      <c r="I96" s="3">
        <f>WEEKDAY(Table2[[#This Row],[Date]])</f>
        <v>2</v>
      </c>
      <c r="J96">
        <f>Table2[[#This Row],[Credit]]-Table2[[#This Row],[Debit]]</f>
        <v>-5</v>
      </c>
    </row>
    <row r="97" spans="1:10" x14ac:dyDescent="0.45">
      <c r="A97" s="1">
        <v>44257</v>
      </c>
      <c r="B97" t="s">
        <v>15</v>
      </c>
      <c r="C97">
        <v>900</v>
      </c>
      <c r="E97" t="s">
        <v>16</v>
      </c>
      <c r="F97" t="s">
        <v>17</v>
      </c>
      <c r="G97" t="s">
        <v>14</v>
      </c>
      <c r="H97">
        <f>MONTH(Table2[[#This Row],[Date]])</f>
        <v>3</v>
      </c>
      <c r="I97" s="3">
        <f>WEEKDAY(Table2[[#This Row],[Date]])</f>
        <v>3</v>
      </c>
      <c r="J97">
        <f>Table2[[#This Row],[Credit]]-Table2[[#This Row],[Debit]]</f>
        <v>-900</v>
      </c>
    </row>
    <row r="98" spans="1:10" x14ac:dyDescent="0.45">
      <c r="A98" s="1">
        <v>44257</v>
      </c>
      <c r="B98" t="s">
        <v>18</v>
      </c>
      <c r="C98">
        <v>150</v>
      </c>
      <c r="E98" t="s">
        <v>19</v>
      </c>
      <c r="F98" t="s">
        <v>20</v>
      </c>
      <c r="G98" t="s">
        <v>14</v>
      </c>
      <c r="H98">
        <f>MONTH(Table2[[#This Row],[Date]])</f>
        <v>3</v>
      </c>
      <c r="I98" s="3">
        <f>WEEKDAY(Table2[[#This Row],[Date]])</f>
        <v>3</v>
      </c>
      <c r="J98">
        <f>Table2[[#This Row],[Credit]]-Table2[[#This Row],[Debit]]</f>
        <v>-150</v>
      </c>
    </row>
    <row r="99" spans="1:10" x14ac:dyDescent="0.45">
      <c r="A99" s="1">
        <v>44257</v>
      </c>
      <c r="B99" t="s">
        <v>11</v>
      </c>
      <c r="C99">
        <v>5</v>
      </c>
      <c r="E99" t="s">
        <v>12</v>
      </c>
      <c r="F99" t="s">
        <v>13</v>
      </c>
      <c r="G99" t="s">
        <v>14</v>
      </c>
      <c r="H99">
        <f>MONTH(Table2[[#This Row],[Date]])</f>
        <v>3</v>
      </c>
      <c r="I99" s="3">
        <f>WEEKDAY(Table2[[#This Row],[Date]])</f>
        <v>3</v>
      </c>
      <c r="J99">
        <f>Table2[[#This Row],[Credit]]-Table2[[#This Row],[Debit]]</f>
        <v>-5</v>
      </c>
    </row>
    <row r="100" spans="1:10" x14ac:dyDescent="0.45">
      <c r="A100" s="1">
        <v>44258</v>
      </c>
      <c r="B100" t="s">
        <v>11</v>
      </c>
      <c r="C100">
        <v>5</v>
      </c>
      <c r="E100" t="s">
        <v>12</v>
      </c>
      <c r="F100" t="s">
        <v>13</v>
      </c>
      <c r="G100" t="s">
        <v>14</v>
      </c>
      <c r="H100">
        <f>MONTH(Table2[[#This Row],[Date]])</f>
        <v>3</v>
      </c>
      <c r="I100" s="3">
        <f>WEEKDAY(Table2[[#This Row],[Date]])</f>
        <v>4</v>
      </c>
      <c r="J100">
        <f>Table2[[#This Row],[Credit]]-Table2[[#This Row],[Debit]]</f>
        <v>-5</v>
      </c>
    </row>
    <row r="101" spans="1:10" x14ac:dyDescent="0.45">
      <c r="A101" s="1">
        <v>44259</v>
      </c>
      <c r="B101" t="s">
        <v>11</v>
      </c>
      <c r="C101">
        <v>5</v>
      </c>
      <c r="E101" t="s">
        <v>12</v>
      </c>
      <c r="F101" t="s">
        <v>13</v>
      </c>
      <c r="G101" t="s">
        <v>14</v>
      </c>
      <c r="H101">
        <f>MONTH(Table2[[#This Row],[Date]])</f>
        <v>3</v>
      </c>
      <c r="I101" s="3">
        <f>WEEKDAY(Table2[[#This Row],[Date]])</f>
        <v>5</v>
      </c>
      <c r="J101">
        <f>Table2[[#This Row],[Credit]]-Table2[[#This Row],[Debit]]</f>
        <v>-5</v>
      </c>
    </row>
    <row r="102" spans="1:10" x14ac:dyDescent="0.45">
      <c r="A102" s="1">
        <v>44260</v>
      </c>
      <c r="B102" t="s">
        <v>11</v>
      </c>
      <c r="C102">
        <v>5</v>
      </c>
      <c r="E102" t="s">
        <v>12</v>
      </c>
      <c r="F102" t="s">
        <v>13</v>
      </c>
      <c r="G102" t="s">
        <v>14</v>
      </c>
      <c r="H102">
        <f>MONTH(Table2[[#This Row],[Date]])</f>
        <v>3</v>
      </c>
      <c r="I102" s="3">
        <f>WEEKDAY(Table2[[#This Row],[Date]])</f>
        <v>6</v>
      </c>
      <c r="J102">
        <f>Table2[[#This Row],[Credit]]-Table2[[#This Row],[Debit]]</f>
        <v>-5</v>
      </c>
    </row>
    <row r="103" spans="1:10" x14ac:dyDescent="0.45">
      <c r="A103" s="1">
        <v>44260</v>
      </c>
      <c r="B103" t="s">
        <v>21</v>
      </c>
      <c r="C103">
        <v>149</v>
      </c>
      <c r="E103" t="s">
        <v>22</v>
      </c>
      <c r="F103" t="s">
        <v>17</v>
      </c>
      <c r="G103" t="s">
        <v>14</v>
      </c>
      <c r="H103">
        <f>MONTH(Table2[[#This Row],[Date]])</f>
        <v>3</v>
      </c>
      <c r="I103" s="3">
        <f>WEEKDAY(Table2[[#This Row],[Date]])</f>
        <v>6</v>
      </c>
      <c r="J103">
        <f>Table2[[#This Row],[Credit]]-Table2[[#This Row],[Debit]]</f>
        <v>-149</v>
      </c>
    </row>
    <row r="104" spans="1:10" x14ac:dyDescent="0.45">
      <c r="A104" s="1">
        <v>44263</v>
      </c>
      <c r="B104" t="s">
        <v>23</v>
      </c>
      <c r="C104">
        <v>52.1</v>
      </c>
      <c r="E104" t="s">
        <v>24</v>
      </c>
      <c r="F104" t="s">
        <v>17</v>
      </c>
      <c r="G104" t="s">
        <v>14</v>
      </c>
      <c r="H104">
        <f>MONTH(Table2[[#This Row],[Date]])</f>
        <v>3</v>
      </c>
      <c r="I104" s="3">
        <f>WEEKDAY(Table2[[#This Row],[Date]])</f>
        <v>2</v>
      </c>
      <c r="J104">
        <f>Table2[[#This Row],[Credit]]-Table2[[#This Row],[Debit]]</f>
        <v>-52.1</v>
      </c>
    </row>
    <row r="105" spans="1:10" x14ac:dyDescent="0.45">
      <c r="A105" s="1">
        <v>44263</v>
      </c>
      <c r="B105" t="s">
        <v>11</v>
      </c>
      <c r="C105">
        <v>5</v>
      </c>
      <c r="E105" t="s">
        <v>12</v>
      </c>
      <c r="F105" t="s">
        <v>13</v>
      </c>
      <c r="G105" t="s">
        <v>14</v>
      </c>
      <c r="H105">
        <f>MONTH(Table2[[#This Row],[Date]])</f>
        <v>3</v>
      </c>
      <c r="I105" s="3">
        <f>WEEKDAY(Table2[[#This Row],[Date]])</f>
        <v>2</v>
      </c>
      <c r="J105">
        <f>Table2[[#This Row],[Credit]]-Table2[[#This Row],[Debit]]</f>
        <v>-5</v>
      </c>
    </row>
    <row r="106" spans="1:10" x14ac:dyDescent="0.45">
      <c r="A106" s="1">
        <v>44264</v>
      </c>
      <c r="B106" t="s">
        <v>11</v>
      </c>
      <c r="C106">
        <v>5</v>
      </c>
      <c r="E106" t="s">
        <v>12</v>
      </c>
      <c r="F106" t="s">
        <v>13</v>
      </c>
      <c r="G106" t="s">
        <v>14</v>
      </c>
      <c r="H106">
        <f>MONTH(Table2[[#This Row],[Date]])</f>
        <v>3</v>
      </c>
      <c r="I106" s="3">
        <f>WEEKDAY(Table2[[#This Row],[Date]])</f>
        <v>3</v>
      </c>
      <c r="J106">
        <f>Table2[[#This Row],[Credit]]-Table2[[#This Row],[Debit]]</f>
        <v>-5</v>
      </c>
    </row>
    <row r="107" spans="1:10" x14ac:dyDescent="0.45">
      <c r="A107" s="1">
        <v>44265</v>
      </c>
      <c r="B107" t="s">
        <v>25</v>
      </c>
      <c r="C107">
        <v>78.900000000000006</v>
      </c>
      <c r="E107" t="s">
        <v>26</v>
      </c>
      <c r="F107" t="s">
        <v>20</v>
      </c>
      <c r="G107" t="s">
        <v>14</v>
      </c>
      <c r="H107">
        <f>MONTH(Table2[[#This Row],[Date]])</f>
        <v>3</v>
      </c>
      <c r="I107" s="3">
        <f>WEEKDAY(Table2[[#This Row],[Date]])</f>
        <v>4</v>
      </c>
      <c r="J107">
        <f>Table2[[#This Row],[Credit]]-Table2[[#This Row],[Debit]]</f>
        <v>-78.900000000000006</v>
      </c>
    </row>
    <row r="108" spans="1:10" x14ac:dyDescent="0.45">
      <c r="A108" s="1">
        <v>44265</v>
      </c>
      <c r="B108" t="s">
        <v>11</v>
      </c>
      <c r="C108">
        <v>5</v>
      </c>
      <c r="E108" t="s">
        <v>12</v>
      </c>
      <c r="F108" t="s">
        <v>13</v>
      </c>
      <c r="G108" t="s">
        <v>14</v>
      </c>
      <c r="H108">
        <f>MONTH(Table2[[#This Row],[Date]])</f>
        <v>3</v>
      </c>
      <c r="I108" s="3">
        <f>WEEKDAY(Table2[[#This Row],[Date]])</f>
        <v>4</v>
      </c>
      <c r="J108">
        <f>Table2[[#This Row],[Credit]]-Table2[[#This Row],[Debit]]</f>
        <v>-5</v>
      </c>
    </row>
    <row r="109" spans="1:10" x14ac:dyDescent="0.45">
      <c r="A109" s="1">
        <v>44266</v>
      </c>
      <c r="B109" t="s">
        <v>11</v>
      </c>
      <c r="C109">
        <v>5</v>
      </c>
      <c r="E109" t="s">
        <v>12</v>
      </c>
      <c r="F109" t="s">
        <v>13</v>
      </c>
      <c r="G109" t="s">
        <v>14</v>
      </c>
      <c r="H109">
        <f>MONTH(Table2[[#This Row],[Date]])</f>
        <v>3</v>
      </c>
      <c r="I109" s="3">
        <f>WEEKDAY(Table2[[#This Row],[Date]])</f>
        <v>5</v>
      </c>
      <c r="J109">
        <f>Table2[[#This Row],[Credit]]-Table2[[#This Row],[Debit]]</f>
        <v>-5</v>
      </c>
    </row>
    <row r="110" spans="1:10" x14ac:dyDescent="0.45">
      <c r="A110" s="1">
        <v>44267</v>
      </c>
      <c r="B110" t="s">
        <v>21</v>
      </c>
      <c r="C110">
        <v>137</v>
      </c>
      <c r="E110" t="s">
        <v>22</v>
      </c>
      <c r="F110" t="s">
        <v>17</v>
      </c>
      <c r="G110" t="s">
        <v>14</v>
      </c>
      <c r="H110">
        <f>MONTH(Table2[[#This Row],[Date]])</f>
        <v>3</v>
      </c>
      <c r="I110" s="3">
        <f>WEEKDAY(Table2[[#This Row],[Date]])</f>
        <v>6</v>
      </c>
      <c r="J110">
        <f>Table2[[#This Row],[Credit]]-Table2[[#This Row],[Debit]]</f>
        <v>-137</v>
      </c>
    </row>
    <row r="111" spans="1:10" x14ac:dyDescent="0.45">
      <c r="A111" s="1">
        <v>44267</v>
      </c>
      <c r="B111" t="s">
        <v>11</v>
      </c>
      <c r="C111">
        <v>5</v>
      </c>
      <c r="E111" t="s">
        <v>12</v>
      </c>
      <c r="F111" t="s">
        <v>13</v>
      </c>
      <c r="G111" t="s">
        <v>14</v>
      </c>
      <c r="H111">
        <f>MONTH(Table2[[#This Row],[Date]])</f>
        <v>3</v>
      </c>
      <c r="I111" s="3">
        <f>WEEKDAY(Table2[[#This Row],[Date]])</f>
        <v>6</v>
      </c>
      <c r="J111">
        <f>Table2[[#This Row],[Credit]]-Table2[[#This Row],[Debit]]</f>
        <v>-5</v>
      </c>
    </row>
    <row r="112" spans="1:10" x14ac:dyDescent="0.45">
      <c r="A112" s="1">
        <v>44268</v>
      </c>
      <c r="B112" t="s">
        <v>11</v>
      </c>
      <c r="C112">
        <v>5</v>
      </c>
      <c r="E112" t="s">
        <v>12</v>
      </c>
      <c r="F112" t="s">
        <v>13</v>
      </c>
      <c r="G112" t="s">
        <v>14</v>
      </c>
      <c r="H112">
        <f>MONTH(Table2[[#This Row],[Date]])</f>
        <v>3</v>
      </c>
      <c r="I112" s="3">
        <f>WEEKDAY(Table2[[#This Row],[Date]])</f>
        <v>7</v>
      </c>
      <c r="J112">
        <f>Table2[[#This Row],[Credit]]-Table2[[#This Row],[Debit]]</f>
        <v>-5</v>
      </c>
    </row>
    <row r="113" spans="1:10" x14ac:dyDescent="0.45">
      <c r="A113" s="1">
        <v>44268</v>
      </c>
      <c r="B113" t="s">
        <v>27</v>
      </c>
      <c r="C113">
        <v>41.8</v>
      </c>
      <c r="E113" t="s">
        <v>28</v>
      </c>
      <c r="F113" t="s">
        <v>29</v>
      </c>
      <c r="G113" t="s">
        <v>14</v>
      </c>
      <c r="H113">
        <f>MONTH(Table2[[#This Row],[Date]])</f>
        <v>3</v>
      </c>
      <c r="I113" s="3">
        <f>WEEKDAY(Table2[[#This Row],[Date]])</f>
        <v>7</v>
      </c>
      <c r="J113">
        <f>Table2[[#This Row],[Credit]]-Table2[[#This Row],[Debit]]</f>
        <v>-41.8</v>
      </c>
    </row>
    <row r="114" spans="1:10" x14ac:dyDescent="0.45">
      <c r="A114" s="1">
        <v>44268</v>
      </c>
      <c r="B114" t="s">
        <v>30</v>
      </c>
      <c r="C114">
        <v>99.9</v>
      </c>
      <c r="E114" t="s">
        <v>31</v>
      </c>
      <c r="F114" t="s">
        <v>29</v>
      </c>
      <c r="G114" t="s">
        <v>14</v>
      </c>
      <c r="H114">
        <f>MONTH(Table2[[#This Row],[Date]])</f>
        <v>3</v>
      </c>
      <c r="I114" s="3">
        <f>WEEKDAY(Table2[[#This Row],[Date]])</f>
        <v>7</v>
      </c>
      <c r="J114">
        <f>Table2[[#This Row],[Credit]]-Table2[[#This Row],[Debit]]</f>
        <v>-99.9</v>
      </c>
    </row>
    <row r="115" spans="1:10" x14ac:dyDescent="0.45">
      <c r="A115" s="1">
        <v>44268</v>
      </c>
      <c r="B115" t="s">
        <v>32</v>
      </c>
      <c r="C115">
        <v>54</v>
      </c>
      <c r="E115" t="s">
        <v>33</v>
      </c>
      <c r="F115" t="s">
        <v>13</v>
      </c>
      <c r="G115" t="s">
        <v>14</v>
      </c>
      <c r="H115">
        <f>MONTH(Table2[[#This Row],[Date]])</f>
        <v>3</v>
      </c>
      <c r="I115" s="3">
        <f>WEEKDAY(Table2[[#This Row],[Date]])</f>
        <v>7</v>
      </c>
      <c r="J115">
        <f>Table2[[#This Row],[Credit]]-Table2[[#This Row],[Debit]]</f>
        <v>-54</v>
      </c>
    </row>
    <row r="116" spans="1:10" x14ac:dyDescent="0.45">
      <c r="A116" s="1">
        <v>44269</v>
      </c>
      <c r="B116" t="s">
        <v>34</v>
      </c>
      <c r="C116">
        <v>30</v>
      </c>
      <c r="E116" t="s">
        <v>35</v>
      </c>
      <c r="F116" t="s">
        <v>20</v>
      </c>
      <c r="G116" t="s">
        <v>14</v>
      </c>
      <c r="H116">
        <f>MONTH(Table2[[#This Row],[Date]])</f>
        <v>3</v>
      </c>
      <c r="I116" s="3">
        <f>WEEKDAY(Table2[[#This Row],[Date]])</f>
        <v>1</v>
      </c>
      <c r="J116">
        <f>Table2[[#This Row],[Credit]]-Table2[[#This Row],[Debit]]</f>
        <v>-30</v>
      </c>
    </row>
    <row r="117" spans="1:10" x14ac:dyDescent="0.45">
      <c r="A117" s="1">
        <v>44270</v>
      </c>
      <c r="B117" t="s">
        <v>36</v>
      </c>
      <c r="D117">
        <v>1000</v>
      </c>
      <c r="E117" t="s">
        <v>37</v>
      </c>
      <c r="F117" t="s">
        <v>38</v>
      </c>
      <c r="G117" t="s">
        <v>10</v>
      </c>
      <c r="H117">
        <f>MONTH(Table2[[#This Row],[Date]])</f>
        <v>3</v>
      </c>
      <c r="I117" s="3">
        <f>WEEKDAY(Table2[[#This Row],[Date]])</f>
        <v>2</v>
      </c>
      <c r="J117">
        <f>Table2[[#This Row],[Credit]]-Table2[[#This Row],[Debit]]</f>
        <v>1000</v>
      </c>
    </row>
    <row r="118" spans="1:10" x14ac:dyDescent="0.45">
      <c r="A118" s="1">
        <v>44270</v>
      </c>
      <c r="B118" t="s">
        <v>11</v>
      </c>
      <c r="C118">
        <v>5</v>
      </c>
      <c r="E118" t="s">
        <v>12</v>
      </c>
      <c r="F118" t="s">
        <v>13</v>
      </c>
      <c r="G118" t="s">
        <v>14</v>
      </c>
      <c r="H118">
        <f>MONTH(Table2[[#This Row],[Date]])</f>
        <v>3</v>
      </c>
      <c r="I118" s="3">
        <f>WEEKDAY(Table2[[#This Row],[Date]])</f>
        <v>2</v>
      </c>
      <c r="J118">
        <f>Table2[[#This Row],[Credit]]-Table2[[#This Row],[Debit]]</f>
        <v>-5</v>
      </c>
    </row>
    <row r="119" spans="1:10" x14ac:dyDescent="0.45">
      <c r="A119" s="1">
        <v>44271</v>
      </c>
      <c r="B119" t="s">
        <v>11</v>
      </c>
      <c r="C119">
        <v>5</v>
      </c>
      <c r="E119" t="s">
        <v>12</v>
      </c>
      <c r="F119" t="s">
        <v>13</v>
      </c>
      <c r="G119" t="s">
        <v>14</v>
      </c>
      <c r="H119">
        <f>MONTH(Table2[[#This Row],[Date]])</f>
        <v>3</v>
      </c>
      <c r="I119" s="3">
        <f>WEEKDAY(Table2[[#This Row],[Date]])</f>
        <v>3</v>
      </c>
      <c r="J119">
        <f>Table2[[#This Row],[Credit]]-Table2[[#This Row],[Debit]]</f>
        <v>-5</v>
      </c>
    </row>
    <row r="120" spans="1:10" x14ac:dyDescent="0.45">
      <c r="A120" s="1">
        <v>44271</v>
      </c>
      <c r="B120" t="s">
        <v>55</v>
      </c>
      <c r="C120">
        <v>75</v>
      </c>
      <c r="E120" t="s">
        <v>39</v>
      </c>
      <c r="F120" t="s">
        <v>56</v>
      </c>
      <c r="G120" t="s">
        <v>14</v>
      </c>
      <c r="H120">
        <f>MONTH(Table2[[#This Row],[Date]])</f>
        <v>3</v>
      </c>
      <c r="I120" s="3">
        <f>WEEKDAY(Table2[[#This Row],[Date]])</f>
        <v>3</v>
      </c>
      <c r="J120">
        <f>Table2[[#This Row],[Credit]]-Table2[[#This Row],[Debit]]</f>
        <v>-75</v>
      </c>
    </row>
    <row r="121" spans="1:10" x14ac:dyDescent="0.45">
      <c r="A121" s="1">
        <v>44271</v>
      </c>
      <c r="B121" t="s">
        <v>40</v>
      </c>
      <c r="C121">
        <v>40</v>
      </c>
      <c r="E121" t="s">
        <v>40</v>
      </c>
      <c r="F121" t="s">
        <v>17</v>
      </c>
      <c r="G121" t="s">
        <v>14</v>
      </c>
      <c r="H121">
        <f>MONTH(Table2[[#This Row],[Date]])</f>
        <v>3</v>
      </c>
      <c r="I121" s="3">
        <f>WEEKDAY(Table2[[#This Row],[Date]])</f>
        <v>3</v>
      </c>
      <c r="J121">
        <f>Table2[[#This Row],[Credit]]-Table2[[#This Row],[Debit]]</f>
        <v>-40</v>
      </c>
    </row>
    <row r="122" spans="1:10" x14ac:dyDescent="0.45">
      <c r="A122" s="1">
        <v>44272</v>
      </c>
      <c r="B122" t="s">
        <v>41</v>
      </c>
      <c r="C122">
        <v>46.8</v>
      </c>
      <c r="E122" t="s">
        <v>42</v>
      </c>
      <c r="F122" t="s">
        <v>29</v>
      </c>
      <c r="G122" t="s">
        <v>14</v>
      </c>
      <c r="H122">
        <f>MONTH(Table2[[#This Row],[Date]])</f>
        <v>3</v>
      </c>
      <c r="I122" s="3">
        <f>WEEKDAY(Table2[[#This Row],[Date]])</f>
        <v>4</v>
      </c>
      <c r="J122">
        <f>Table2[[#This Row],[Credit]]-Table2[[#This Row],[Debit]]</f>
        <v>-46.8</v>
      </c>
    </row>
    <row r="123" spans="1:10" x14ac:dyDescent="0.45">
      <c r="A123" s="1">
        <v>44272</v>
      </c>
      <c r="B123" t="s">
        <v>43</v>
      </c>
      <c r="C123">
        <v>35</v>
      </c>
      <c r="E123" t="s">
        <v>28</v>
      </c>
      <c r="F123" t="s">
        <v>29</v>
      </c>
      <c r="G123" t="s">
        <v>14</v>
      </c>
      <c r="H123">
        <f>MONTH(Table2[[#This Row],[Date]])</f>
        <v>3</v>
      </c>
      <c r="I123" s="3">
        <f>WEEKDAY(Table2[[#This Row],[Date]])</f>
        <v>4</v>
      </c>
      <c r="J123">
        <f>Table2[[#This Row],[Credit]]-Table2[[#This Row],[Debit]]</f>
        <v>-35</v>
      </c>
    </row>
    <row r="124" spans="1:10" x14ac:dyDescent="0.45">
      <c r="A124" s="1">
        <v>44272</v>
      </c>
      <c r="B124" t="s">
        <v>11</v>
      </c>
      <c r="C124">
        <v>5</v>
      </c>
      <c r="E124" t="s">
        <v>12</v>
      </c>
      <c r="F124" t="s">
        <v>13</v>
      </c>
      <c r="G124" t="s">
        <v>14</v>
      </c>
      <c r="H124">
        <f>MONTH(Table2[[#This Row],[Date]])</f>
        <v>3</v>
      </c>
      <c r="I124" s="3">
        <f>WEEKDAY(Table2[[#This Row],[Date]])</f>
        <v>4</v>
      </c>
      <c r="J124">
        <f>Table2[[#This Row],[Credit]]-Table2[[#This Row],[Debit]]</f>
        <v>-5</v>
      </c>
    </row>
    <row r="125" spans="1:10" x14ac:dyDescent="0.45">
      <c r="A125" s="1">
        <v>44273</v>
      </c>
      <c r="B125" t="s">
        <v>11</v>
      </c>
      <c r="C125">
        <v>5</v>
      </c>
      <c r="E125" t="s">
        <v>12</v>
      </c>
      <c r="F125" t="s">
        <v>13</v>
      </c>
      <c r="G125" t="s">
        <v>14</v>
      </c>
      <c r="H125">
        <f>MONTH(Table2[[#This Row],[Date]])</f>
        <v>3</v>
      </c>
      <c r="I125" s="3">
        <f>WEEKDAY(Table2[[#This Row],[Date]])</f>
        <v>5</v>
      </c>
      <c r="J125">
        <f>Table2[[#This Row],[Credit]]-Table2[[#This Row],[Debit]]</f>
        <v>-5</v>
      </c>
    </row>
    <row r="126" spans="1:10" x14ac:dyDescent="0.45">
      <c r="A126" s="1">
        <v>44274</v>
      </c>
      <c r="B126" t="s">
        <v>11</v>
      </c>
      <c r="C126">
        <v>5</v>
      </c>
      <c r="E126" t="s">
        <v>12</v>
      </c>
      <c r="F126" t="s">
        <v>13</v>
      </c>
      <c r="G126" t="s">
        <v>14</v>
      </c>
      <c r="H126">
        <f>MONTH(Table2[[#This Row],[Date]])</f>
        <v>3</v>
      </c>
      <c r="I126" s="3">
        <f>WEEKDAY(Table2[[#This Row],[Date]])</f>
        <v>6</v>
      </c>
      <c r="J126">
        <f>Table2[[#This Row],[Credit]]-Table2[[#This Row],[Debit]]</f>
        <v>-5</v>
      </c>
    </row>
    <row r="127" spans="1:10" x14ac:dyDescent="0.45">
      <c r="A127" s="1">
        <v>44274</v>
      </c>
      <c r="B127" t="s">
        <v>21</v>
      </c>
      <c r="C127">
        <v>171.9</v>
      </c>
      <c r="E127" t="s">
        <v>22</v>
      </c>
      <c r="F127" t="s">
        <v>17</v>
      </c>
      <c r="G127" t="s">
        <v>14</v>
      </c>
      <c r="H127">
        <f>MONTH(Table2[[#This Row],[Date]])</f>
        <v>3</v>
      </c>
      <c r="I127" s="3">
        <f>WEEKDAY(Table2[[#This Row],[Date]])</f>
        <v>6</v>
      </c>
      <c r="J127">
        <f>Table2[[#This Row],[Credit]]-Table2[[#This Row],[Debit]]</f>
        <v>-171.9</v>
      </c>
    </row>
    <row r="128" spans="1:10" x14ac:dyDescent="0.45">
      <c r="A128" s="1">
        <v>44275</v>
      </c>
      <c r="B128" t="s">
        <v>44</v>
      </c>
      <c r="C128">
        <v>39</v>
      </c>
      <c r="E128" t="s">
        <v>33</v>
      </c>
      <c r="F128" t="s">
        <v>13</v>
      </c>
      <c r="G128" t="s">
        <v>14</v>
      </c>
      <c r="H128">
        <f>MONTH(Table2[[#This Row],[Date]])</f>
        <v>3</v>
      </c>
      <c r="I128" s="3">
        <f>WEEKDAY(Table2[[#This Row],[Date]])</f>
        <v>7</v>
      </c>
      <c r="J128">
        <f>Table2[[#This Row],[Credit]]-Table2[[#This Row],[Debit]]</f>
        <v>-39</v>
      </c>
    </row>
    <row r="129" spans="1:10" x14ac:dyDescent="0.45">
      <c r="A129" s="1">
        <v>44276</v>
      </c>
      <c r="B129" t="s">
        <v>45</v>
      </c>
      <c r="C129">
        <v>14</v>
      </c>
      <c r="E129" t="s">
        <v>33</v>
      </c>
      <c r="F129" t="s">
        <v>13</v>
      </c>
      <c r="G129" t="s">
        <v>14</v>
      </c>
      <c r="H129">
        <f>MONTH(Table2[[#This Row],[Date]])</f>
        <v>3</v>
      </c>
      <c r="I129" s="3">
        <f>WEEKDAY(Table2[[#This Row],[Date]])</f>
        <v>1</v>
      </c>
      <c r="J129">
        <f>Table2[[#This Row],[Credit]]-Table2[[#This Row],[Debit]]</f>
        <v>-14</v>
      </c>
    </row>
    <row r="130" spans="1:10" x14ac:dyDescent="0.45">
      <c r="A130" s="1">
        <v>44277</v>
      </c>
      <c r="B130" t="s">
        <v>46</v>
      </c>
      <c r="C130">
        <v>55</v>
      </c>
      <c r="E130" t="s">
        <v>47</v>
      </c>
      <c r="F130" t="s">
        <v>48</v>
      </c>
      <c r="G130" t="s">
        <v>14</v>
      </c>
      <c r="H130">
        <f>MONTH(Table2[[#This Row],[Date]])</f>
        <v>3</v>
      </c>
      <c r="I130" s="3">
        <f>WEEKDAY(Table2[[#This Row],[Date]])</f>
        <v>2</v>
      </c>
      <c r="J130">
        <f>Table2[[#This Row],[Credit]]-Table2[[#This Row],[Debit]]</f>
        <v>-55</v>
      </c>
    </row>
    <row r="131" spans="1:10" x14ac:dyDescent="0.45">
      <c r="A131" s="1">
        <v>44277</v>
      </c>
      <c r="B131" t="s">
        <v>25</v>
      </c>
      <c r="C131">
        <v>65</v>
      </c>
      <c r="E131" t="s">
        <v>26</v>
      </c>
      <c r="F131" t="s">
        <v>20</v>
      </c>
      <c r="G131" t="s">
        <v>14</v>
      </c>
      <c r="H131">
        <f>MONTH(Table2[[#This Row],[Date]])</f>
        <v>3</v>
      </c>
      <c r="I131" s="3">
        <f>WEEKDAY(Table2[[#This Row],[Date]])</f>
        <v>2</v>
      </c>
      <c r="J131">
        <f>Table2[[#This Row],[Credit]]-Table2[[#This Row],[Debit]]</f>
        <v>-65</v>
      </c>
    </row>
    <row r="132" spans="1:10" x14ac:dyDescent="0.45">
      <c r="A132" s="1">
        <v>44277</v>
      </c>
      <c r="B132" t="s">
        <v>11</v>
      </c>
      <c r="C132">
        <v>5</v>
      </c>
      <c r="E132" t="s">
        <v>12</v>
      </c>
      <c r="F132" t="s">
        <v>13</v>
      </c>
      <c r="G132" t="s">
        <v>14</v>
      </c>
      <c r="H132">
        <f>MONTH(Table2[[#This Row],[Date]])</f>
        <v>3</v>
      </c>
      <c r="I132" s="3">
        <f>WEEKDAY(Table2[[#This Row],[Date]])</f>
        <v>2</v>
      </c>
      <c r="J132">
        <f>Table2[[#This Row],[Credit]]-Table2[[#This Row],[Debit]]</f>
        <v>-5</v>
      </c>
    </row>
    <row r="133" spans="1:10" x14ac:dyDescent="0.45">
      <c r="A133" s="1">
        <v>44278</v>
      </c>
      <c r="B133" t="s">
        <v>11</v>
      </c>
      <c r="C133">
        <v>5</v>
      </c>
      <c r="E133" t="s">
        <v>12</v>
      </c>
      <c r="F133" t="s">
        <v>13</v>
      </c>
      <c r="G133" t="s">
        <v>14</v>
      </c>
      <c r="H133">
        <f>MONTH(Table2[[#This Row],[Date]])</f>
        <v>3</v>
      </c>
      <c r="I133" s="3">
        <f>WEEKDAY(Table2[[#This Row],[Date]])</f>
        <v>3</v>
      </c>
      <c r="J133">
        <f>Table2[[#This Row],[Credit]]-Table2[[#This Row],[Debit]]</f>
        <v>-5</v>
      </c>
    </row>
    <row r="134" spans="1:10" x14ac:dyDescent="0.45">
      <c r="A134" s="1">
        <v>44279</v>
      </c>
      <c r="B134" t="s">
        <v>11</v>
      </c>
      <c r="C134">
        <v>5</v>
      </c>
      <c r="E134" t="s">
        <v>12</v>
      </c>
      <c r="F134" t="s">
        <v>13</v>
      </c>
      <c r="G134" t="s">
        <v>14</v>
      </c>
      <c r="H134">
        <f>MONTH(Table2[[#This Row],[Date]])</f>
        <v>3</v>
      </c>
      <c r="I134" s="3">
        <f>WEEKDAY(Table2[[#This Row],[Date]])</f>
        <v>4</v>
      </c>
      <c r="J134">
        <f>Table2[[#This Row],[Credit]]-Table2[[#This Row],[Debit]]</f>
        <v>-5</v>
      </c>
    </row>
    <row r="135" spans="1:10" x14ac:dyDescent="0.45">
      <c r="A135" s="1">
        <v>44280</v>
      </c>
      <c r="B135" t="s">
        <v>11</v>
      </c>
      <c r="C135">
        <v>5</v>
      </c>
      <c r="E135" t="s">
        <v>12</v>
      </c>
      <c r="F135" t="s">
        <v>13</v>
      </c>
      <c r="G135" t="s">
        <v>14</v>
      </c>
      <c r="H135">
        <f>MONTH(Table2[[#This Row],[Date]])</f>
        <v>3</v>
      </c>
      <c r="I135" s="3">
        <f>WEEKDAY(Table2[[#This Row],[Date]])</f>
        <v>5</v>
      </c>
      <c r="J135">
        <f>Table2[[#This Row],[Credit]]-Table2[[#This Row],[Debit]]</f>
        <v>-5</v>
      </c>
    </row>
    <row r="136" spans="1:10" x14ac:dyDescent="0.45">
      <c r="A136" s="1">
        <v>44281</v>
      </c>
      <c r="B136" t="s">
        <v>11</v>
      </c>
      <c r="C136">
        <v>5</v>
      </c>
      <c r="E136" t="s">
        <v>12</v>
      </c>
      <c r="F136" t="s">
        <v>13</v>
      </c>
      <c r="G136" t="s">
        <v>14</v>
      </c>
      <c r="H136">
        <f>MONTH(Table2[[#This Row],[Date]])</f>
        <v>3</v>
      </c>
      <c r="I136" s="3">
        <f>WEEKDAY(Table2[[#This Row],[Date]])</f>
        <v>6</v>
      </c>
      <c r="J136">
        <f>Table2[[#This Row],[Credit]]-Table2[[#This Row],[Debit]]</f>
        <v>-5</v>
      </c>
    </row>
    <row r="137" spans="1:10" x14ac:dyDescent="0.45">
      <c r="A137" s="1">
        <v>44281</v>
      </c>
      <c r="B137" t="s">
        <v>21</v>
      </c>
      <c r="C137">
        <v>209</v>
      </c>
      <c r="E137" t="s">
        <v>22</v>
      </c>
      <c r="F137" t="s">
        <v>17</v>
      </c>
      <c r="G137" t="s">
        <v>14</v>
      </c>
      <c r="H137">
        <f>MONTH(Table2[[#This Row],[Date]])</f>
        <v>3</v>
      </c>
      <c r="I137" s="3">
        <f>WEEKDAY(Table2[[#This Row],[Date]])</f>
        <v>6</v>
      </c>
      <c r="J137">
        <f>Table2[[#This Row],[Credit]]-Table2[[#This Row],[Debit]]</f>
        <v>-209</v>
      </c>
    </row>
    <row r="138" spans="1:10" x14ac:dyDescent="0.45">
      <c r="A138" s="1">
        <v>44282</v>
      </c>
      <c r="B138" t="s">
        <v>49</v>
      </c>
      <c r="C138">
        <v>127</v>
      </c>
      <c r="E138" t="s">
        <v>31</v>
      </c>
      <c r="F138" t="s">
        <v>29</v>
      </c>
      <c r="G138" t="s">
        <v>14</v>
      </c>
      <c r="H138">
        <f>MONTH(Table2[[#This Row],[Date]])</f>
        <v>3</v>
      </c>
      <c r="I138" s="3">
        <f>WEEKDAY(Table2[[#This Row],[Date]])</f>
        <v>7</v>
      </c>
      <c r="J138">
        <f>Table2[[#This Row],[Credit]]-Table2[[#This Row],[Debit]]</f>
        <v>-127</v>
      </c>
    </row>
    <row r="139" spans="1:10" x14ac:dyDescent="0.45">
      <c r="A139" s="1">
        <v>44282</v>
      </c>
      <c r="B139" t="s">
        <v>57</v>
      </c>
      <c r="C139">
        <v>177.2</v>
      </c>
      <c r="E139" t="s">
        <v>31</v>
      </c>
      <c r="F139" t="s">
        <v>29</v>
      </c>
      <c r="G139" t="s">
        <v>14</v>
      </c>
      <c r="H139">
        <f>MONTH(Table2[[#This Row],[Date]])</f>
        <v>3</v>
      </c>
      <c r="I139" s="3">
        <f>WEEKDAY(Table2[[#This Row],[Date]])</f>
        <v>7</v>
      </c>
      <c r="J139">
        <f>Table2[[#This Row],[Credit]]-Table2[[#This Row],[Debit]]</f>
        <v>-177.2</v>
      </c>
    </row>
    <row r="140" spans="1:10" x14ac:dyDescent="0.45">
      <c r="A140" s="1">
        <v>44283</v>
      </c>
      <c r="B140" t="s">
        <v>30</v>
      </c>
      <c r="C140">
        <v>147.1</v>
      </c>
      <c r="E140" t="s">
        <v>31</v>
      </c>
      <c r="F140" t="s">
        <v>29</v>
      </c>
      <c r="G140" t="s">
        <v>14</v>
      </c>
      <c r="H140">
        <f>MONTH(Table2[[#This Row],[Date]])</f>
        <v>3</v>
      </c>
      <c r="I140" s="3">
        <f>WEEKDAY(Table2[[#This Row],[Date]])</f>
        <v>1</v>
      </c>
      <c r="J140">
        <f>Table2[[#This Row],[Credit]]-Table2[[#This Row],[Debit]]</f>
        <v>-147.1</v>
      </c>
    </row>
    <row r="141" spans="1:10" x14ac:dyDescent="0.45">
      <c r="A141" s="1">
        <v>44283</v>
      </c>
      <c r="B141" t="s">
        <v>34</v>
      </c>
      <c r="C141">
        <v>25</v>
      </c>
      <c r="E141" t="s">
        <v>35</v>
      </c>
      <c r="F141" t="s">
        <v>20</v>
      </c>
      <c r="G141" t="s">
        <v>14</v>
      </c>
      <c r="H141">
        <f>MONTH(Table2[[#This Row],[Date]])</f>
        <v>3</v>
      </c>
      <c r="I141" s="3">
        <f>WEEKDAY(Table2[[#This Row],[Date]])</f>
        <v>1</v>
      </c>
      <c r="J141">
        <f>Table2[[#This Row],[Credit]]-Table2[[#This Row],[Debit]]</f>
        <v>-25</v>
      </c>
    </row>
    <row r="142" spans="1:10" x14ac:dyDescent="0.45">
      <c r="A142" s="1">
        <v>44284</v>
      </c>
      <c r="B142" t="s">
        <v>51</v>
      </c>
      <c r="C142">
        <v>15</v>
      </c>
      <c r="E142" t="s">
        <v>33</v>
      </c>
      <c r="F142" t="s">
        <v>13</v>
      </c>
      <c r="G142" t="s">
        <v>14</v>
      </c>
      <c r="H142">
        <f>MONTH(Table2[[#This Row],[Date]])</f>
        <v>3</v>
      </c>
      <c r="I142" s="3">
        <f>WEEKDAY(Table2[[#This Row],[Date]])</f>
        <v>2</v>
      </c>
      <c r="J142">
        <f>Table2[[#This Row],[Credit]]-Table2[[#This Row],[Debit]]</f>
        <v>-15</v>
      </c>
    </row>
    <row r="143" spans="1:10" x14ac:dyDescent="0.45">
      <c r="A143" s="1">
        <v>44285</v>
      </c>
      <c r="B143" t="s">
        <v>11</v>
      </c>
      <c r="C143">
        <v>5</v>
      </c>
      <c r="E143" t="s">
        <v>12</v>
      </c>
      <c r="F143" t="s">
        <v>13</v>
      </c>
      <c r="G143" t="s">
        <v>14</v>
      </c>
      <c r="H143">
        <f>MONTH(Table2[[#This Row],[Date]])</f>
        <v>3</v>
      </c>
      <c r="I143" s="3">
        <f>WEEKDAY(Table2[[#This Row],[Date]])</f>
        <v>3</v>
      </c>
      <c r="J143">
        <f>Table2[[#This Row],[Credit]]-Table2[[#This Row],[Debit]]</f>
        <v>-5</v>
      </c>
    </row>
    <row r="144" spans="1:10" x14ac:dyDescent="0.45">
      <c r="A144" s="1">
        <v>44286</v>
      </c>
      <c r="B144" t="s">
        <v>11</v>
      </c>
      <c r="C144">
        <v>5</v>
      </c>
      <c r="E144" t="s">
        <v>12</v>
      </c>
      <c r="F144" t="s">
        <v>13</v>
      </c>
      <c r="G144" t="s">
        <v>14</v>
      </c>
      <c r="H144">
        <f>MONTH(Table2[[#This Row],[Date]])</f>
        <v>3</v>
      </c>
      <c r="I144" s="3">
        <f>WEEKDAY(Table2[[#This Row],[Date]])</f>
        <v>4</v>
      </c>
      <c r="J144">
        <f>Table2[[#This Row],[Credit]]-Table2[[#This Row],[Debit]]</f>
        <v>-5</v>
      </c>
    </row>
    <row r="145" spans="1:10" x14ac:dyDescent="0.45">
      <c r="A145" s="1">
        <v>44287</v>
      </c>
      <c r="B145" t="s">
        <v>8</v>
      </c>
      <c r="D145">
        <v>5000</v>
      </c>
      <c r="E145" t="s">
        <v>100</v>
      </c>
      <c r="F145" t="s">
        <v>9</v>
      </c>
      <c r="G145" t="s">
        <v>10</v>
      </c>
      <c r="H145">
        <f>MONTH(Table2[[#This Row],[Date]])</f>
        <v>4</v>
      </c>
      <c r="I145" s="3">
        <f>WEEKDAY(Table2[[#This Row],[Date]])</f>
        <v>5</v>
      </c>
      <c r="J145">
        <f>Table2[[#This Row],[Credit]]-Table2[[#This Row],[Debit]]</f>
        <v>5000</v>
      </c>
    </row>
    <row r="146" spans="1:10" x14ac:dyDescent="0.45">
      <c r="A146" s="1">
        <v>44287</v>
      </c>
      <c r="B146" t="s">
        <v>11</v>
      </c>
      <c r="C146">
        <v>5</v>
      </c>
      <c r="E146" t="s">
        <v>12</v>
      </c>
      <c r="F146" t="s">
        <v>13</v>
      </c>
      <c r="G146" t="s">
        <v>14</v>
      </c>
      <c r="H146">
        <f>MONTH(Table2[[#This Row],[Date]])</f>
        <v>4</v>
      </c>
      <c r="I146" s="3">
        <f>WEEKDAY(Table2[[#This Row],[Date]])</f>
        <v>5</v>
      </c>
      <c r="J146">
        <f>Table2[[#This Row],[Credit]]-Table2[[#This Row],[Debit]]</f>
        <v>-5</v>
      </c>
    </row>
    <row r="147" spans="1:10" x14ac:dyDescent="0.45">
      <c r="A147" s="1">
        <v>44288</v>
      </c>
      <c r="B147" t="s">
        <v>15</v>
      </c>
      <c r="C147">
        <v>900</v>
      </c>
      <c r="E147" t="s">
        <v>16</v>
      </c>
      <c r="F147" t="s">
        <v>17</v>
      </c>
      <c r="G147" t="s">
        <v>14</v>
      </c>
      <c r="H147">
        <f>MONTH(Table2[[#This Row],[Date]])</f>
        <v>4</v>
      </c>
      <c r="I147" s="3">
        <f>WEEKDAY(Table2[[#This Row],[Date]])</f>
        <v>6</v>
      </c>
      <c r="J147">
        <f>Table2[[#This Row],[Credit]]-Table2[[#This Row],[Debit]]</f>
        <v>-900</v>
      </c>
    </row>
    <row r="148" spans="1:10" x14ac:dyDescent="0.45">
      <c r="A148" s="1">
        <v>44288</v>
      </c>
      <c r="B148" t="s">
        <v>18</v>
      </c>
      <c r="C148">
        <v>150</v>
      </c>
      <c r="E148" t="s">
        <v>19</v>
      </c>
      <c r="F148" t="s">
        <v>20</v>
      </c>
      <c r="G148" t="s">
        <v>14</v>
      </c>
      <c r="H148">
        <f>MONTH(Table2[[#This Row],[Date]])</f>
        <v>4</v>
      </c>
      <c r="I148" s="3">
        <f>WEEKDAY(Table2[[#This Row],[Date]])</f>
        <v>6</v>
      </c>
      <c r="J148">
        <f>Table2[[#This Row],[Credit]]-Table2[[#This Row],[Debit]]</f>
        <v>-150</v>
      </c>
    </row>
    <row r="149" spans="1:10" x14ac:dyDescent="0.45">
      <c r="A149" s="1">
        <v>44288</v>
      </c>
      <c r="B149" t="s">
        <v>11</v>
      </c>
      <c r="C149">
        <v>5</v>
      </c>
      <c r="E149" t="s">
        <v>12</v>
      </c>
      <c r="F149" t="s">
        <v>13</v>
      </c>
      <c r="G149" t="s">
        <v>14</v>
      </c>
      <c r="H149">
        <f>MONTH(Table2[[#This Row],[Date]])</f>
        <v>4</v>
      </c>
      <c r="I149" s="3">
        <f>WEEKDAY(Table2[[#This Row],[Date]])</f>
        <v>6</v>
      </c>
      <c r="J149">
        <f>Table2[[#This Row],[Credit]]-Table2[[#This Row],[Debit]]</f>
        <v>-5</v>
      </c>
    </row>
    <row r="150" spans="1:10" x14ac:dyDescent="0.45">
      <c r="A150" s="1">
        <v>44289</v>
      </c>
      <c r="B150" t="s">
        <v>11</v>
      </c>
      <c r="C150">
        <v>5</v>
      </c>
      <c r="E150" t="s">
        <v>12</v>
      </c>
      <c r="F150" t="s">
        <v>13</v>
      </c>
      <c r="G150" t="s">
        <v>14</v>
      </c>
      <c r="H150">
        <f>MONTH(Table2[[#This Row],[Date]])</f>
        <v>4</v>
      </c>
      <c r="I150" s="3">
        <f>WEEKDAY(Table2[[#This Row],[Date]])</f>
        <v>7</v>
      </c>
      <c r="J150">
        <f>Table2[[#This Row],[Credit]]-Table2[[#This Row],[Debit]]</f>
        <v>-5</v>
      </c>
    </row>
    <row r="151" spans="1:10" x14ac:dyDescent="0.45">
      <c r="A151" s="1">
        <v>44290</v>
      </c>
      <c r="B151" t="s">
        <v>11</v>
      </c>
      <c r="C151">
        <v>5</v>
      </c>
      <c r="E151" t="s">
        <v>12</v>
      </c>
      <c r="F151" t="s">
        <v>13</v>
      </c>
      <c r="G151" t="s">
        <v>14</v>
      </c>
      <c r="H151">
        <f>MONTH(Table2[[#This Row],[Date]])</f>
        <v>4</v>
      </c>
      <c r="I151" s="3">
        <f>WEEKDAY(Table2[[#This Row],[Date]])</f>
        <v>1</v>
      </c>
      <c r="J151">
        <f>Table2[[#This Row],[Credit]]-Table2[[#This Row],[Debit]]</f>
        <v>-5</v>
      </c>
    </row>
    <row r="152" spans="1:10" x14ac:dyDescent="0.45">
      <c r="A152" s="1">
        <v>44291</v>
      </c>
      <c r="B152" t="s">
        <v>11</v>
      </c>
      <c r="C152">
        <v>5</v>
      </c>
      <c r="E152" t="s">
        <v>12</v>
      </c>
      <c r="F152" t="s">
        <v>13</v>
      </c>
      <c r="G152" t="s">
        <v>14</v>
      </c>
      <c r="H152">
        <f>MONTH(Table2[[#This Row],[Date]])</f>
        <v>4</v>
      </c>
      <c r="I152" s="3">
        <f>WEEKDAY(Table2[[#This Row],[Date]])</f>
        <v>2</v>
      </c>
      <c r="J152">
        <f>Table2[[#This Row],[Credit]]-Table2[[#This Row],[Debit]]</f>
        <v>-5</v>
      </c>
    </row>
    <row r="153" spans="1:10" x14ac:dyDescent="0.45">
      <c r="A153" s="1">
        <v>44291</v>
      </c>
      <c r="B153" t="s">
        <v>21</v>
      </c>
      <c r="C153">
        <v>158.19999999999999</v>
      </c>
      <c r="E153" t="s">
        <v>22</v>
      </c>
      <c r="F153" t="s">
        <v>17</v>
      </c>
      <c r="G153" t="s">
        <v>14</v>
      </c>
      <c r="H153">
        <f>MONTH(Table2[[#This Row],[Date]])</f>
        <v>4</v>
      </c>
      <c r="I153" s="3">
        <f>WEEKDAY(Table2[[#This Row],[Date]])</f>
        <v>2</v>
      </c>
      <c r="J153">
        <f>Table2[[#This Row],[Credit]]-Table2[[#This Row],[Debit]]</f>
        <v>-158.19999999999999</v>
      </c>
    </row>
    <row r="154" spans="1:10" x14ac:dyDescent="0.45">
      <c r="A154" s="1">
        <v>44294</v>
      </c>
      <c r="B154" t="s">
        <v>23</v>
      </c>
      <c r="C154">
        <v>53.2</v>
      </c>
      <c r="E154" t="s">
        <v>24</v>
      </c>
      <c r="F154" t="s">
        <v>17</v>
      </c>
      <c r="G154" t="s">
        <v>14</v>
      </c>
      <c r="H154">
        <f>MONTH(Table2[[#This Row],[Date]])</f>
        <v>4</v>
      </c>
      <c r="I154" s="3">
        <f>WEEKDAY(Table2[[#This Row],[Date]])</f>
        <v>5</v>
      </c>
      <c r="J154">
        <f>Table2[[#This Row],[Credit]]-Table2[[#This Row],[Debit]]</f>
        <v>-53.2</v>
      </c>
    </row>
    <row r="155" spans="1:10" x14ac:dyDescent="0.45">
      <c r="A155" s="1">
        <v>44294</v>
      </c>
      <c r="B155" t="s">
        <v>11</v>
      </c>
      <c r="C155">
        <v>5</v>
      </c>
      <c r="E155" t="s">
        <v>12</v>
      </c>
      <c r="F155" t="s">
        <v>13</v>
      </c>
      <c r="G155" t="s">
        <v>14</v>
      </c>
      <c r="H155">
        <f>MONTH(Table2[[#This Row],[Date]])</f>
        <v>4</v>
      </c>
      <c r="I155" s="3">
        <f>WEEKDAY(Table2[[#This Row],[Date]])</f>
        <v>5</v>
      </c>
      <c r="J155">
        <f>Table2[[#This Row],[Credit]]-Table2[[#This Row],[Debit]]</f>
        <v>-5</v>
      </c>
    </row>
    <row r="156" spans="1:10" x14ac:dyDescent="0.45">
      <c r="A156" s="1">
        <v>44295</v>
      </c>
      <c r="B156" t="s">
        <v>11</v>
      </c>
      <c r="C156">
        <v>5</v>
      </c>
      <c r="E156" t="s">
        <v>12</v>
      </c>
      <c r="F156" t="s">
        <v>13</v>
      </c>
      <c r="G156" t="s">
        <v>14</v>
      </c>
      <c r="H156">
        <f>MONTH(Table2[[#This Row],[Date]])</f>
        <v>4</v>
      </c>
      <c r="I156" s="3">
        <f>WEEKDAY(Table2[[#This Row],[Date]])</f>
        <v>6</v>
      </c>
      <c r="J156">
        <f>Table2[[#This Row],[Credit]]-Table2[[#This Row],[Debit]]</f>
        <v>-5</v>
      </c>
    </row>
    <row r="157" spans="1:10" x14ac:dyDescent="0.45">
      <c r="A157" s="1">
        <v>44296</v>
      </c>
      <c r="B157" t="s">
        <v>25</v>
      </c>
      <c r="C157">
        <v>79.900000000000006</v>
      </c>
      <c r="E157" t="s">
        <v>26</v>
      </c>
      <c r="F157" t="s">
        <v>20</v>
      </c>
      <c r="G157" t="s">
        <v>14</v>
      </c>
      <c r="H157">
        <f>MONTH(Table2[[#This Row],[Date]])</f>
        <v>4</v>
      </c>
      <c r="I157" s="3">
        <f>WEEKDAY(Table2[[#This Row],[Date]])</f>
        <v>7</v>
      </c>
      <c r="J157">
        <f>Table2[[#This Row],[Credit]]-Table2[[#This Row],[Debit]]</f>
        <v>-79.900000000000006</v>
      </c>
    </row>
    <row r="158" spans="1:10" x14ac:dyDescent="0.45">
      <c r="A158" s="1">
        <v>44296</v>
      </c>
      <c r="B158" t="s">
        <v>11</v>
      </c>
      <c r="C158">
        <v>5</v>
      </c>
      <c r="E158" t="s">
        <v>12</v>
      </c>
      <c r="F158" t="s">
        <v>13</v>
      </c>
      <c r="G158" t="s">
        <v>14</v>
      </c>
      <c r="H158">
        <f>MONTH(Table2[[#This Row],[Date]])</f>
        <v>4</v>
      </c>
      <c r="I158" s="3">
        <f>WEEKDAY(Table2[[#This Row],[Date]])</f>
        <v>7</v>
      </c>
      <c r="J158">
        <f>Table2[[#This Row],[Credit]]-Table2[[#This Row],[Debit]]</f>
        <v>-5</v>
      </c>
    </row>
    <row r="159" spans="1:10" x14ac:dyDescent="0.45">
      <c r="A159" s="1">
        <v>44297</v>
      </c>
      <c r="B159" t="s">
        <v>11</v>
      </c>
      <c r="C159">
        <v>5</v>
      </c>
      <c r="E159" t="s">
        <v>12</v>
      </c>
      <c r="F159" t="s">
        <v>13</v>
      </c>
      <c r="G159" t="s">
        <v>14</v>
      </c>
      <c r="H159">
        <f>MONTH(Table2[[#This Row],[Date]])</f>
        <v>4</v>
      </c>
      <c r="I159" s="3">
        <f>WEEKDAY(Table2[[#This Row],[Date]])</f>
        <v>1</v>
      </c>
      <c r="J159">
        <f>Table2[[#This Row],[Credit]]-Table2[[#This Row],[Debit]]</f>
        <v>-5</v>
      </c>
    </row>
    <row r="160" spans="1:10" x14ac:dyDescent="0.45">
      <c r="A160" s="1">
        <v>44298</v>
      </c>
      <c r="B160" t="s">
        <v>21</v>
      </c>
      <c r="C160">
        <v>98</v>
      </c>
      <c r="E160" t="s">
        <v>22</v>
      </c>
      <c r="F160" t="s">
        <v>17</v>
      </c>
      <c r="G160" t="s">
        <v>14</v>
      </c>
      <c r="H160">
        <f>MONTH(Table2[[#This Row],[Date]])</f>
        <v>4</v>
      </c>
      <c r="I160" s="3">
        <f>WEEKDAY(Table2[[#This Row],[Date]])</f>
        <v>2</v>
      </c>
      <c r="J160">
        <f>Table2[[#This Row],[Credit]]-Table2[[#This Row],[Debit]]</f>
        <v>-98</v>
      </c>
    </row>
    <row r="161" spans="1:10" x14ac:dyDescent="0.45">
      <c r="A161" s="1">
        <v>44298</v>
      </c>
      <c r="B161" t="s">
        <v>11</v>
      </c>
      <c r="C161">
        <v>5</v>
      </c>
      <c r="E161" t="s">
        <v>12</v>
      </c>
      <c r="F161" t="s">
        <v>13</v>
      </c>
      <c r="G161" t="s">
        <v>14</v>
      </c>
      <c r="H161">
        <f>MONTH(Table2[[#This Row],[Date]])</f>
        <v>4</v>
      </c>
      <c r="I161" s="3">
        <f>WEEKDAY(Table2[[#This Row],[Date]])</f>
        <v>2</v>
      </c>
      <c r="J161">
        <f>Table2[[#This Row],[Credit]]-Table2[[#This Row],[Debit]]</f>
        <v>-5</v>
      </c>
    </row>
    <row r="162" spans="1:10" x14ac:dyDescent="0.45">
      <c r="A162" s="1">
        <v>44299</v>
      </c>
      <c r="B162" t="s">
        <v>11</v>
      </c>
      <c r="C162">
        <v>5</v>
      </c>
      <c r="E162" t="s">
        <v>12</v>
      </c>
      <c r="F162" t="s">
        <v>13</v>
      </c>
      <c r="G162" t="s">
        <v>14</v>
      </c>
      <c r="H162">
        <f>MONTH(Table2[[#This Row],[Date]])</f>
        <v>4</v>
      </c>
      <c r="I162" s="3">
        <f>WEEKDAY(Table2[[#This Row],[Date]])</f>
        <v>3</v>
      </c>
      <c r="J162">
        <f>Table2[[#This Row],[Credit]]-Table2[[#This Row],[Debit]]</f>
        <v>-5</v>
      </c>
    </row>
    <row r="163" spans="1:10" x14ac:dyDescent="0.45">
      <c r="A163" s="1">
        <v>44299</v>
      </c>
      <c r="B163" t="s">
        <v>27</v>
      </c>
      <c r="C163">
        <v>42.8</v>
      </c>
      <c r="E163" t="s">
        <v>28</v>
      </c>
      <c r="F163" t="s">
        <v>29</v>
      </c>
      <c r="G163" t="s">
        <v>14</v>
      </c>
      <c r="H163">
        <f>MONTH(Table2[[#This Row],[Date]])</f>
        <v>4</v>
      </c>
      <c r="I163" s="3">
        <f>WEEKDAY(Table2[[#This Row],[Date]])</f>
        <v>3</v>
      </c>
      <c r="J163">
        <f>Table2[[#This Row],[Credit]]-Table2[[#This Row],[Debit]]</f>
        <v>-42.8</v>
      </c>
    </row>
    <row r="164" spans="1:10" x14ac:dyDescent="0.45">
      <c r="A164" s="1">
        <v>44299</v>
      </c>
      <c r="B164" t="s">
        <v>30</v>
      </c>
      <c r="C164">
        <v>100.9</v>
      </c>
      <c r="E164" t="s">
        <v>31</v>
      </c>
      <c r="F164" t="s">
        <v>29</v>
      </c>
      <c r="G164" t="s">
        <v>14</v>
      </c>
      <c r="H164">
        <f>MONTH(Table2[[#This Row],[Date]])</f>
        <v>4</v>
      </c>
      <c r="I164" s="3">
        <f>WEEKDAY(Table2[[#This Row],[Date]])</f>
        <v>3</v>
      </c>
      <c r="J164">
        <f>Table2[[#This Row],[Credit]]-Table2[[#This Row],[Debit]]</f>
        <v>-100.9</v>
      </c>
    </row>
    <row r="165" spans="1:10" x14ac:dyDescent="0.45">
      <c r="A165" s="1">
        <v>44299</v>
      </c>
      <c r="B165" t="s">
        <v>32</v>
      </c>
      <c r="C165">
        <v>54.9</v>
      </c>
      <c r="E165" t="s">
        <v>33</v>
      </c>
      <c r="F165" t="s">
        <v>13</v>
      </c>
      <c r="G165" t="s">
        <v>14</v>
      </c>
      <c r="H165">
        <f>MONTH(Table2[[#This Row],[Date]])</f>
        <v>4</v>
      </c>
      <c r="I165" s="3">
        <f>WEEKDAY(Table2[[#This Row],[Date]])</f>
        <v>3</v>
      </c>
      <c r="J165">
        <f>Table2[[#This Row],[Credit]]-Table2[[#This Row],[Debit]]</f>
        <v>-54.9</v>
      </c>
    </row>
    <row r="166" spans="1:10" x14ac:dyDescent="0.45">
      <c r="A166" s="1">
        <v>44300</v>
      </c>
      <c r="B166" t="s">
        <v>34</v>
      </c>
      <c r="C166">
        <v>31</v>
      </c>
      <c r="E166" t="s">
        <v>35</v>
      </c>
      <c r="F166" t="s">
        <v>20</v>
      </c>
      <c r="G166" t="s">
        <v>14</v>
      </c>
      <c r="H166">
        <f>MONTH(Table2[[#This Row],[Date]])</f>
        <v>4</v>
      </c>
      <c r="I166" s="3">
        <f>WEEKDAY(Table2[[#This Row],[Date]])</f>
        <v>4</v>
      </c>
      <c r="J166">
        <f>Table2[[#This Row],[Credit]]-Table2[[#This Row],[Debit]]</f>
        <v>-31</v>
      </c>
    </row>
    <row r="167" spans="1:10" x14ac:dyDescent="0.45">
      <c r="A167" s="1">
        <v>44301</v>
      </c>
      <c r="B167" t="s">
        <v>36</v>
      </c>
      <c r="D167">
        <v>2340</v>
      </c>
      <c r="E167" t="s">
        <v>37</v>
      </c>
      <c r="F167" t="s">
        <v>38</v>
      </c>
      <c r="G167" t="s">
        <v>10</v>
      </c>
      <c r="H167">
        <f>MONTH(Table2[[#This Row],[Date]])</f>
        <v>4</v>
      </c>
      <c r="I167" s="3">
        <f>WEEKDAY(Table2[[#This Row],[Date]])</f>
        <v>5</v>
      </c>
      <c r="J167">
        <f>Table2[[#This Row],[Credit]]-Table2[[#This Row],[Debit]]</f>
        <v>2340</v>
      </c>
    </row>
    <row r="168" spans="1:10" x14ac:dyDescent="0.45">
      <c r="A168" s="1">
        <v>44301</v>
      </c>
      <c r="B168" t="s">
        <v>11</v>
      </c>
      <c r="C168">
        <v>5</v>
      </c>
      <c r="E168" t="s">
        <v>12</v>
      </c>
      <c r="F168" t="s">
        <v>13</v>
      </c>
      <c r="G168" t="s">
        <v>14</v>
      </c>
      <c r="H168">
        <f>MONTH(Table2[[#This Row],[Date]])</f>
        <v>4</v>
      </c>
      <c r="I168" s="3">
        <f>WEEKDAY(Table2[[#This Row],[Date]])</f>
        <v>5</v>
      </c>
      <c r="J168">
        <f>Table2[[#This Row],[Credit]]-Table2[[#This Row],[Debit]]</f>
        <v>-5</v>
      </c>
    </row>
    <row r="169" spans="1:10" x14ac:dyDescent="0.45">
      <c r="A169" s="1">
        <v>44302</v>
      </c>
      <c r="B169" t="s">
        <v>11</v>
      </c>
      <c r="C169">
        <v>5</v>
      </c>
      <c r="E169" t="s">
        <v>12</v>
      </c>
      <c r="F169" t="s">
        <v>13</v>
      </c>
      <c r="G169" t="s">
        <v>14</v>
      </c>
      <c r="H169">
        <f>MONTH(Table2[[#This Row],[Date]])</f>
        <v>4</v>
      </c>
      <c r="I169" s="3">
        <f>WEEKDAY(Table2[[#This Row],[Date]])</f>
        <v>6</v>
      </c>
      <c r="J169">
        <f>Table2[[#This Row],[Credit]]-Table2[[#This Row],[Debit]]</f>
        <v>-5</v>
      </c>
    </row>
    <row r="170" spans="1:10" x14ac:dyDescent="0.45">
      <c r="A170" s="1">
        <v>44302</v>
      </c>
      <c r="B170" t="s">
        <v>40</v>
      </c>
      <c r="C170">
        <v>40</v>
      </c>
      <c r="E170" t="s">
        <v>40</v>
      </c>
      <c r="F170" t="s">
        <v>17</v>
      </c>
      <c r="G170" t="s">
        <v>14</v>
      </c>
      <c r="H170">
        <f>MONTH(Table2[[#This Row],[Date]])</f>
        <v>4</v>
      </c>
      <c r="I170" s="3">
        <f>WEEKDAY(Table2[[#This Row],[Date]])</f>
        <v>6</v>
      </c>
      <c r="J170">
        <f>Table2[[#This Row],[Credit]]-Table2[[#This Row],[Debit]]</f>
        <v>-40</v>
      </c>
    </row>
    <row r="171" spans="1:10" x14ac:dyDescent="0.45">
      <c r="A171" s="1">
        <v>44303</v>
      </c>
      <c r="B171" t="s">
        <v>41</v>
      </c>
      <c r="C171">
        <v>47.9</v>
      </c>
      <c r="E171" t="s">
        <v>42</v>
      </c>
      <c r="F171" t="s">
        <v>29</v>
      </c>
      <c r="G171" t="s">
        <v>14</v>
      </c>
      <c r="H171">
        <f>MONTH(Table2[[#This Row],[Date]])</f>
        <v>4</v>
      </c>
      <c r="I171" s="3">
        <f>WEEKDAY(Table2[[#This Row],[Date]])</f>
        <v>7</v>
      </c>
      <c r="J171">
        <f>Table2[[#This Row],[Credit]]-Table2[[#This Row],[Debit]]</f>
        <v>-47.9</v>
      </c>
    </row>
    <row r="172" spans="1:10" x14ac:dyDescent="0.45">
      <c r="A172" s="1">
        <v>44303</v>
      </c>
      <c r="B172" t="s">
        <v>43</v>
      </c>
      <c r="C172">
        <v>35</v>
      </c>
      <c r="E172" t="s">
        <v>28</v>
      </c>
      <c r="F172" t="s">
        <v>29</v>
      </c>
      <c r="G172" t="s">
        <v>14</v>
      </c>
      <c r="H172">
        <f>MONTH(Table2[[#This Row],[Date]])</f>
        <v>4</v>
      </c>
      <c r="I172" s="3">
        <f>WEEKDAY(Table2[[#This Row],[Date]])</f>
        <v>7</v>
      </c>
      <c r="J172">
        <f>Table2[[#This Row],[Credit]]-Table2[[#This Row],[Debit]]</f>
        <v>-35</v>
      </c>
    </row>
    <row r="173" spans="1:10" x14ac:dyDescent="0.45">
      <c r="A173" s="1">
        <v>44303</v>
      </c>
      <c r="B173" t="s">
        <v>11</v>
      </c>
      <c r="C173">
        <v>5</v>
      </c>
      <c r="E173" t="s">
        <v>12</v>
      </c>
      <c r="F173" t="s">
        <v>13</v>
      </c>
      <c r="G173" t="s">
        <v>14</v>
      </c>
      <c r="H173">
        <f>MONTH(Table2[[#This Row],[Date]])</f>
        <v>4</v>
      </c>
      <c r="I173" s="3">
        <f>WEEKDAY(Table2[[#This Row],[Date]])</f>
        <v>7</v>
      </c>
      <c r="J173">
        <f>Table2[[#This Row],[Credit]]-Table2[[#This Row],[Debit]]</f>
        <v>-5</v>
      </c>
    </row>
    <row r="174" spans="1:10" x14ac:dyDescent="0.45">
      <c r="A174" s="1">
        <v>44304</v>
      </c>
      <c r="B174" t="s">
        <v>11</v>
      </c>
      <c r="C174">
        <v>5</v>
      </c>
      <c r="E174" t="s">
        <v>12</v>
      </c>
      <c r="F174" t="s">
        <v>13</v>
      </c>
      <c r="G174" t="s">
        <v>14</v>
      </c>
      <c r="H174">
        <f>MONTH(Table2[[#This Row],[Date]])</f>
        <v>4</v>
      </c>
      <c r="I174" s="3">
        <f>WEEKDAY(Table2[[#This Row],[Date]])</f>
        <v>1</v>
      </c>
      <c r="J174">
        <f>Table2[[#This Row],[Credit]]-Table2[[#This Row],[Debit]]</f>
        <v>-5</v>
      </c>
    </row>
    <row r="175" spans="1:10" x14ac:dyDescent="0.45">
      <c r="A175" s="1">
        <v>44305</v>
      </c>
      <c r="B175" t="s">
        <v>11</v>
      </c>
      <c r="C175">
        <v>5</v>
      </c>
      <c r="E175" t="s">
        <v>12</v>
      </c>
      <c r="F175" t="s">
        <v>13</v>
      </c>
      <c r="G175" t="s">
        <v>14</v>
      </c>
      <c r="H175">
        <f>MONTH(Table2[[#This Row],[Date]])</f>
        <v>4</v>
      </c>
      <c r="I175" s="3">
        <f>WEEKDAY(Table2[[#This Row],[Date]])</f>
        <v>2</v>
      </c>
      <c r="J175">
        <f>Table2[[#This Row],[Credit]]-Table2[[#This Row],[Debit]]</f>
        <v>-5</v>
      </c>
    </row>
    <row r="176" spans="1:10" x14ac:dyDescent="0.45">
      <c r="A176" s="1">
        <v>44305</v>
      </c>
      <c r="B176" t="s">
        <v>21</v>
      </c>
      <c r="C176">
        <v>173</v>
      </c>
      <c r="E176" t="s">
        <v>22</v>
      </c>
      <c r="F176" t="s">
        <v>17</v>
      </c>
      <c r="G176" t="s">
        <v>14</v>
      </c>
      <c r="H176">
        <f>MONTH(Table2[[#This Row],[Date]])</f>
        <v>4</v>
      </c>
      <c r="I176" s="3">
        <f>WEEKDAY(Table2[[#This Row],[Date]])</f>
        <v>2</v>
      </c>
      <c r="J176">
        <f>Table2[[#This Row],[Credit]]-Table2[[#This Row],[Debit]]</f>
        <v>-173</v>
      </c>
    </row>
    <row r="177" spans="1:10" x14ac:dyDescent="0.45">
      <c r="A177" s="1">
        <v>44306</v>
      </c>
      <c r="B177" t="s">
        <v>44</v>
      </c>
      <c r="C177">
        <v>40.1</v>
      </c>
      <c r="E177" t="s">
        <v>33</v>
      </c>
      <c r="F177" t="s">
        <v>13</v>
      </c>
      <c r="G177" t="s">
        <v>14</v>
      </c>
      <c r="H177">
        <f>MONTH(Table2[[#This Row],[Date]])</f>
        <v>4</v>
      </c>
      <c r="I177" s="3">
        <f>WEEKDAY(Table2[[#This Row],[Date]])</f>
        <v>3</v>
      </c>
      <c r="J177">
        <f>Table2[[#This Row],[Credit]]-Table2[[#This Row],[Debit]]</f>
        <v>-40.1</v>
      </c>
    </row>
    <row r="178" spans="1:10" x14ac:dyDescent="0.45">
      <c r="A178" s="1">
        <v>44307</v>
      </c>
      <c r="B178" t="s">
        <v>45</v>
      </c>
      <c r="C178">
        <v>15.1</v>
      </c>
      <c r="E178" t="s">
        <v>33</v>
      </c>
      <c r="F178" t="s">
        <v>13</v>
      </c>
      <c r="G178" t="s">
        <v>14</v>
      </c>
      <c r="H178">
        <f>MONTH(Table2[[#This Row],[Date]])</f>
        <v>4</v>
      </c>
      <c r="I178" s="3">
        <f>WEEKDAY(Table2[[#This Row],[Date]])</f>
        <v>4</v>
      </c>
      <c r="J178">
        <f>Table2[[#This Row],[Credit]]-Table2[[#This Row],[Debit]]</f>
        <v>-15.1</v>
      </c>
    </row>
    <row r="179" spans="1:10" x14ac:dyDescent="0.45">
      <c r="A179" s="1">
        <v>44308</v>
      </c>
      <c r="B179" t="s">
        <v>46</v>
      </c>
      <c r="C179">
        <v>55</v>
      </c>
      <c r="E179" t="s">
        <v>47</v>
      </c>
      <c r="F179" t="s">
        <v>48</v>
      </c>
      <c r="G179" t="s">
        <v>14</v>
      </c>
      <c r="H179">
        <f>MONTH(Table2[[#This Row],[Date]])</f>
        <v>4</v>
      </c>
      <c r="I179" s="3">
        <f>WEEKDAY(Table2[[#This Row],[Date]])</f>
        <v>5</v>
      </c>
      <c r="J179">
        <f>Table2[[#This Row],[Credit]]-Table2[[#This Row],[Debit]]</f>
        <v>-55</v>
      </c>
    </row>
    <row r="180" spans="1:10" x14ac:dyDescent="0.45">
      <c r="A180" s="1">
        <v>44308</v>
      </c>
      <c r="B180" t="s">
        <v>25</v>
      </c>
      <c r="C180">
        <v>66</v>
      </c>
      <c r="E180" t="s">
        <v>26</v>
      </c>
      <c r="F180" t="s">
        <v>20</v>
      </c>
      <c r="G180" t="s">
        <v>14</v>
      </c>
      <c r="H180">
        <f>MONTH(Table2[[#This Row],[Date]])</f>
        <v>4</v>
      </c>
      <c r="I180" s="3">
        <f>WEEKDAY(Table2[[#This Row],[Date]])</f>
        <v>5</v>
      </c>
      <c r="J180">
        <f>Table2[[#This Row],[Credit]]-Table2[[#This Row],[Debit]]</f>
        <v>-66</v>
      </c>
    </row>
    <row r="181" spans="1:10" x14ac:dyDescent="0.45">
      <c r="A181" s="1">
        <v>44308</v>
      </c>
      <c r="B181" t="s">
        <v>11</v>
      </c>
      <c r="C181">
        <v>5</v>
      </c>
      <c r="E181" t="s">
        <v>12</v>
      </c>
      <c r="F181" t="s">
        <v>13</v>
      </c>
      <c r="G181" t="s">
        <v>14</v>
      </c>
      <c r="H181">
        <f>MONTH(Table2[[#This Row],[Date]])</f>
        <v>4</v>
      </c>
      <c r="I181" s="3">
        <f>WEEKDAY(Table2[[#This Row],[Date]])</f>
        <v>5</v>
      </c>
      <c r="J181">
        <f>Table2[[#This Row],[Credit]]-Table2[[#This Row],[Debit]]</f>
        <v>-5</v>
      </c>
    </row>
    <row r="182" spans="1:10" x14ac:dyDescent="0.45">
      <c r="A182" s="1">
        <v>44309</v>
      </c>
      <c r="B182" t="s">
        <v>11</v>
      </c>
      <c r="C182">
        <v>5</v>
      </c>
      <c r="E182" t="s">
        <v>12</v>
      </c>
      <c r="F182" t="s">
        <v>13</v>
      </c>
      <c r="G182" t="s">
        <v>14</v>
      </c>
      <c r="H182">
        <f>MONTH(Table2[[#This Row],[Date]])</f>
        <v>4</v>
      </c>
      <c r="I182" s="3">
        <f>WEEKDAY(Table2[[#This Row],[Date]])</f>
        <v>6</v>
      </c>
      <c r="J182">
        <f>Table2[[#This Row],[Credit]]-Table2[[#This Row],[Debit]]</f>
        <v>-5</v>
      </c>
    </row>
    <row r="183" spans="1:10" x14ac:dyDescent="0.45">
      <c r="A183" s="1">
        <v>44310</v>
      </c>
      <c r="B183" t="s">
        <v>11</v>
      </c>
      <c r="C183">
        <v>5</v>
      </c>
      <c r="E183" t="s">
        <v>12</v>
      </c>
      <c r="F183" t="s">
        <v>13</v>
      </c>
      <c r="G183" t="s">
        <v>14</v>
      </c>
      <c r="H183">
        <f>MONTH(Table2[[#This Row],[Date]])</f>
        <v>4</v>
      </c>
      <c r="I183" s="3">
        <f>WEEKDAY(Table2[[#This Row],[Date]])</f>
        <v>7</v>
      </c>
      <c r="J183">
        <f>Table2[[#This Row],[Credit]]-Table2[[#This Row],[Debit]]</f>
        <v>-5</v>
      </c>
    </row>
    <row r="184" spans="1:10" x14ac:dyDescent="0.45">
      <c r="A184" s="1">
        <v>44311</v>
      </c>
      <c r="B184" t="s">
        <v>11</v>
      </c>
      <c r="C184">
        <v>5</v>
      </c>
      <c r="E184" t="s">
        <v>12</v>
      </c>
      <c r="F184" t="s">
        <v>13</v>
      </c>
      <c r="G184" t="s">
        <v>14</v>
      </c>
      <c r="H184">
        <f>MONTH(Table2[[#This Row],[Date]])</f>
        <v>4</v>
      </c>
      <c r="I184" s="3">
        <f>WEEKDAY(Table2[[#This Row],[Date]])</f>
        <v>1</v>
      </c>
      <c r="J184">
        <f>Table2[[#This Row],[Credit]]-Table2[[#This Row],[Debit]]</f>
        <v>-5</v>
      </c>
    </row>
    <row r="185" spans="1:10" x14ac:dyDescent="0.45">
      <c r="A185" s="1">
        <v>44312</v>
      </c>
      <c r="B185" t="s">
        <v>11</v>
      </c>
      <c r="C185">
        <v>5</v>
      </c>
      <c r="E185" t="s">
        <v>12</v>
      </c>
      <c r="F185" t="s">
        <v>13</v>
      </c>
      <c r="G185" t="s">
        <v>14</v>
      </c>
      <c r="H185">
        <f>MONTH(Table2[[#This Row],[Date]])</f>
        <v>4</v>
      </c>
      <c r="I185" s="3">
        <f>WEEKDAY(Table2[[#This Row],[Date]])</f>
        <v>2</v>
      </c>
      <c r="J185">
        <f>Table2[[#This Row],[Credit]]-Table2[[#This Row],[Debit]]</f>
        <v>-5</v>
      </c>
    </row>
    <row r="186" spans="1:10" x14ac:dyDescent="0.45">
      <c r="A186" s="1">
        <v>44312</v>
      </c>
      <c r="B186" t="s">
        <v>21</v>
      </c>
      <c r="C186">
        <v>164.9</v>
      </c>
      <c r="E186" t="s">
        <v>22</v>
      </c>
      <c r="F186" t="s">
        <v>17</v>
      </c>
      <c r="G186" t="s">
        <v>14</v>
      </c>
      <c r="H186">
        <f>MONTH(Table2[[#This Row],[Date]])</f>
        <v>4</v>
      </c>
      <c r="I186" s="3">
        <f>WEEKDAY(Table2[[#This Row],[Date]])</f>
        <v>2</v>
      </c>
      <c r="J186">
        <f>Table2[[#This Row],[Credit]]-Table2[[#This Row],[Debit]]</f>
        <v>-164.9</v>
      </c>
    </row>
    <row r="187" spans="1:10" x14ac:dyDescent="0.45">
      <c r="A187" s="1">
        <v>44313</v>
      </c>
      <c r="B187" t="s">
        <v>49</v>
      </c>
      <c r="C187">
        <v>127.9</v>
      </c>
      <c r="E187" t="s">
        <v>31</v>
      </c>
      <c r="F187" t="s">
        <v>29</v>
      </c>
      <c r="G187" t="s">
        <v>14</v>
      </c>
      <c r="H187">
        <f>MONTH(Table2[[#This Row],[Date]])</f>
        <v>4</v>
      </c>
      <c r="I187" s="3">
        <f>WEEKDAY(Table2[[#This Row],[Date]])</f>
        <v>3</v>
      </c>
      <c r="J187">
        <f>Table2[[#This Row],[Credit]]-Table2[[#This Row],[Debit]]</f>
        <v>-127.9</v>
      </c>
    </row>
    <row r="188" spans="1:10" x14ac:dyDescent="0.45">
      <c r="A188" s="1">
        <v>44313</v>
      </c>
      <c r="B188" t="s">
        <v>58</v>
      </c>
      <c r="C188">
        <v>300</v>
      </c>
      <c r="E188" t="s">
        <v>28</v>
      </c>
      <c r="F188" t="s">
        <v>29</v>
      </c>
      <c r="G188" t="s">
        <v>14</v>
      </c>
      <c r="H188">
        <f>MONTH(Table2[[#This Row],[Date]])</f>
        <v>4</v>
      </c>
      <c r="I188" s="3">
        <f>WEEKDAY(Table2[[#This Row],[Date]])</f>
        <v>3</v>
      </c>
      <c r="J188">
        <f>Table2[[#This Row],[Credit]]-Table2[[#This Row],[Debit]]</f>
        <v>-300</v>
      </c>
    </row>
    <row r="189" spans="1:10" x14ac:dyDescent="0.45">
      <c r="A189" s="1">
        <v>44314</v>
      </c>
      <c r="B189" t="s">
        <v>30</v>
      </c>
      <c r="C189">
        <v>148.1</v>
      </c>
      <c r="E189" t="s">
        <v>31</v>
      </c>
      <c r="F189" t="s">
        <v>29</v>
      </c>
      <c r="G189" t="s">
        <v>14</v>
      </c>
      <c r="H189">
        <f>MONTH(Table2[[#This Row],[Date]])</f>
        <v>4</v>
      </c>
      <c r="I189" s="3">
        <f>WEEKDAY(Table2[[#This Row],[Date]])</f>
        <v>4</v>
      </c>
      <c r="J189">
        <f>Table2[[#This Row],[Credit]]-Table2[[#This Row],[Debit]]</f>
        <v>-148.1</v>
      </c>
    </row>
    <row r="190" spans="1:10" x14ac:dyDescent="0.45">
      <c r="A190" s="1">
        <v>44314</v>
      </c>
      <c r="B190" t="s">
        <v>34</v>
      </c>
      <c r="C190">
        <v>26.1</v>
      </c>
      <c r="E190" t="s">
        <v>35</v>
      </c>
      <c r="F190" t="s">
        <v>20</v>
      </c>
      <c r="G190" t="s">
        <v>14</v>
      </c>
      <c r="H190">
        <f>MONTH(Table2[[#This Row],[Date]])</f>
        <v>4</v>
      </c>
      <c r="I190" s="3">
        <f>WEEKDAY(Table2[[#This Row],[Date]])</f>
        <v>4</v>
      </c>
      <c r="J190">
        <f>Table2[[#This Row],[Credit]]-Table2[[#This Row],[Debit]]</f>
        <v>-26.1</v>
      </c>
    </row>
    <row r="191" spans="1:10" x14ac:dyDescent="0.45">
      <c r="A191" s="1">
        <v>44315</v>
      </c>
      <c r="B191" t="s">
        <v>51</v>
      </c>
      <c r="C191">
        <v>15</v>
      </c>
      <c r="E191" t="s">
        <v>33</v>
      </c>
      <c r="F191" t="s">
        <v>13</v>
      </c>
      <c r="G191" t="s">
        <v>14</v>
      </c>
      <c r="H191">
        <f>MONTH(Table2[[#This Row],[Date]])</f>
        <v>4</v>
      </c>
      <c r="I191" s="3">
        <f>WEEKDAY(Table2[[#This Row],[Date]])</f>
        <v>5</v>
      </c>
      <c r="J191">
        <f>Table2[[#This Row],[Credit]]-Table2[[#This Row],[Debit]]</f>
        <v>-15</v>
      </c>
    </row>
    <row r="192" spans="1:10" x14ac:dyDescent="0.45">
      <c r="A192" s="1">
        <v>44315</v>
      </c>
      <c r="B192" t="s">
        <v>11</v>
      </c>
      <c r="C192">
        <v>5</v>
      </c>
      <c r="E192" t="s">
        <v>12</v>
      </c>
      <c r="F192" t="s">
        <v>13</v>
      </c>
      <c r="G192" t="s">
        <v>14</v>
      </c>
      <c r="H192">
        <f>MONTH(Table2[[#This Row],[Date]])</f>
        <v>4</v>
      </c>
      <c r="I192" s="3">
        <f>WEEKDAY(Table2[[#This Row],[Date]])</f>
        <v>5</v>
      </c>
      <c r="J192">
        <f>Table2[[#This Row],[Credit]]-Table2[[#This Row],[Debit]]</f>
        <v>-5</v>
      </c>
    </row>
    <row r="193" spans="1:10" x14ac:dyDescent="0.45">
      <c r="A193" s="1">
        <v>44316</v>
      </c>
      <c r="B193" t="s">
        <v>11</v>
      </c>
      <c r="C193">
        <v>5</v>
      </c>
      <c r="E193" t="s">
        <v>12</v>
      </c>
      <c r="F193" t="s">
        <v>13</v>
      </c>
      <c r="G193" t="s">
        <v>14</v>
      </c>
      <c r="H193">
        <f>MONTH(Table2[[#This Row],[Date]])</f>
        <v>4</v>
      </c>
      <c r="I193" s="3">
        <f>WEEKDAY(Table2[[#This Row],[Date]])</f>
        <v>6</v>
      </c>
      <c r="J193">
        <f>Table2[[#This Row],[Credit]]-Table2[[#This Row],[Debit]]</f>
        <v>-5</v>
      </c>
    </row>
    <row r="194" spans="1:10" x14ac:dyDescent="0.45">
      <c r="A194" s="1">
        <v>44318</v>
      </c>
      <c r="B194" t="s">
        <v>11</v>
      </c>
      <c r="C194">
        <v>5</v>
      </c>
      <c r="E194" t="s">
        <v>12</v>
      </c>
      <c r="F194" t="s">
        <v>13</v>
      </c>
      <c r="G194" t="s">
        <v>14</v>
      </c>
      <c r="H194">
        <f>MONTH(Table2[[#This Row],[Date]])</f>
        <v>5</v>
      </c>
      <c r="I194" s="3">
        <f>WEEKDAY(Table2[[#This Row],[Date]])</f>
        <v>1</v>
      </c>
      <c r="J194">
        <f>Table2[[#This Row],[Credit]]-Table2[[#This Row],[Debit]]</f>
        <v>-5</v>
      </c>
    </row>
    <row r="195" spans="1:10" x14ac:dyDescent="0.45">
      <c r="A195" s="1">
        <v>44319</v>
      </c>
      <c r="B195" t="s">
        <v>8</v>
      </c>
      <c r="D195">
        <v>5000</v>
      </c>
      <c r="E195" t="s">
        <v>100</v>
      </c>
      <c r="F195" t="s">
        <v>9</v>
      </c>
      <c r="G195" t="s">
        <v>10</v>
      </c>
      <c r="H195">
        <f>MONTH(Table2[[#This Row],[Date]])</f>
        <v>5</v>
      </c>
      <c r="I195" s="3">
        <f>WEEKDAY(Table2[[#This Row],[Date]])</f>
        <v>2</v>
      </c>
      <c r="J195">
        <f>Table2[[#This Row],[Credit]]-Table2[[#This Row],[Debit]]</f>
        <v>5000</v>
      </c>
    </row>
    <row r="196" spans="1:10" x14ac:dyDescent="0.45">
      <c r="A196" s="1">
        <v>44319</v>
      </c>
      <c r="B196" t="s">
        <v>15</v>
      </c>
      <c r="C196">
        <v>900</v>
      </c>
      <c r="E196" t="s">
        <v>16</v>
      </c>
      <c r="F196" t="s">
        <v>17</v>
      </c>
      <c r="G196" t="s">
        <v>14</v>
      </c>
      <c r="H196">
        <f>MONTH(Table2[[#This Row],[Date]])</f>
        <v>5</v>
      </c>
      <c r="I196" s="3">
        <f>WEEKDAY(Table2[[#This Row],[Date]])</f>
        <v>2</v>
      </c>
      <c r="J196">
        <f>Table2[[#This Row],[Credit]]-Table2[[#This Row],[Debit]]</f>
        <v>-900</v>
      </c>
    </row>
    <row r="197" spans="1:10" x14ac:dyDescent="0.45">
      <c r="A197" s="1">
        <v>44319</v>
      </c>
      <c r="B197" t="s">
        <v>18</v>
      </c>
      <c r="C197">
        <v>150</v>
      </c>
      <c r="E197" t="s">
        <v>19</v>
      </c>
      <c r="F197" t="s">
        <v>20</v>
      </c>
      <c r="G197" t="s">
        <v>14</v>
      </c>
      <c r="H197">
        <f>MONTH(Table2[[#This Row],[Date]])</f>
        <v>5</v>
      </c>
      <c r="I197" s="3">
        <f>WEEKDAY(Table2[[#This Row],[Date]])</f>
        <v>2</v>
      </c>
      <c r="J197">
        <f>Table2[[#This Row],[Credit]]-Table2[[#This Row],[Debit]]</f>
        <v>-150</v>
      </c>
    </row>
    <row r="198" spans="1:10" x14ac:dyDescent="0.45">
      <c r="A198" s="1">
        <v>44319</v>
      </c>
      <c r="B198" t="s">
        <v>11</v>
      </c>
      <c r="C198">
        <v>5</v>
      </c>
      <c r="E198" t="s">
        <v>12</v>
      </c>
      <c r="F198" t="s">
        <v>13</v>
      </c>
      <c r="G198" t="s">
        <v>14</v>
      </c>
      <c r="H198">
        <f>MONTH(Table2[[#This Row],[Date]])</f>
        <v>5</v>
      </c>
      <c r="I198" s="3">
        <f>WEEKDAY(Table2[[#This Row],[Date]])</f>
        <v>2</v>
      </c>
      <c r="J198">
        <f>Table2[[#This Row],[Credit]]-Table2[[#This Row],[Debit]]</f>
        <v>-5</v>
      </c>
    </row>
    <row r="199" spans="1:10" x14ac:dyDescent="0.45">
      <c r="A199" s="1">
        <v>44320</v>
      </c>
      <c r="B199" t="s">
        <v>11</v>
      </c>
      <c r="C199">
        <v>5</v>
      </c>
      <c r="E199" t="s">
        <v>12</v>
      </c>
      <c r="F199" t="s">
        <v>13</v>
      </c>
      <c r="G199" t="s">
        <v>14</v>
      </c>
      <c r="H199">
        <f>MONTH(Table2[[#This Row],[Date]])</f>
        <v>5</v>
      </c>
      <c r="I199" s="3">
        <f>WEEKDAY(Table2[[#This Row],[Date]])</f>
        <v>3</v>
      </c>
      <c r="J199">
        <f>Table2[[#This Row],[Credit]]-Table2[[#This Row],[Debit]]</f>
        <v>-5</v>
      </c>
    </row>
    <row r="200" spans="1:10" x14ac:dyDescent="0.45">
      <c r="A200" s="1">
        <v>44321</v>
      </c>
      <c r="B200" t="s">
        <v>11</v>
      </c>
      <c r="C200">
        <v>5</v>
      </c>
      <c r="E200" t="s">
        <v>12</v>
      </c>
      <c r="F200" t="s">
        <v>13</v>
      </c>
      <c r="G200" t="s">
        <v>14</v>
      </c>
      <c r="H200">
        <f>MONTH(Table2[[#This Row],[Date]])</f>
        <v>5</v>
      </c>
      <c r="I200" s="3">
        <f>WEEKDAY(Table2[[#This Row],[Date]])</f>
        <v>4</v>
      </c>
      <c r="J200">
        <f>Table2[[#This Row],[Credit]]-Table2[[#This Row],[Debit]]</f>
        <v>-5</v>
      </c>
    </row>
    <row r="201" spans="1:10" x14ac:dyDescent="0.45">
      <c r="A201" s="1">
        <v>44322</v>
      </c>
      <c r="B201" t="s">
        <v>11</v>
      </c>
      <c r="C201">
        <v>5</v>
      </c>
      <c r="E201" t="s">
        <v>12</v>
      </c>
      <c r="F201" t="s">
        <v>13</v>
      </c>
      <c r="G201" t="s">
        <v>14</v>
      </c>
      <c r="H201">
        <f>MONTH(Table2[[#This Row],[Date]])</f>
        <v>5</v>
      </c>
      <c r="I201" s="3">
        <f>WEEKDAY(Table2[[#This Row],[Date]])</f>
        <v>5</v>
      </c>
      <c r="J201">
        <f>Table2[[#This Row],[Credit]]-Table2[[#This Row],[Debit]]</f>
        <v>-5</v>
      </c>
    </row>
    <row r="202" spans="1:10" x14ac:dyDescent="0.45">
      <c r="A202" s="1">
        <v>44322</v>
      </c>
      <c r="B202" t="s">
        <v>21</v>
      </c>
      <c r="C202">
        <v>170</v>
      </c>
      <c r="E202" t="s">
        <v>22</v>
      </c>
      <c r="F202" t="s">
        <v>17</v>
      </c>
      <c r="G202" t="s">
        <v>14</v>
      </c>
      <c r="H202">
        <f>MONTH(Table2[[#This Row],[Date]])</f>
        <v>5</v>
      </c>
      <c r="I202" s="3">
        <f>WEEKDAY(Table2[[#This Row],[Date]])</f>
        <v>5</v>
      </c>
      <c r="J202">
        <f>Table2[[#This Row],[Credit]]-Table2[[#This Row],[Debit]]</f>
        <v>-170</v>
      </c>
    </row>
    <row r="203" spans="1:10" x14ac:dyDescent="0.45">
      <c r="A203" s="1">
        <v>44325</v>
      </c>
      <c r="B203" t="s">
        <v>23</v>
      </c>
      <c r="C203">
        <v>54.1</v>
      </c>
      <c r="E203" t="s">
        <v>24</v>
      </c>
      <c r="F203" t="s">
        <v>17</v>
      </c>
      <c r="G203" t="s">
        <v>14</v>
      </c>
      <c r="H203">
        <f>MONTH(Table2[[#This Row],[Date]])</f>
        <v>5</v>
      </c>
      <c r="I203" s="3">
        <f>WEEKDAY(Table2[[#This Row],[Date]])</f>
        <v>1</v>
      </c>
      <c r="J203">
        <f>Table2[[#This Row],[Credit]]-Table2[[#This Row],[Debit]]</f>
        <v>-54.1</v>
      </c>
    </row>
    <row r="204" spans="1:10" x14ac:dyDescent="0.45">
      <c r="A204" s="1">
        <v>44325</v>
      </c>
      <c r="B204" t="s">
        <v>11</v>
      </c>
      <c r="C204">
        <v>5</v>
      </c>
      <c r="E204" t="s">
        <v>12</v>
      </c>
      <c r="F204" t="s">
        <v>13</v>
      </c>
      <c r="G204" t="s">
        <v>14</v>
      </c>
      <c r="H204">
        <f>MONTH(Table2[[#This Row],[Date]])</f>
        <v>5</v>
      </c>
      <c r="I204" s="3">
        <f>WEEKDAY(Table2[[#This Row],[Date]])</f>
        <v>1</v>
      </c>
      <c r="J204">
        <f>Table2[[#This Row],[Credit]]-Table2[[#This Row],[Debit]]</f>
        <v>-5</v>
      </c>
    </row>
    <row r="205" spans="1:10" x14ac:dyDescent="0.45">
      <c r="A205" s="1">
        <v>44326</v>
      </c>
      <c r="B205" t="s">
        <v>11</v>
      </c>
      <c r="C205">
        <v>5</v>
      </c>
      <c r="E205" t="s">
        <v>12</v>
      </c>
      <c r="F205" t="s">
        <v>13</v>
      </c>
      <c r="G205" t="s">
        <v>14</v>
      </c>
      <c r="H205">
        <f>MONTH(Table2[[#This Row],[Date]])</f>
        <v>5</v>
      </c>
      <c r="I205" s="3">
        <f>WEEKDAY(Table2[[#This Row],[Date]])</f>
        <v>2</v>
      </c>
      <c r="J205">
        <f>Table2[[#This Row],[Credit]]-Table2[[#This Row],[Debit]]</f>
        <v>-5</v>
      </c>
    </row>
    <row r="206" spans="1:10" x14ac:dyDescent="0.45">
      <c r="A206" s="1">
        <v>44327</v>
      </c>
      <c r="B206" t="s">
        <v>25</v>
      </c>
      <c r="C206">
        <v>81</v>
      </c>
      <c r="E206" t="s">
        <v>26</v>
      </c>
      <c r="F206" t="s">
        <v>20</v>
      </c>
      <c r="G206" t="s">
        <v>14</v>
      </c>
      <c r="H206">
        <f>MONTH(Table2[[#This Row],[Date]])</f>
        <v>5</v>
      </c>
      <c r="I206" s="3">
        <f>WEEKDAY(Table2[[#This Row],[Date]])</f>
        <v>3</v>
      </c>
      <c r="J206">
        <f>Table2[[#This Row],[Credit]]-Table2[[#This Row],[Debit]]</f>
        <v>-81</v>
      </c>
    </row>
    <row r="207" spans="1:10" x14ac:dyDescent="0.45">
      <c r="A207" s="1">
        <v>44327</v>
      </c>
      <c r="B207" t="s">
        <v>11</v>
      </c>
      <c r="C207">
        <v>5</v>
      </c>
      <c r="E207" t="s">
        <v>12</v>
      </c>
      <c r="F207" t="s">
        <v>13</v>
      </c>
      <c r="G207" t="s">
        <v>14</v>
      </c>
      <c r="H207">
        <f>MONTH(Table2[[#This Row],[Date]])</f>
        <v>5</v>
      </c>
      <c r="I207" s="3">
        <f>WEEKDAY(Table2[[#This Row],[Date]])</f>
        <v>3</v>
      </c>
      <c r="J207">
        <f>Table2[[#This Row],[Credit]]-Table2[[#This Row],[Debit]]</f>
        <v>-5</v>
      </c>
    </row>
    <row r="208" spans="1:10" x14ac:dyDescent="0.45">
      <c r="A208" s="1">
        <v>44328</v>
      </c>
      <c r="B208" t="s">
        <v>11</v>
      </c>
      <c r="C208">
        <v>5</v>
      </c>
      <c r="E208" t="s">
        <v>12</v>
      </c>
      <c r="F208" t="s">
        <v>13</v>
      </c>
      <c r="G208" t="s">
        <v>14</v>
      </c>
      <c r="H208">
        <f>MONTH(Table2[[#This Row],[Date]])</f>
        <v>5</v>
      </c>
      <c r="I208" s="3">
        <f>WEEKDAY(Table2[[#This Row],[Date]])</f>
        <v>4</v>
      </c>
      <c r="J208">
        <f>Table2[[#This Row],[Credit]]-Table2[[#This Row],[Debit]]</f>
        <v>-5</v>
      </c>
    </row>
    <row r="209" spans="1:10" x14ac:dyDescent="0.45">
      <c r="A209" s="1">
        <v>44329</v>
      </c>
      <c r="B209" t="s">
        <v>21</v>
      </c>
      <c r="C209">
        <v>139.1</v>
      </c>
      <c r="E209" t="s">
        <v>22</v>
      </c>
      <c r="F209" t="s">
        <v>17</v>
      </c>
      <c r="G209" t="s">
        <v>14</v>
      </c>
      <c r="H209">
        <f>MONTH(Table2[[#This Row],[Date]])</f>
        <v>5</v>
      </c>
      <c r="I209" s="3">
        <f>WEEKDAY(Table2[[#This Row],[Date]])</f>
        <v>5</v>
      </c>
      <c r="J209">
        <f>Table2[[#This Row],[Credit]]-Table2[[#This Row],[Debit]]</f>
        <v>-139.1</v>
      </c>
    </row>
    <row r="210" spans="1:10" x14ac:dyDescent="0.45">
      <c r="A210" s="1">
        <v>44329</v>
      </c>
      <c r="B210" t="s">
        <v>11</v>
      </c>
      <c r="C210">
        <v>5</v>
      </c>
      <c r="E210" t="s">
        <v>12</v>
      </c>
      <c r="F210" t="s">
        <v>13</v>
      </c>
      <c r="G210" t="s">
        <v>14</v>
      </c>
      <c r="H210">
        <f>MONTH(Table2[[#This Row],[Date]])</f>
        <v>5</v>
      </c>
      <c r="I210" s="3">
        <f>WEEKDAY(Table2[[#This Row],[Date]])</f>
        <v>5</v>
      </c>
      <c r="J210">
        <f>Table2[[#This Row],[Credit]]-Table2[[#This Row],[Debit]]</f>
        <v>-5</v>
      </c>
    </row>
    <row r="211" spans="1:10" x14ac:dyDescent="0.45">
      <c r="A211" s="1">
        <v>44330</v>
      </c>
      <c r="B211" t="s">
        <v>11</v>
      </c>
      <c r="C211">
        <v>5</v>
      </c>
      <c r="E211" t="s">
        <v>12</v>
      </c>
      <c r="F211" t="s">
        <v>13</v>
      </c>
      <c r="G211" t="s">
        <v>14</v>
      </c>
      <c r="H211">
        <f>MONTH(Table2[[#This Row],[Date]])</f>
        <v>5</v>
      </c>
      <c r="I211" s="3">
        <f>WEEKDAY(Table2[[#This Row],[Date]])</f>
        <v>6</v>
      </c>
      <c r="J211">
        <f>Table2[[#This Row],[Credit]]-Table2[[#This Row],[Debit]]</f>
        <v>-5</v>
      </c>
    </row>
    <row r="212" spans="1:10" x14ac:dyDescent="0.45">
      <c r="A212" s="1">
        <v>44330</v>
      </c>
      <c r="B212" t="s">
        <v>27</v>
      </c>
      <c r="C212">
        <v>43.9</v>
      </c>
      <c r="E212" t="s">
        <v>28</v>
      </c>
      <c r="F212" t="s">
        <v>29</v>
      </c>
      <c r="G212" t="s">
        <v>14</v>
      </c>
      <c r="H212">
        <f>MONTH(Table2[[#This Row],[Date]])</f>
        <v>5</v>
      </c>
      <c r="I212" s="3">
        <f>WEEKDAY(Table2[[#This Row],[Date]])</f>
        <v>6</v>
      </c>
      <c r="J212">
        <f>Table2[[#This Row],[Credit]]-Table2[[#This Row],[Debit]]</f>
        <v>-43.9</v>
      </c>
    </row>
    <row r="213" spans="1:10" x14ac:dyDescent="0.45">
      <c r="A213" s="1">
        <v>44330</v>
      </c>
      <c r="B213" t="s">
        <v>30</v>
      </c>
      <c r="C213">
        <v>101.80000000000001</v>
      </c>
      <c r="E213" t="s">
        <v>31</v>
      </c>
      <c r="F213" t="s">
        <v>29</v>
      </c>
      <c r="G213" t="s">
        <v>14</v>
      </c>
      <c r="H213">
        <f>MONTH(Table2[[#This Row],[Date]])</f>
        <v>5</v>
      </c>
      <c r="I213" s="3">
        <f>WEEKDAY(Table2[[#This Row],[Date]])</f>
        <v>6</v>
      </c>
      <c r="J213">
        <f>Table2[[#This Row],[Credit]]-Table2[[#This Row],[Debit]]</f>
        <v>-101.80000000000001</v>
      </c>
    </row>
    <row r="214" spans="1:10" x14ac:dyDescent="0.45">
      <c r="A214" s="1">
        <v>44330</v>
      </c>
      <c r="B214" t="s">
        <v>32</v>
      </c>
      <c r="C214">
        <v>55.9</v>
      </c>
      <c r="E214" t="s">
        <v>33</v>
      </c>
      <c r="F214" t="s">
        <v>13</v>
      </c>
      <c r="G214" t="s">
        <v>14</v>
      </c>
      <c r="H214">
        <f>MONTH(Table2[[#This Row],[Date]])</f>
        <v>5</v>
      </c>
      <c r="I214" s="3">
        <f>WEEKDAY(Table2[[#This Row],[Date]])</f>
        <v>6</v>
      </c>
      <c r="J214">
        <f>Table2[[#This Row],[Credit]]-Table2[[#This Row],[Debit]]</f>
        <v>-55.9</v>
      </c>
    </row>
    <row r="215" spans="1:10" x14ac:dyDescent="0.45">
      <c r="A215" s="1">
        <v>44331</v>
      </c>
      <c r="B215" t="s">
        <v>34</v>
      </c>
      <c r="C215">
        <v>32</v>
      </c>
      <c r="E215" t="s">
        <v>35</v>
      </c>
      <c r="F215" t="s">
        <v>20</v>
      </c>
      <c r="G215" t="s">
        <v>14</v>
      </c>
      <c r="H215">
        <f>MONTH(Table2[[#This Row],[Date]])</f>
        <v>5</v>
      </c>
      <c r="I215" s="3">
        <f>WEEKDAY(Table2[[#This Row],[Date]])</f>
        <v>7</v>
      </c>
      <c r="J215">
        <f>Table2[[#This Row],[Credit]]-Table2[[#This Row],[Debit]]</f>
        <v>-32</v>
      </c>
    </row>
    <row r="216" spans="1:10" x14ac:dyDescent="0.45">
      <c r="A216" s="1">
        <v>44332</v>
      </c>
      <c r="B216" t="s">
        <v>36</v>
      </c>
      <c r="D216">
        <v>1000</v>
      </c>
      <c r="E216" t="s">
        <v>37</v>
      </c>
      <c r="F216" t="s">
        <v>38</v>
      </c>
      <c r="G216" t="s">
        <v>10</v>
      </c>
      <c r="H216">
        <f>MONTH(Table2[[#This Row],[Date]])</f>
        <v>5</v>
      </c>
      <c r="I216" s="3">
        <f>WEEKDAY(Table2[[#This Row],[Date]])</f>
        <v>1</v>
      </c>
      <c r="J216">
        <f>Table2[[#This Row],[Credit]]-Table2[[#This Row],[Debit]]</f>
        <v>1000</v>
      </c>
    </row>
    <row r="217" spans="1:10" x14ac:dyDescent="0.45">
      <c r="A217" s="1">
        <v>44332</v>
      </c>
      <c r="B217" t="s">
        <v>11</v>
      </c>
      <c r="C217">
        <v>5</v>
      </c>
      <c r="E217" t="s">
        <v>12</v>
      </c>
      <c r="F217" t="s">
        <v>13</v>
      </c>
      <c r="G217" t="s">
        <v>14</v>
      </c>
      <c r="H217">
        <f>MONTH(Table2[[#This Row],[Date]])</f>
        <v>5</v>
      </c>
      <c r="I217" s="3">
        <f>WEEKDAY(Table2[[#This Row],[Date]])</f>
        <v>1</v>
      </c>
      <c r="J217">
        <f>Table2[[#This Row],[Credit]]-Table2[[#This Row],[Debit]]</f>
        <v>-5</v>
      </c>
    </row>
    <row r="218" spans="1:10" x14ac:dyDescent="0.45">
      <c r="A218" s="1">
        <v>44333</v>
      </c>
      <c r="B218" t="s">
        <v>11</v>
      </c>
      <c r="C218">
        <v>5</v>
      </c>
      <c r="E218" t="s">
        <v>12</v>
      </c>
      <c r="F218" t="s">
        <v>13</v>
      </c>
      <c r="G218" t="s">
        <v>14</v>
      </c>
      <c r="H218">
        <f>MONTH(Table2[[#This Row],[Date]])</f>
        <v>5</v>
      </c>
      <c r="I218" s="3">
        <f>WEEKDAY(Table2[[#This Row],[Date]])</f>
        <v>2</v>
      </c>
      <c r="J218">
        <f>Table2[[#This Row],[Credit]]-Table2[[#This Row],[Debit]]</f>
        <v>-5</v>
      </c>
    </row>
    <row r="219" spans="1:10" x14ac:dyDescent="0.45">
      <c r="A219" s="1">
        <v>44333</v>
      </c>
      <c r="B219" t="s">
        <v>55</v>
      </c>
      <c r="C219">
        <v>75</v>
      </c>
      <c r="E219" t="s">
        <v>39</v>
      </c>
      <c r="F219" t="s">
        <v>56</v>
      </c>
      <c r="G219" t="s">
        <v>14</v>
      </c>
      <c r="H219">
        <f>MONTH(Table2[[#This Row],[Date]])</f>
        <v>5</v>
      </c>
      <c r="I219" s="3">
        <f>WEEKDAY(Table2[[#This Row],[Date]])</f>
        <v>2</v>
      </c>
      <c r="J219">
        <f>Table2[[#This Row],[Credit]]-Table2[[#This Row],[Debit]]</f>
        <v>-75</v>
      </c>
    </row>
    <row r="220" spans="1:10" x14ac:dyDescent="0.45">
      <c r="A220" s="1">
        <v>44333</v>
      </c>
      <c r="B220" t="s">
        <v>40</v>
      </c>
      <c r="C220">
        <v>40</v>
      </c>
      <c r="E220" t="s">
        <v>40</v>
      </c>
      <c r="F220" t="s">
        <v>17</v>
      </c>
      <c r="G220" t="s">
        <v>14</v>
      </c>
      <c r="H220">
        <f>MONTH(Table2[[#This Row],[Date]])</f>
        <v>5</v>
      </c>
      <c r="I220" s="3">
        <f>WEEKDAY(Table2[[#This Row],[Date]])</f>
        <v>2</v>
      </c>
      <c r="J220">
        <f>Table2[[#This Row],[Credit]]-Table2[[#This Row],[Debit]]</f>
        <v>-40</v>
      </c>
    </row>
    <row r="221" spans="1:10" x14ac:dyDescent="0.45">
      <c r="A221" s="1">
        <v>44334</v>
      </c>
      <c r="B221" t="s">
        <v>41</v>
      </c>
      <c r="C221">
        <v>49</v>
      </c>
      <c r="E221" t="s">
        <v>42</v>
      </c>
      <c r="F221" t="s">
        <v>29</v>
      </c>
      <c r="G221" t="s">
        <v>14</v>
      </c>
      <c r="H221">
        <f>MONTH(Table2[[#This Row],[Date]])</f>
        <v>5</v>
      </c>
      <c r="I221" s="3">
        <f>WEEKDAY(Table2[[#This Row],[Date]])</f>
        <v>3</v>
      </c>
      <c r="J221">
        <f>Table2[[#This Row],[Credit]]-Table2[[#This Row],[Debit]]</f>
        <v>-49</v>
      </c>
    </row>
    <row r="222" spans="1:10" x14ac:dyDescent="0.45">
      <c r="A222" s="1">
        <v>44334</v>
      </c>
      <c r="B222" t="s">
        <v>43</v>
      </c>
      <c r="C222">
        <v>35</v>
      </c>
      <c r="E222" t="s">
        <v>28</v>
      </c>
      <c r="F222" t="s">
        <v>29</v>
      </c>
      <c r="G222" t="s">
        <v>14</v>
      </c>
      <c r="H222">
        <f>MONTH(Table2[[#This Row],[Date]])</f>
        <v>5</v>
      </c>
      <c r="I222" s="3">
        <f>WEEKDAY(Table2[[#This Row],[Date]])</f>
        <v>3</v>
      </c>
      <c r="J222">
        <f>Table2[[#This Row],[Credit]]-Table2[[#This Row],[Debit]]</f>
        <v>-35</v>
      </c>
    </row>
    <row r="223" spans="1:10" x14ac:dyDescent="0.45">
      <c r="A223" s="1">
        <v>44334</v>
      </c>
      <c r="B223" t="s">
        <v>11</v>
      </c>
      <c r="C223">
        <v>5</v>
      </c>
      <c r="E223" t="s">
        <v>12</v>
      </c>
      <c r="F223" t="s">
        <v>13</v>
      </c>
      <c r="G223" t="s">
        <v>14</v>
      </c>
      <c r="H223">
        <f>MONTH(Table2[[#This Row],[Date]])</f>
        <v>5</v>
      </c>
      <c r="I223" s="3">
        <f>WEEKDAY(Table2[[#This Row],[Date]])</f>
        <v>3</v>
      </c>
      <c r="J223">
        <f>Table2[[#This Row],[Credit]]-Table2[[#This Row],[Debit]]</f>
        <v>-5</v>
      </c>
    </row>
    <row r="224" spans="1:10" x14ac:dyDescent="0.45">
      <c r="A224" s="1">
        <v>44335</v>
      </c>
      <c r="B224" t="s">
        <v>11</v>
      </c>
      <c r="C224">
        <v>5</v>
      </c>
      <c r="E224" t="s">
        <v>12</v>
      </c>
      <c r="F224" t="s">
        <v>13</v>
      </c>
      <c r="G224" t="s">
        <v>14</v>
      </c>
      <c r="H224">
        <f>MONTH(Table2[[#This Row],[Date]])</f>
        <v>5</v>
      </c>
      <c r="I224" s="3">
        <f>WEEKDAY(Table2[[#This Row],[Date]])</f>
        <v>4</v>
      </c>
      <c r="J224">
        <f>Table2[[#This Row],[Credit]]-Table2[[#This Row],[Debit]]</f>
        <v>-5</v>
      </c>
    </row>
    <row r="225" spans="1:10" x14ac:dyDescent="0.45">
      <c r="A225" s="1">
        <v>44336</v>
      </c>
      <c r="B225" t="s">
        <v>11</v>
      </c>
      <c r="C225">
        <v>5</v>
      </c>
      <c r="E225" t="s">
        <v>12</v>
      </c>
      <c r="F225" t="s">
        <v>13</v>
      </c>
      <c r="G225" t="s">
        <v>14</v>
      </c>
      <c r="H225">
        <f>MONTH(Table2[[#This Row],[Date]])</f>
        <v>5</v>
      </c>
      <c r="I225" s="3">
        <f>WEEKDAY(Table2[[#This Row],[Date]])</f>
        <v>5</v>
      </c>
      <c r="J225">
        <f>Table2[[#This Row],[Credit]]-Table2[[#This Row],[Debit]]</f>
        <v>-5</v>
      </c>
    </row>
    <row r="226" spans="1:10" x14ac:dyDescent="0.45">
      <c r="A226" s="1">
        <v>44336</v>
      </c>
      <c r="B226" t="s">
        <v>21</v>
      </c>
      <c r="C226">
        <v>174</v>
      </c>
      <c r="E226" t="s">
        <v>22</v>
      </c>
      <c r="F226" t="s">
        <v>17</v>
      </c>
      <c r="G226" t="s">
        <v>14</v>
      </c>
      <c r="H226">
        <f>MONTH(Table2[[#This Row],[Date]])</f>
        <v>5</v>
      </c>
      <c r="I226" s="3">
        <f>WEEKDAY(Table2[[#This Row],[Date]])</f>
        <v>5</v>
      </c>
      <c r="J226">
        <f>Table2[[#This Row],[Credit]]-Table2[[#This Row],[Debit]]</f>
        <v>-174</v>
      </c>
    </row>
    <row r="227" spans="1:10" x14ac:dyDescent="0.45">
      <c r="A227" s="1">
        <v>44337</v>
      </c>
      <c r="B227" t="s">
        <v>44</v>
      </c>
      <c r="C227">
        <v>41.1</v>
      </c>
      <c r="E227" t="s">
        <v>33</v>
      </c>
      <c r="F227" t="s">
        <v>13</v>
      </c>
      <c r="G227" t="s">
        <v>14</v>
      </c>
      <c r="H227">
        <f>MONTH(Table2[[#This Row],[Date]])</f>
        <v>5</v>
      </c>
      <c r="I227" s="3">
        <f>WEEKDAY(Table2[[#This Row],[Date]])</f>
        <v>6</v>
      </c>
      <c r="J227">
        <f>Table2[[#This Row],[Credit]]-Table2[[#This Row],[Debit]]</f>
        <v>-41.1</v>
      </c>
    </row>
    <row r="228" spans="1:10" x14ac:dyDescent="0.45">
      <c r="A228" s="1">
        <v>44338</v>
      </c>
      <c r="B228" t="s">
        <v>45</v>
      </c>
      <c r="C228">
        <v>16.2</v>
      </c>
      <c r="E228" t="s">
        <v>33</v>
      </c>
      <c r="F228" t="s">
        <v>13</v>
      </c>
      <c r="G228" t="s">
        <v>14</v>
      </c>
      <c r="H228">
        <f>MONTH(Table2[[#This Row],[Date]])</f>
        <v>5</v>
      </c>
      <c r="I228" s="3">
        <f>WEEKDAY(Table2[[#This Row],[Date]])</f>
        <v>7</v>
      </c>
      <c r="J228">
        <f>Table2[[#This Row],[Credit]]-Table2[[#This Row],[Debit]]</f>
        <v>-16.2</v>
      </c>
    </row>
    <row r="229" spans="1:10" x14ac:dyDescent="0.45">
      <c r="A229" s="1">
        <v>44339</v>
      </c>
      <c r="B229" t="s">
        <v>46</v>
      </c>
      <c r="C229">
        <v>55</v>
      </c>
      <c r="E229" t="s">
        <v>47</v>
      </c>
      <c r="F229" t="s">
        <v>48</v>
      </c>
      <c r="G229" t="s">
        <v>14</v>
      </c>
      <c r="H229">
        <f>MONTH(Table2[[#This Row],[Date]])</f>
        <v>5</v>
      </c>
      <c r="I229" s="3">
        <f>WEEKDAY(Table2[[#This Row],[Date]])</f>
        <v>1</v>
      </c>
      <c r="J229">
        <f>Table2[[#This Row],[Credit]]-Table2[[#This Row],[Debit]]</f>
        <v>-55</v>
      </c>
    </row>
    <row r="230" spans="1:10" x14ac:dyDescent="0.45">
      <c r="A230" s="1">
        <v>44339</v>
      </c>
      <c r="B230" t="s">
        <v>25</v>
      </c>
      <c r="C230">
        <v>67</v>
      </c>
      <c r="E230" t="s">
        <v>26</v>
      </c>
      <c r="F230" t="s">
        <v>20</v>
      </c>
      <c r="G230" t="s">
        <v>14</v>
      </c>
      <c r="H230">
        <f>MONTH(Table2[[#This Row],[Date]])</f>
        <v>5</v>
      </c>
      <c r="I230" s="3">
        <f>WEEKDAY(Table2[[#This Row],[Date]])</f>
        <v>1</v>
      </c>
      <c r="J230">
        <f>Table2[[#This Row],[Credit]]-Table2[[#This Row],[Debit]]</f>
        <v>-67</v>
      </c>
    </row>
    <row r="231" spans="1:10" x14ac:dyDescent="0.45">
      <c r="A231" s="1">
        <v>44339</v>
      </c>
      <c r="B231" t="s">
        <v>11</v>
      </c>
      <c r="C231">
        <v>5</v>
      </c>
      <c r="E231" t="s">
        <v>12</v>
      </c>
      <c r="F231" t="s">
        <v>13</v>
      </c>
      <c r="G231" t="s">
        <v>14</v>
      </c>
      <c r="H231">
        <f>MONTH(Table2[[#This Row],[Date]])</f>
        <v>5</v>
      </c>
      <c r="I231" s="3">
        <f>WEEKDAY(Table2[[#This Row],[Date]])</f>
        <v>1</v>
      </c>
      <c r="J231">
        <f>Table2[[#This Row],[Credit]]-Table2[[#This Row],[Debit]]</f>
        <v>-5</v>
      </c>
    </row>
    <row r="232" spans="1:10" x14ac:dyDescent="0.45">
      <c r="A232" s="1">
        <v>44340</v>
      </c>
      <c r="B232" t="s">
        <v>11</v>
      </c>
      <c r="C232">
        <v>5</v>
      </c>
      <c r="E232" t="s">
        <v>12</v>
      </c>
      <c r="F232" t="s">
        <v>13</v>
      </c>
      <c r="G232" t="s">
        <v>14</v>
      </c>
      <c r="H232">
        <f>MONTH(Table2[[#This Row],[Date]])</f>
        <v>5</v>
      </c>
      <c r="I232" s="3">
        <f>WEEKDAY(Table2[[#This Row],[Date]])</f>
        <v>2</v>
      </c>
      <c r="J232">
        <f>Table2[[#This Row],[Credit]]-Table2[[#This Row],[Debit]]</f>
        <v>-5</v>
      </c>
    </row>
    <row r="233" spans="1:10" x14ac:dyDescent="0.45">
      <c r="A233" s="1">
        <v>44341</v>
      </c>
      <c r="B233" t="s">
        <v>11</v>
      </c>
      <c r="C233">
        <v>5</v>
      </c>
      <c r="E233" t="s">
        <v>12</v>
      </c>
      <c r="F233" t="s">
        <v>13</v>
      </c>
      <c r="G233" t="s">
        <v>14</v>
      </c>
      <c r="H233">
        <f>MONTH(Table2[[#This Row],[Date]])</f>
        <v>5</v>
      </c>
      <c r="I233" s="3">
        <f>WEEKDAY(Table2[[#This Row],[Date]])</f>
        <v>3</v>
      </c>
      <c r="J233">
        <f>Table2[[#This Row],[Credit]]-Table2[[#This Row],[Debit]]</f>
        <v>-5</v>
      </c>
    </row>
    <row r="234" spans="1:10" x14ac:dyDescent="0.45">
      <c r="A234" s="1">
        <v>44342</v>
      </c>
      <c r="B234" t="s">
        <v>11</v>
      </c>
      <c r="C234">
        <v>5</v>
      </c>
      <c r="E234" t="s">
        <v>12</v>
      </c>
      <c r="F234" t="s">
        <v>13</v>
      </c>
      <c r="G234" t="s">
        <v>14</v>
      </c>
      <c r="H234">
        <f>MONTH(Table2[[#This Row],[Date]])</f>
        <v>5</v>
      </c>
      <c r="I234" s="3">
        <f>WEEKDAY(Table2[[#This Row],[Date]])</f>
        <v>4</v>
      </c>
      <c r="J234">
        <f>Table2[[#This Row],[Credit]]-Table2[[#This Row],[Debit]]</f>
        <v>-5</v>
      </c>
    </row>
    <row r="235" spans="1:10" x14ac:dyDescent="0.45">
      <c r="A235" s="1">
        <v>44343</v>
      </c>
      <c r="B235" t="s">
        <v>11</v>
      </c>
      <c r="C235">
        <v>5</v>
      </c>
      <c r="E235" t="s">
        <v>12</v>
      </c>
      <c r="F235" t="s">
        <v>13</v>
      </c>
      <c r="G235" t="s">
        <v>14</v>
      </c>
      <c r="H235">
        <f>MONTH(Table2[[#This Row],[Date]])</f>
        <v>5</v>
      </c>
      <c r="I235" s="3">
        <f>WEEKDAY(Table2[[#This Row],[Date]])</f>
        <v>5</v>
      </c>
      <c r="J235">
        <f>Table2[[#This Row],[Credit]]-Table2[[#This Row],[Debit]]</f>
        <v>-5</v>
      </c>
    </row>
    <row r="236" spans="1:10" x14ac:dyDescent="0.45">
      <c r="A236" s="1">
        <v>44343</v>
      </c>
      <c r="B236" t="s">
        <v>21</v>
      </c>
      <c r="C236">
        <v>165.8</v>
      </c>
      <c r="E236" t="s">
        <v>22</v>
      </c>
      <c r="F236" t="s">
        <v>17</v>
      </c>
      <c r="G236" t="s">
        <v>14</v>
      </c>
      <c r="H236">
        <f>MONTH(Table2[[#This Row],[Date]])</f>
        <v>5</v>
      </c>
      <c r="I236" s="3">
        <f>WEEKDAY(Table2[[#This Row],[Date]])</f>
        <v>5</v>
      </c>
      <c r="J236">
        <f>Table2[[#This Row],[Credit]]-Table2[[#This Row],[Debit]]</f>
        <v>-165.8</v>
      </c>
    </row>
    <row r="237" spans="1:10" x14ac:dyDescent="0.45">
      <c r="A237" s="1">
        <v>44344</v>
      </c>
      <c r="B237" t="s">
        <v>49</v>
      </c>
      <c r="C237">
        <v>128.80000000000001</v>
      </c>
      <c r="E237" t="s">
        <v>31</v>
      </c>
      <c r="F237" t="s">
        <v>29</v>
      </c>
      <c r="G237" t="s">
        <v>14</v>
      </c>
      <c r="H237">
        <f>MONTH(Table2[[#This Row],[Date]])</f>
        <v>5</v>
      </c>
      <c r="I237" s="3">
        <f>WEEKDAY(Table2[[#This Row],[Date]])</f>
        <v>6</v>
      </c>
      <c r="J237">
        <f>Table2[[#This Row],[Credit]]-Table2[[#This Row],[Debit]]</f>
        <v>-128.80000000000001</v>
      </c>
    </row>
    <row r="238" spans="1:10" x14ac:dyDescent="0.45">
      <c r="A238" s="1">
        <v>44344</v>
      </c>
      <c r="B238" t="s">
        <v>59</v>
      </c>
      <c r="C238">
        <v>235</v>
      </c>
      <c r="E238" t="s">
        <v>54</v>
      </c>
      <c r="F238" t="s">
        <v>29</v>
      </c>
      <c r="G238" t="s">
        <v>14</v>
      </c>
      <c r="H238">
        <f>MONTH(Table2[[#This Row],[Date]])</f>
        <v>5</v>
      </c>
      <c r="I238" s="3">
        <f>WEEKDAY(Table2[[#This Row],[Date]])</f>
        <v>6</v>
      </c>
      <c r="J238">
        <f>Table2[[#This Row],[Credit]]-Table2[[#This Row],[Debit]]</f>
        <v>-235</v>
      </c>
    </row>
    <row r="239" spans="1:10" x14ac:dyDescent="0.45">
      <c r="A239" s="1">
        <v>44345</v>
      </c>
      <c r="B239" t="s">
        <v>30</v>
      </c>
      <c r="C239">
        <v>149.19999999999999</v>
      </c>
      <c r="E239" t="s">
        <v>31</v>
      </c>
      <c r="F239" t="s">
        <v>29</v>
      </c>
      <c r="G239" t="s">
        <v>14</v>
      </c>
      <c r="H239">
        <f>MONTH(Table2[[#This Row],[Date]])</f>
        <v>5</v>
      </c>
      <c r="I239" s="3">
        <f>WEEKDAY(Table2[[#This Row],[Date]])</f>
        <v>7</v>
      </c>
      <c r="J239">
        <f>Table2[[#This Row],[Credit]]-Table2[[#This Row],[Debit]]</f>
        <v>-149.19999999999999</v>
      </c>
    </row>
    <row r="240" spans="1:10" x14ac:dyDescent="0.45">
      <c r="A240" s="1">
        <v>44345</v>
      </c>
      <c r="B240" t="s">
        <v>34</v>
      </c>
      <c r="C240">
        <v>27.200000000000003</v>
      </c>
      <c r="E240" t="s">
        <v>35</v>
      </c>
      <c r="F240" t="s">
        <v>20</v>
      </c>
      <c r="G240" t="s">
        <v>14</v>
      </c>
      <c r="H240">
        <f>MONTH(Table2[[#This Row],[Date]])</f>
        <v>5</v>
      </c>
      <c r="I240" s="3">
        <f>WEEKDAY(Table2[[#This Row],[Date]])</f>
        <v>7</v>
      </c>
      <c r="J240">
        <f>Table2[[#This Row],[Credit]]-Table2[[#This Row],[Debit]]</f>
        <v>-27.200000000000003</v>
      </c>
    </row>
    <row r="241" spans="1:10" x14ac:dyDescent="0.45">
      <c r="A241" s="1">
        <v>44347</v>
      </c>
      <c r="B241" t="s">
        <v>51</v>
      </c>
      <c r="C241">
        <v>15</v>
      </c>
      <c r="E241" t="s">
        <v>33</v>
      </c>
      <c r="F241" t="s">
        <v>13</v>
      </c>
      <c r="G241" t="s">
        <v>14</v>
      </c>
      <c r="H241">
        <f>MONTH(Table2[[#This Row],[Date]])</f>
        <v>5</v>
      </c>
      <c r="I241" s="3">
        <f>WEEKDAY(Table2[[#This Row],[Date]])</f>
        <v>2</v>
      </c>
      <c r="J241">
        <f>Table2[[#This Row],[Credit]]-Table2[[#This Row],[Debit]]</f>
        <v>-15</v>
      </c>
    </row>
    <row r="242" spans="1:10" x14ac:dyDescent="0.45">
      <c r="A242" s="1">
        <v>44346</v>
      </c>
      <c r="B242" t="s">
        <v>11</v>
      </c>
      <c r="C242">
        <v>5</v>
      </c>
      <c r="E242" t="s">
        <v>12</v>
      </c>
      <c r="F242" t="s">
        <v>13</v>
      </c>
      <c r="G242" t="s">
        <v>14</v>
      </c>
      <c r="H242">
        <f>MONTH(Table2[[#This Row],[Date]])</f>
        <v>5</v>
      </c>
      <c r="I242" s="3">
        <f>WEEKDAY(Table2[[#This Row],[Date]])</f>
        <v>1</v>
      </c>
      <c r="J242">
        <f>Table2[[#This Row],[Credit]]-Table2[[#This Row],[Debit]]</f>
        <v>-5</v>
      </c>
    </row>
    <row r="243" spans="1:10" x14ac:dyDescent="0.45">
      <c r="A243" s="1">
        <v>44347</v>
      </c>
      <c r="B243" t="s">
        <v>11</v>
      </c>
      <c r="C243">
        <v>5</v>
      </c>
      <c r="E243" t="s">
        <v>12</v>
      </c>
      <c r="F243" t="s">
        <v>13</v>
      </c>
      <c r="G243" t="s">
        <v>14</v>
      </c>
      <c r="H243">
        <f>MONTH(Table2[[#This Row],[Date]])</f>
        <v>5</v>
      </c>
      <c r="I243" s="3">
        <f>WEEKDAY(Table2[[#This Row],[Date]])</f>
        <v>2</v>
      </c>
      <c r="J243">
        <f>Table2[[#This Row],[Credit]]-Table2[[#This Row],[Debit]]</f>
        <v>-5</v>
      </c>
    </row>
    <row r="244" spans="1:10" x14ac:dyDescent="0.45">
      <c r="A244" s="1">
        <v>44348</v>
      </c>
      <c r="B244" t="s">
        <v>8</v>
      </c>
      <c r="D244">
        <v>5000</v>
      </c>
      <c r="E244" t="s">
        <v>100</v>
      </c>
      <c r="F244" t="s">
        <v>9</v>
      </c>
      <c r="G244" t="s">
        <v>10</v>
      </c>
      <c r="H244">
        <f>MONTH(Table2[[#This Row],[Date]])</f>
        <v>6</v>
      </c>
      <c r="I244" s="3">
        <f>WEEKDAY(Table2[[#This Row],[Date]])</f>
        <v>3</v>
      </c>
      <c r="J244">
        <f>Table2[[#This Row],[Credit]]-Table2[[#This Row],[Debit]]</f>
        <v>5000</v>
      </c>
    </row>
    <row r="245" spans="1:10" x14ac:dyDescent="0.45">
      <c r="A245" s="1">
        <v>44350</v>
      </c>
      <c r="B245" t="s">
        <v>11</v>
      </c>
      <c r="C245">
        <v>5</v>
      </c>
      <c r="E245" t="s">
        <v>12</v>
      </c>
      <c r="F245" t="s">
        <v>13</v>
      </c>
      <c r="G245" t="s">
        <v>14</v>
      </c>
      <c r="H245">
        <f>MONTH(Table2[[#This Row],[Date]])</f>
        <v>6</v>
      </c>
      <c r="I245" s="3">
        <f>WEEKDAY(Table2[[#This Row],[Date]])</f>
        <v>5</v>
      </c>
      <c r="J245">
        <f>Table2[[#This Row],[Credit]]-Table2[[#This Row],[Debit]]</f>
        <v>-5</v>
      </c>
    </row>
    <row r="246" spans="1:10" x14ac:dyDescent="0.45">
      <c r="A246" s="1">
        <v>44350</v>
      </c>
      <c r="B246" t="s">
        <v>15</v>
      </c>
      <c r="C246">
        <v>900</v>
      </c>
      <c r="E246" t="s">
        <v>16</v>
      </c>
      <c r="F246" t="s">
        <v>17</v>
      </c>
      <c r="G246" t="s">
        <v>14</v>
      </c>
      <c r="H246">
        <f>MONTH(Table2[[#This Row],[Date]])</f>
        <v>6</v>
      </c>
      <c r="I246" s="3">
        <f>WEEKDAY(Table2[[#This Row],[Date]])</f>
        <v>5</v>
      </c>
      <c r="J246">
        <f>Table2[[#This Row],[Credit]]-Table2[[#This Row],[Debit]]</f>
        <v>-900</v>
      </c>
    </row>
    <row r="247" spans="1:10" x14ac:dyDescent="0.45">
      <c r="A247" s="1">
        <v>44350</v>
      </c>
      <c r="B247" t="s">
        <v>18</v>
      </c>
      <c r="C247">
        <v>150</v>
      </c>
      <c r="E247" t="s">
        <v>19</v>
      </c>
      <c r="F247" t="s">
        <v>20</v>
      </c>
      <c r="G247" t="s">
        <v>14</v>
      </c>
      <c r="H247">
        <f>MONTH(Table2[[#This Row],[Date]])</f>
        <v>6</v>
      </c>
      <c r="I247" s="3">
        <f>WEEKDAY(Table2[[#This Row],[Date]])</f>
        <v>5</v>
      </c>
      <c r="J247">
        <f>Table2[[#This Row],[Credit]]-Table2[[#This Row],[Debit]]</f>
        <v>-150</v>
      </c>
    </row>
    <row r="248" spans="1:10" x14ac:dyDescent="0.45">
      <c r="A248" s="1">
        <v>44350</v>
      </c>
      <c r="B248" t="s">
        <v>11</v>
      </c>
      <c r="C248">
        <v>5</v>
      </c>
      <c r="E248" t="s">
        <v>12</v>
      </c>
      <c r="F248" t="s">
        <v>13</v>
      </c>
      <c r="G248" t="s">
        <v>14</v>
      </c>
      <c r="H248">
        <f>MONTH(Table2[[#This Row],[Date]])</f>
        <v>6</v>
      </c>
      <c r="I248" s="3">
        <f>WEEKDAY(Table2[[#This Row],[Date]])</f>
        <v>5</v>
      </c>
      <c r="J248">
        <f>Table2[[#This Row],[Credit]]-Table2[[#This Row],[Debit]]</f>
        <v>-5</v>
      </c>
    </row>
    <row r="249" spans="1:10" x14ac:dyDescent="0.45">
      <c r="A249" s="1">
        <v>44351</v>
      </c>
      <c r="B249" t="s">
        <v>11</v>
      </c>
      <c r="C249">
        <v>5</v>
      </c>
      <c r="E249" t="s">
        <v>12</v>
      </c>
      <c r="F249" t="s">
        <v>13</v>
      </c>
      <c r="G249" t="s">
        <v>14</v>
      </c>
      <c r="H249">
        <f>MONTH(Table2[[#This Row],[Date]])</f>
        <v>6</v>
      </c>
      <c r="I249" s="3">
        <f>WEEKDAY(Table2[[#This Row],[Date]])</f>
        <v>6</v>
      </c>
      <c r="J249">
        <f>Table2[[#This Row],[Credit]]-Table2[[#This Row],[Debit]]</f>
        <v>-5</v>
      </c>
    </row>
    <row r="250" spans="1:10" x14ac:dyDescent="0.45">
      <c r="A250" s="1">
        <v>44352</v>
      </c>
      <c r="B250" t="s">
        <v>11</v>
      </c>
      <c r="C250">
        <v>5</v>
      </c>
      <c r="E250" t="s">
        <v>12</v>
      </c>
      <c r="F250" t="s">
        <v>13</v>
      </c>
      <c r="G250" t="s">
        <v>14</v>
      </c>
      <c r="H250">
        <f>MONTH(Table2[[#This Row],[Date]])</f>
        <v>6</v>
      </c>
      <c r="I250" s="3">
        <f>WEEKDAY(Table2[[#This Row],[Date]])</f>
        <v>7</v>
      </c>
      <c r="J250">
        <f>Table2[[#This Row],[Credit]]-Table2[[#This Row],[Debit]]</f>
        <v>-5</v>
      </c>
    </row>
    <row r="251" spans="1:10" x14ac:dyDescent="0.45">
      <c r="A251" s="1">
        <v>44353</v>
      </c>
      <c r="B251" t="s">
        <v>11</v>
      </c>
      <c r="C251">
        <v>5</v>
      </c>
      <c r="E251" t="s">
        <v>12</v>
      </c>
      <c r="F251" t="s">
        <v>13</v>
      </c>
      <c r="G251" t="s">
        <v>14</v>
      </c>
      <c r="H251">
        <f>MONTH(Table2[[#This Row],[Date]])</f>
        <v>6</v>
      </c>
      <c r="I251" s="3">
        <f>WEEKDAY(Table2[[#This Row],[Date]])</f>
        <v>1</v>
      </c>
      <c r="J251">
        <f>Table2[[#This Row],[Credit]]-Table2[[#This Row],[Debit]]</f>
        <v>-5</v>
      </c>
    </row>
    <row r="252" spans="1:10" x14ac:dyDescent="0.45">
      <c r="A252" s="1">
        <v>44353</v>
      </c>
      <c r="B252" t="s">
        <v>21</v>
      </c>
      <c r="C252">
        <v>119</v>
      </c>
      <c r="E252" t="s">
        <v>22</v>
      </c>
      <c r="F252" t="s">
        <v>17</v>
      </c>
      <c r="G252" t="s">
        <v>14</v>
      </c>
      <c r="H252">
        <f>MONTH(Table2[[#This Row],[Date]])</f>
        <v>6</v>
      </c>
      <c r="I252" s="3">
        <f>WEEKDAY(Table2[[#This Row],[Date]])</f>
        <v>1</v>
      </c>
      <c r="J252">
        <f>Table2[[#This Row],[Credit]]-Table2[[#This Row],[Debit]]</f>
        <v>-119</v>
      </c>
    </row>
    <row r="253" spans="1:10" x14ac:dyDescent="0.45">
      <c r="A253" s="1">
        <v>44356</v>
      </c>
      <c r="B253" t="s">
        <v>23</v>
      </c>
      <c r="C253">
        <v>55</v>
      </c>
      <c r="E253" t="s">
        <v>24</v>
      </c>
      <c r="F253" t="s">
        <v>17</v>
      </c>
      <c r="G253" t="s">
        <v>14</v>
      </c>
      <c r="H253">
        <f>MONTH(Table2[[#This Row],[Date]])</f>
        <v>6</v>
      </c>
      <c r="I253" s="3">
        <f>WEEKDAY(Table2[[#This Row],[Date]])</f>
        <v>4</v>
      </c>
      <c r="J253">
        <f>Table2[[#This Row],[Credit]]-Table2[[#This Row],[Debit]]</f>
        <v>-55</v>
      </c>
    </row>
    <row r="254" spans="1:10" x14ac:dyDescent="0.45">
      <c r="A254" s="1">
        <v>44356</v>
      </c>
      <c r="B254" t="s">
        <v>11</v>
      </c>
      <c r="C254">
        <v>5</v>
      </c>
      <c r="E254" t="s">
        <v>12</v>
      </c>
      <c r="F254" t="s">
        <v>13</v>
      </c>
      <c r="G254" t="s">
        <v>14</v>
      </c>
      <c r="H254">
        <f>MONTH(Table2[[#This Row],[Date]])</f>
        <v>6</v>
      </c>
      <c r="I254" s="3">
        <f>WEEKDAY(Table2[[#This Row],[Date]])</f>
        <v>4</v>
      </c>
      <c r="J254">
        <f>Table2[[#This Row],[Credit]]-Table2[[#This Row],[Debit]]</f>
        <v>-5</v>
      </c>
    </row>
    <row r="255" spans="1:10" x14ac:dyDescent="0.45">
      <c r="A255" s="1">
        <v>44357</v>
      </c>
      <c r="B255" t="s">
        <v>11</v>
      </c>
      <c r="C255">
        <v>5</v>
      </c>
      <c r="E255" t="s">
        <v>12</v>
      </c>
      <c r="F255" t="s">
        <v>13</v>
      </c>
      <c r="G255" t="s">
        <v>14</v>
      </c>
      <c r="H255">
        <f>MONTH(Table2[[#This Row],[Date]])</f>
        <v>6</v>
      </c>
      <c r="I255" s="3">
        <f>WEEKDAY(Table2[[#This Row],[Date]])</f>
        <v>5</v>
      </c>
      <c r="J255">
        <f>Table2[[#This Row],[Credit]]-Table2[[#This Row],[Debit]]</f>
        <v>-5</v>
      </c>
    </row>
    <row r="256" spans="1:10" x14ac:dyDescent="0.45">
      <c r="A256" s="1">
        <v>44358</v>
      </c>
      <c r="B256" t="s">
        <v>25</v>
      </c>
      <c r="C256">
        <v>82.1</v>
      </c>
      <c r="E256" t="s">
        <v>26</v>
      </c>
      <c r="F256" t="s">
        <v>20</v>
      </c>
      <c r="G256" t="s">
        <v>14</v>
      </c>
      <c r="H256">
        <f>MONTH(Table2[[#This Row],[Date]])</f>
        <v>6</v>
      </c>
      <c r="I256" s="3">
        <f>WEEKDAY(Table2[[#This Row],[Date]])</f>
        <v>6</v>
      </c>
      <c r="J256">
        <f>Table2[[#This Row],[Credit]]-Table2[[#This Row],[Debit]]</f>
        <v>-82.1</v>
      </c>
    </row>
    <row r="257" spans="1:10" x14ac:dyDescent="0.45">
      <c r="A257" s="1">
        <v>44358</v>
      </c>
      <c r="B257" t="s">
        <v>11</v>
      </c>
      <c r="C257">
        <v>5</v>
      </c>
      <c r="E257" t="s">
        <v>12</v>
      </c>
      <c r="F257" t="s">
        <v>13</v>
      </c>
      <c r="G257" t="s">
        <v>14</v>
      </c>
      <c r="H257">
        <f>MONTH(Table2[[#This Row],[Date]])</f>
        <v>6</v>
      </c>
      <c r="I257" s="3">
        <f>WEEKDAY(Table2[[#This Row],[Date]])</f>
        <v>6</v>
      </c>
      <c r="J257">
        <f>Table2[[#This Row],[Credit]]-Table2[[#This Row],[Debit]]</f>
        <v>-5</v>
      </c>
    </row>
    <row r="258" spans="1:10" x14ac:dyDescent="0.45">
      <c r="A258" s="1">
        <v>44359</v>
      </c>
      <c r="B258" t="s">
        <v>11</v>
      </c>
      <c r="C258">
        <v>5</v>
      </c>
      <c r="E258" t="s">
        <v>12</v>
      </c>
      <c r="F258" t="s">
        <v>13</v>
      </c>
      <c r="G258" t="s">
        <v>14</v>
      </c>
      <c r="H258">
        <f>MONTH(Table2[[#This Row],[Date]])</f>
        <v>6</v>
      </c>
      <c r="I258" s="3">
        <f>WEEKDAY(Table2[[#This Row],[Date]])</f>
        <v>7</v>
      </c>
      <c r="J258">
        <f>Table2[[#This Row],[Credit]]-Table2[[#This Row],[Debit]]</f>
        <v>-5</v>
      </c>
    </row>
    <row r="259" spans="1:10" x14ac:dyDescent="0.45">
      <c r="A259" s="1">
        <v>44360</v>
      </c>
      <c r="B259" t="s">
        <v>21</v>
      </c>
      <c r="C259">
        <v>140.19999999999999</v>
      </c>
      <c r="E259" t="s">
        <v>22</v>
      </c>
      <c r="F259" t="s">
        <v>17</v>
      </c>
      <c r="G259" t="s">
        <v>14</v>
      </c>
      <c r="H259">
        <f>MONTH(Table2[[#This Row],[Date]])</f>
        <v>6</v>
      </c>
      <c r="I259" s="3">
        <f>WEEKDAY(Table2[[#This Row],[Date]])</f>
        <v>1</v>
      </c>
      <c r="J259">
        <f>Table2[[#This Row],[Credit]]-Table2[[#This Row],[Debit]]</f>
        <v>-140.19999999999999</v>
      </c>
    </row>
    <row r="260" spans="1:10" x14ac:dyDescent="0.45">
      <c r="A260" s="1">
        <v>44360</v>
      </c>
      <c r="B260" t="s">
        <v>11</v>
      </c>
      <c r="C260">
        <v>5</v>
      </c>
      <c r="E260" t="s">
        <v>12</v>
      </c>
      <c r="F260" t="s">
        <v>13</v>
      </c>
      <c r="G260" t="s">
        <v>14</v>
      </c>
      <c r="H260">
        <f>MONTH(Table2[[#This Row],[Date]])</f>
        <v>6</v>
      </c>
      <c r="I260" s="3">
        <f>WEEKDAY(Table2[[#This Row],[Date]])</f>
        <v>1</v>
      </c>
      <c r="J260">
        <f>Table2[[#This Row],[Credit]]-Table2[[#This Row],[Debit]]</f>
        <v>-5</v>
      </c>
    </row>
    <row r="261" spans="1:10" x14ac:dyDescent="0.45">
      <c r="A261" s="1">
        <v>44361</v>
      </c>
      <c r="B261" t="s">
        <v>11</v>
      </c>
      <c r="C261">
        <v>5</v>
      </c>
      <c r="E261" t="s">
        <v>12</v>
      </c>
      <c r="F261" t="s">
        <v>13</v>
      </c>
      <c r="G261" t="s">
        <v>14</v>
      </c>
      <c r="H261">
        <f>MONTH(Table2[[#This Row],[Date]])</f>
        <v>6</v>
      </c>
      <c r="I261" s="3">
        <f>WEEKDAY(Table2[[#This Row],[Date]])</f>
        <v>2</v>
      </c>
      <c r="J261">
        <f>Table2[[#This Row],[Credit]]-Table2[[#This Row],[Debit]]</f>
        <v>-5</v>
      </c>
    </row>
    <row r="262" spans="1:10" x14ac:dyDescent="0.45">
      <c r="A262" s="1">
        <v>44361</v>
      </c>
      <c r="B262" t="s">
        <v>27</v>
      </c>
      <c r="C262">
        <v>44.9</v>
      </c>
      <c r="E262" t="s">
        <v>28</v>
      </c>
      <c r="F262" t="s">
        <v>29</v>
      </c>
      <c r="G262" t="s">
        <v>14</v>
      </c>
      <c r="H262">
        <f>MONTH(Table2[[#This Row],[Date]])</f>
        <v>6</v>
      </c>
      <c r="I262" s="3">
        <f>WEEKDAY(Table2[[#This Row],[Date]])</f>
        <v>2</v>
      </c>
      <c r="J262">
        <f>Table2[[#This Row],[Credit]]-Table2[[#This Row],[Debit]]</f>
        <v>-44.9</v>
      </c>
    </row>
    <row r="263" spans="1:10" x14ac:dyDescent="0.45">
      <c r="A263" s="1">
        <v>44361</v>
      </c>
      <c r="B263" t="s">
        <v>30</v>
      </c>
      <c r="C263">
        <v>102.9</v>
      </c>
      <c r="E263" t="s">
        <v>31</v>
      </c>
      <c r="F263" t="s">
        <v>29</v>
      </c>
      <c r="G263" t="s">
        <v>14</v>
      </c>
      <c r="H263">
        <f>MONTH(Table2[[#This Row],[Date]])</f>
        <v>6</v>
      </c>
      <c r="I263" s="3">
        <f>WEEKDAY(Table2[[#This Row],[Date]])</f>
        <v>2</v>
      </c>
      <c r="J263">
        <f>Table2[[#This Row],[Credit]]-Table2[[#This Row],[Debit]]</f>
        <v>-102.9</v>
      </c>
    </row>
    <row r="264" spans="1:10" x14ac:dyDescent="0.45">
      <c r="A264" s="1">
        <v>44361</v>
      </c>
      <c r="B264" t="s">
        <v>32</v>
      </c>
      <c r="C264">
        <v>56.9</v>
      </c>
      <c r="E264" t="s">
        <v>33</v>
      </c>
      <c r="F264" t="s">
        <v>13</v>
      </c>
      <c r="G264" t="s">
        <v>14</v>
      </c>
      <c r="H264">
        <f>MONTH(Table2[[#This Row],[Date]])</f>
        <v>6</v>
      </c>
      <c r="I264" s="3">
        <f>WEEKDAY(Table2[[#This Row],[Date]])</f>
        <v>2</v>
      </c>
      <c r="J264">
        <f>Table2[[#This Row],[Credit]]-Table2[[#This Row],[Debit]]</f>
        <v>-56.9</v>
      </c>
    </row>
    <row r="265" spans="1:10" x14ac:dyDescent="0.45">
      <c r="A265" s="1">
        <v>44362</v>
      </c>
      <c r="B265" t="s">
        <v>34</v>
      </c>
      <c r="C265">
        <v>33.1</v>
      </c>
      <c r="E265" t="s">
        <v>35</v>
      </c>
      <c r="F265" t="s">
        <v>20</v>
      </c>
      <c r="G265" t="s">
        <v>14</v>
      </c>
      <c r="H265">
        <f>MONTH(Table2[[#This Row],[Date]])</f>
        <v>6</v>
      </c>
      <c r="I265" s="3">
        <f>WEEKDAY(Table2[[#This Row],[Date]])</f>
        <v>3</v>
      </c>
      <c r="J265">
        <f>Table2[[#This Row],[Credit]]-Table2[[#This Row],[Debit]]</f>
        <v>-33.1</v>
      </c>
    </row>
    <row r="266" spans="1:10" x14ac:dyDescent="0.45">
      <c r="A266" s="1">
        <v>44363</v>
      </c>
      <c r="B266" t="s">
        <v>36</v>
      </c>
      <c r="D266">
        <v>100</v>
      </c>
      <c r="E266" t="s">
        <v>37</v>
      </c>
      <c r="F266" t="s">
        <v>38</v>
      </c>
      <c r="G266" t="s">
        <v>10</v>
      </c>
      <c r="H266">
        <f>MONTH(Table2[[#This Row],[Date]])</f>
        <v>6</v>
      </c>
      <c r="I266" s="3">
        <f>WEEKDAY(Table2[[#This Row],[Date]])</f>
        <v>4</v>
      </c>
      <c r="J266">
        <f>Table2[[#This Row],[Credit]]-Table2[[#This Row],[Debit]]</f>
        <v>100</v>
      </c>
    </row>
    <row r="267" spans="1:10" x14ac:dyDescent="0.45">
      <c r="A267" s="1">
        <v>44363</v>
      </c>
      <c r="B267" t="s">
        <v>11</v>
      </c>
      <c r="C267">
        <v>5</v>
      </c>
      <c r="E267" t="s">
        <v>12</v>
      </c>
      <c r="F267" t="s">
        <v>13</v>
      </c>
      <c r="G267" t="s">
        <v>14</v>
      </c>
      <c r="H267">
        <f>MONTH(Table2[[#This Row],[Date]])</f>
        <v>6</v>
      </c>
      <c r="I267" s="3">
        <f>WEEKDAY(Table2[[#This Row],[Date]])</f>
        <v>4</v>
      </c>
      <c r="J267">
        <f>Table2[[#This Row],[Credit]]-Table2[[#This Row],[Debit]]</f>
        <v>-5</v>
      </c>
    </row>
    <row r="268" spans="1:10" x14ac:dyDescent="0.45">
      <c r="A268" s="1">
        <v>44364</v>
      </c>
      <c r="B268" t="s">
        <v>11</v>
      </c>
      <c r="C268">
        <v>5</v>
      </c>
      <c r="E268" t="s">
        <v>12</v>
      </c>
      <c r="F268" t="s">
        <v>13</v>
      </c>
      <c r="G268" t="s">
        <v>14</v>
      </c>
      <c r="H268">
        <f>MONTH(Table2[[#This Row],[Date]])</f>
        <v>6</v>
      </c>
      <c r="I268" s="3">
        <f>WEEKDAY(Table2[[#This Row],[Date]])</f>
        <v>5</v>
      </c>
      <c r="J268">
        <f>Table2[[#This Row],[Credit]]-Table2[[#This Row],[Debit]]</f>
        <v>-5</v>
      </c>
    </row>
    <row r="269" spans="1:10" x14ac:dyDescent="0.45">
      <c r="A269" s="1">
        <v>44364</v>
      </c>
      <c r="B269" t="s">
        <v>40</v>
      </c>
      <c r="C269">
        <v>40</v>
      </c>
      <c r="E269" t="s">
        <v>40</v>
      </c>
      <c r="F269" t="s">
        <v>17</v>
      </c>
      <c r="G269" t="s">
        <v>14</v>
      </c>
      <c r="H269">
        <f>MONTH(Table2[[#This Row],[Date]])</f>
        <v>6</v>
      </c>
      <c r="I269" s="3">
        <f>WEEKDAY(Table2[[#This Row],[Date]])</f>
        <v>5</v>
      </c>
      <c r="J269">
        <f>Table2[[#This Row],[Credit]]-Table2[[#This Row],[Debit]]</f>
        <v>-40</v>
      </c>
    </row>
    <row r="270" spans="1:10" x14ac:dyDescent="0.45">
      <c r="A270" s="1">
        <v>44365</v>
      </c>
      <c r="B270" t="s">
        <v>41</v>
      </c>
      <c r="C270">
        <v>50.1</v>
      </c>
      <c r="E270" t="s">
        <v>42</v>
      </c>
      <c r="F270" t="s">
        <v>29</v>
      </c>
      <c r="G270" t="s">
        <v>14</v>
      </c>
      <c r="H270">
        <f>MONTH(Table2[[#This Row],[Date]])</f>
        <v>6</v>
      </c>
      <c r="I270" s="3">
        <f>WEEKDAY(Table2[[#This Row],[Date]])</f>
        <v>6</v>
      </c>
      <c r="J270">
        <f>Table2[[#This Row],[Credit]]-Table2[[#This Row],[Debit]]</f>
        <v>-50.1</v>
      </c>
    </row>
    <row r="271" spans="1:10" x14ac:dyDescent="0.45">
      <c r="A271" s="1">
        <v>44365</v>
      </c>
      <c r="B271" t="s">
        <v>43</v>
      </c>
      <c r="C271">
        <v>35</v>
      </c>
      <c r="E271" t="s">
        <v>28</v>
      </c>
      <c r="F271" t="s">
        <v>29</v>
      </c>
      <c r="G271" t="s">
        <v>14</v>
      </c>
      <c r="H271">
        <f>MONTH(Table2[[#This Row],[Date]])</f>
        <v>6</v>
      </c>
      <c r="I271" s="3">
        <f>WEEKDAY(Table2[[#This Row],[Date]])</f>
        <v>6</v>
      </c>
      <c r="J271">
        <f>Table2[[#This Row],[Credit]]-Table2[[#This Row],[Debit]]</f>
        <v>-35</v>
      </c>
    </row>
    <row r="272" spans="1:10" x14ac:dyDescent="0.45">
      <c r="A272" s="1">
        <v>44365</v>
      </c>
      <c r="B272" t="s">
        <v>11</v>
      </c>
      <c r="C272">
        <v>5</v>
      </c>
      <c r="E272" t="s">
        <v>12</v>
      </c>
      <c r="F272" t="s">
        <v>13</v>
      </c>
      <c r="G272" t="s">
        <v>14</v>
      </c>
      <c r="H272">
        <f>MONTH(Table2[[#This Row],[Date]])</f>
        <v>6</v>
      </c>
      <c r="I272" s="3">
        <f>WEEKDAY(Table2[[#This Row],[Date]])</f>
        <v>6</v>
      </c>
      <c r="J272">
        <f>Table2[[#This Row],[Credit]]-Table2[[#This Row],[Debit]]</f>
        <v>-5</v>
      </c>
    </row>
    <row r="273" spans="1:10" x14ac:dyDescent="0.45">
      <c r="A273" s="1">
        <v>44366</v>
      </c>
      <c r="B273" t="s">
        <v>11</v>
      </c>
      <c r="C273">
        <v>5</v>
      </c>
      <c r="E273" t="s">
        <v>12</v>
      </c>
      <c r="F273" t="s">
        <v>13</v>
      </c>
      <c r="G273" t="s">
        <v>14</v>
      </c>
      <c r="H273">
        <f>MONTH(Table2[[#This Row],[Date]])</f>
        <v>6</v>
      </c>
      <c r="I273" s="3">
        <f>WEEKDAY(Table2[[#This Row],[Date]])</f>
        <v>7</v>
      </c>
      <c r="J273">
        <f>Table2[[#This Row],[Credit]]-Table2[[#This Row],[Debit]]</f>
        <v>-5</v>
      </c>
    </row>
    <row r="274" spans="1:10" x14ac:dyDescent="0.45">
      <c r="A274" s="1">
        <v>44367</v>
      </c>
      <c r="B274" t="s">
        <v>11</v>
      </c>
      <c r="C274">
        <v>5</v>
      </c>
      <c r="E274" t="s">
        <v>12</v>
      </c>
      <c r="F274" t="s">
        <v>13</v>
      </c>
      <c r="G274" t="s">
        <v>14</v>
      </c>
      <c r="H274">
        <f>MONTH(Table2[[#This Row],[Date]])</f>
        <v>6</v>
      </c>
      <c r="I274" s="3">
        <f>WEEKDAY(Table2[[#This Row],[Date]])</f>
        <v>1</v>
      </c>
      <c r="J274">
        <f>Table2[[#This Row],[Credit]]-Table2[[#This Row],[Debit]]</f>
        <v>-5</v>
      </c>
    </row>
    <row r="275" spans="1:10" x14ac:dyDescent="0.45">
      <c r="A275" s="1">
        <v>44367</v>
      </c>
      <c r="B275" t="s">
        <v>21</v>
      </c>
      <c r="C275">
        <v>234</v>
      </c>
      <c r="E275" t="s">
        <v>22</v>
      </c>
      <c r="F275" t="s">
        <v>17</v>
      </c>
      <c r="G275" t="s">
        <v>14</v>
      </c>
      <c r="H275">
        <f>MONTH(Table2[[#This Row],[Date]])</f>
        <v>6</v>
      </c>
      <c r="I275" s="3">
        <f>WEEKDAY(Table2[[#This Row],[Date]])</f>
        <v>1</v>
      </c>
      <c r="J275">
        <f>Table2[[#This Row],[Credit]]-Table2[[#This Row],[Debit]]</f>
        <v>-234</v>
      </c>
    </row>
    <row r="276" spans="1:10" x14ac:dyDescent="0.45">
      <c r="A276" s="1">
        <v>44368</v>
      </c>
      <c r="B276" t="s">
        <v>44</v>
      </c>
      <c r="C276">
        <v>42.1</v>
      </c>
      <c r="E276" t="s">
        <v>33</v>
      </c>
      <c r="F276" t="s">
        <v>13</v>
      </c>
      <c r="G276" t="s">
        <v>14</v>
      </c>
      <c r="H276">
        <f>MONTH(Table2[[#This Row],[Date]])</f>
        <v>6</v>
      </c>
      <c r="I276" s="3">
        <f>WEEKDAY(Table2[[#This Row],[Date]])</f>
        <v>2</v>
      </c>
      <c r="J276">
        <f>Table2[[#This Row],[Credit]]-Table2[[#This Row],[Debit]]</f>
        <v>-42.1</v>
      </c>
    </row>
    <row r="277" spans="1:10" x14ac:dyDescent="0.45">
      <c r="A277" s="1">
        <v>44369</v>
      </c>
      <c r="B277" t="s">
        <v>45</v>
      </c>
      <c r="C277">
        <v>17.099999999999998</v>
      </c>
      <c r="E277" t="s">
        <v>33</v>
      </c>
      <c r="F277" t="s">
        <v>13</v>
      </c>
      <c r="G277" t="s">
        <v>14</v>
      </c>
      <c r="H277">
        <f>MONTH(Table2[[#This Row],[Date]])</f>
        <v>6</v>
      </c>
      <c r="I277" s="3">
        <f>WEEKDAY(Table2[[#This Row],[Date]])</f>
        <v>3</v>
      </c>
      <c r="J277">
        <f>Table2[[#This Row],[Credit]]-Table2[[#This Row],[Debit]]</f>
        <v>-17.099999999999998</v>
      </c>
    </row>
    <row r="278" spans="1:10" x14ac:dyDescent="0.45">
      <c r="A278" s="1">
        <v>44370</v>
      </c>
      <c r="B278" t="s">
        <v>46</v>
      </c>
      <c r="C278">
        <v>55</v>
      </c>
      <c r="E278" t="s">
        <v>47</v>
      </c>
      <c r="F278" t="s">
        <v>48</v>
      </c>
      <c r="G278" t="s">
        <v>14</v>
      </c>
      <c r="H278">
        <f>MONTH(Table2[[#This Row],[Date]])</f>
        <v>6</v>
      </c>
      <c r="I278" s="3">
        <f>WEEKDAY(Table2[[#This Row],[Date]])</f>
        <v>4</v>
      </c>
      <c r="J278">
        <f>Table2[[#This Row],[Credit]]-Table2[[#This Row],[Debit]]</f>
        <v>-55</v>
      </c>
    </row>
    <row r="279" spans="1:10" x14ac:dyDescent="0.45">
      <c r="A279" s="1">
        <v>44370</v>
      </c>
      <c r="B279" t="s">
        <v>25</v>
      </c>
      <c r="C279">
        <v>67.900000000000006</v>
      </c>
      <c r="E279" t="s">
        <v>26</v>
      </c>
      <c r="F279" t="s">
        <v>20</v>
      </c>
      <c r="G279" t="s">
        <v>14</v>
      </c>
      <c r="H279">
        <f>MONTH(Table2[[#This Row],[Date]])</f>
        <v>6</v>
      </c>
      <c r="I279" s="3">
        <f>WEEKDAY(Table2[[#This Row],[Date]])</f>
        <v>4</v>
      </c>
      <c r="J279">
        <f>Table2[[#This Row],[Credit]]-Table2[[#This Row],[Debit]]</f>
        <v>-67.900000000000006</v>
      </c>
    </row>
    <row r="280" spans="1:10" x14ac:dyDescent="0.45">
      <c r="A280" s="1">
        <v>44370</v>
      </c>
      <c r="B280" t="s">
        <v>11</v>
      </c>
      <c r="C280">
        <v>5</v>
      </c>
      <c r="E280" t="s">
        <v>12</v>
      </c>
      <c r="F280" t="s">
        <v>13</v>
      </c>
      <c r="G280" t="s">
        <v>14</v>
      </c>
      <c r="H280">
        <f>MONTH(Table2[[#This Row],[Date]])</f>
        <v>6</v>
      </c>
      <c r="I280" s="3">
        <f>WEEKDAY(Table2[[#This Row],[Date]])</f>
        <v>4</v>
      </c>
      <c r="J280">
        <f>Table2[[#This Row],[Credit]]-Table2[[#This Row],[Debit]]</f>
        <v>-5</v>
      </c>
    </row>
    <row r="281" spans="1:10" x14ac:dyDescent="0.45">
      <c r="A281" s="1">
        <v>44371</v>
      </c>
      <c r="B281" t="s">
        <v>11</v>
      </c>
      <c r="C281">
        <v>5</v>
      </c>
      <c r="E281" t="s">
        <v>12</v>
      </c>
      <c r="F281" t="s">
        <v>13</v>
      </c>
      <c r="G281" t="s">
        <v>14</v>
      </c>
      <c r="H281">
        <f>MONTH(Table2[[#This Row],[Date]])</f>
        <v>6</v>
      </c>
      <c r="I281" s="3">
        <f>WEEKDAY(Table2[[#This Row],[Date]])</f>
        <v>5</v>
      </c>
      <c r="J281">
        <f>Table2[[#This Row],[Credit]]-Table2[[#This Row],[Debit]]</f>
        <v>-5</v>
      </c>
    </row>
    <row r="282" spans="1:10" x14ac:dyDescent="0.45">
      <c r="A282" s="1">
        <v>44372</v>
      </c>
      <c r="B282" t="s">
        <v>11</v>
      </c>
      <c r="C282">
        <v>5</v>
      </c>
      <c r="E282" t="s">
        <v>12</v>
      </c>
      <c r="F282" t="s">
        <v>13</v>
      </c>
      <c r="G282" t="s">
        <v>14</v>
      </c>
      <c r="H282">
        <f>MONTH(Table2[[#This Row],[Date]])</f>
        <v>6</v>
      </c>
      <c r="I282" s="3">
        <f>WEEKDAY(Table2[[#This Row],[Date]])</f>
        <v>6</v>
      </c>
      <c r="J282">
        <f>Table2[[#This Row],[Credit]]-Table2[[#This Row],[Debit]]</f>
        <v>-5</v>
      </c>
    </row>
    <row r="283" spans="1:10" x14ac:dyDescent="0.45">
      <c r="A283" s="1">
        <v>44373</v>
      </c>
      <c r="B283" t="s">
        <v>11</v>
      </c>
      <c r="C283">
        <v>5</v>
      </c>
      <c r="E283" t="s">
        <v>12</v>
      </c>
      <c r="F283" t="s">
        <v>13</v>
      </c>
      <c r="G283" t="s">
        <v>14</v>
      </c>
      <c r="H283">
        <f>MONTH(Table2[[#This Row],[Date]])</f>
        <v>6</v>
      </c>
      <c r="I283" s="3">
        <f>WEEKDAY(Table2[[#This Row],[Date]])</f>
        <v>7</v>
      </c>
      <c r="J283">
        <f>Table2[[#This Row],[Credit]]-Table2[[#This Row],[Debit]]</f>
        <v>-5</v>
      </c>
    </row>
    <row r="284" spans="1:10" x14ac:dyDescent="0.45">
      <c r="A284" s="1">
        <v>44374</v>
      </c>
      <c r="B284" t="s">
        <v>11</v>
      </c>
      <c r="C284">
        <v>5</v>
      </c>
      <c r="E284" t="s">
        <v>12</v>
      </c>
      <c r="F284" t="s">
        <v>13</v>
      </c>
      <c r="G284" t="s">
        <v>14</v>
      </c>
      <c r="H284">
        <f>MONTH(Table2[[#This Row],[Date]])</f>
        <v>6</v>
      </c>
      <c r="I284" s="3">
        <f>WEEKDAY(Table2[[#This Row],[Date]])</f>
        <v>1</v>
      </c>
      <c r="J284">
        <f>Table2[[#This Row],[Credit]]-Table2[[#This Row],[Debit]]</f>
        <v>-5</v>
      </c>
    </row>
    <row r="285" spans="1:10" x14ac:dyDescent="0.45">
      <c r="A285" s="1">
        <v>44374</v>
      </c>
      <c r="B285" t="s">
        <v>21</v>
      </c>
      <c r="C285">
        <v>166.9</v>
      </c>
      <c r="E285" t="s">
        <v>22</v>
      </c>
      <c r="F285" t="s">
        <v>17</v>
      </c>
      <c r="G285" t="s">
        <v>14</v>
      </c>
      <c r="H285">
        <f>MONTH(Table2[[#This Row],[Date]])</f>
        <v>6</v>
      </c>
      <c r="I285" s="3">
        <f>WEEKDAY(Table2[[#This Row],[Date]])</f>
        <v>1</v>
      </c>
      <c r="J285">
        <f>Table2[[#This Row],[Credit]]-Table2[[#This Row],[Debit]]</f>
        <v>-166.9</v>
      </c>
    </row>
    <row r="286" spans="1:10" x14ac:dyDescent="0.45">
      <c r="A286" s="1">
        <v>44375</v>
      </c>
      <c r="B286" t="s">
        <v>49</v>
      </c>
      <c r="C286">
        <v>129.9</v>
      </c>
      <c r="E286" t="s">
        <v>31</v>
      </c>
      <c r="F286" t="s">
        <v>29</v>
      </c>
      <c r="G286" t="s">
        <v>14</v>
      </c>
      <c r="H286">
        <f>MONTH(Table2[[#This Row],[Date]])</f>
        <v>6</v>
      </c>
      <c r="I286" s="3">
        <f>WEEKDAY(Table2[[#This Row],[Date]])</f>
        <v>2</v>
      </c>
      <c r="J286">
        <f>Table2[[#This Row],[Credit]]-Table2[[#This Row],[Debit]]</f>
        <v>-129.9</v>
      </c>
    </row>
    <row r="287" spans="1:10" x14ac:dyDescent="0.45">
      <c r="A287" s="1">
        <v>44375</v>
      </c>
      <c r="B287" t="s">
        <v>50</v>
      </c>
      <c r="C287">
        <v>180.29999999999998</v>
      </c>
      <c r="E287" t="s">
        <v>28</v>
      </c>
      <c r="F287" t="s">
        <v>29</v>
      </c>
      <c r="G287" t="s">
        <v>14</v>
      </c>
      <c r="H287">
        <f>MONTH(Table2[[#This Row],[Date]])</f>
        <v>6</v>
      </c>
      <c r="I287" s="3">
        <f>WEEKDAY(Table2[[#This Row],[Date]])</f>
        <v>2</v>
      </c>
      <c r="J287">
        <f>Table2[[#This Row],[Credit]]-Table2[[#This Row],[Debit]]</f>
        <v>-180.29999999999998</v>
      </c>
    </row>
    <row r="288" spans="1:10" x14ac:dyDescent="0.45">
      <c r="A288" s="1">
        <v>44376</v>
      </c>
      <c r="B288" t="s">
        <v>30</v>
      </c>
      <c r="C288">
        <v>150.1</v>
      </c>
      <c r="E288" t="s">
        <v>31</v>
      </c>
      <c r="F288" t="s">
        <v>29</v>
      </c>
      <c r="G288" t="s">
        <v>14</v>
      </c>
      <c r="H288">
        <f>MONTH(Table2[[#This Row],[Date]])</f>
        <v>6</v>
      </c>
      <c r="I288" s="3">
        <f>WEEKDAY(Table2[[#This Row],[Date]])</f>
        <v>3</v>
      </c>
      <c r="J288">
        <f>Table2[[#This Row],[Credit]]-Table2[[#This Row],[Debit]]</f>
        <v>-150.1</v>
      </c>
    </row>
    <row r="289" spans="1:10" x14ac:dyDescent="0.45">
      <c r="A289" s="1">
        <v>44376</v>
      </c>
      <c r="B289" t="s">
        <v>34</v>
      </c>
      <c r="C289">
        <v>28.200000000000003</v>
      </c>
      <c r="E289" t="s">
        <v>35</v>
      </c>
      <c r="F289" t="s">
        <v>20</v>
      </c>
      <c r="G289" t="s">
        <v>14</v>
      </c>
      <c r="H289">
        <f>MONTH(Table2[[#This Row],[Date]])</f>
        <v>6</v>
      </c>
      <c r="I289" s="3">
        <f>WEEKDAY(Table2[[#This Row],[Date]])</f>
        <v>3</v>
      </c>
      <c r="J289">
        <f>Table2[[#This Row],[Credit]]-Table2[[#This Row],[Debit]]</f>
        <v>-28.200000000000003</v>
      </c>
    </row>
    <row r="290" spans="1:10" x14ac:dyDescent="0.45">
      <c r="A290" s="1">
        <v>44376</v>
      </c>
      <c r="B290" t="s">
        <v>51</v>
      </c>
      <c r="C290">
        <v>15</v>
      </c>
      <c r="E290" t="s">
        <v>33</v>
      </c>
      <c r="F290" t="s">
        <v>13</v>
      </c>
      <c r="G290" t="s">
        <v>14</v>
      </c>
      <c r="H290">
        <f>MONTH(Table2[[#This Row],[Date]])</f>
        <v>6</v>
      </c>
      <c r="I290" s="3">
        <f>WEEKDAY(Table2[[#This Row],[Date]])</f>
        <v>3</v>
      </c>
      <c r="J290">
        <f>Table2[[#This Row],[Credit]]-Table2[[#This Row],[Debit]]</f>
        <v>-15</v>
      </c>
    </row>
    <row r="291" spans="1:10" x14ac:dyDescent="0.45">
      <c r="A291" s="1">
        <v>44377</v>
      </c>
      <c r="B291" t="s">
        <v>11</v>
      </c>
      <c r="C291">
        <v>5</v>
      </c>
      <c r="E291" t="s">
        <v>12</v>
      </c>
      <c r="F291" t="s">
        <v>13</v>
      </c>
      <c r="G291" t="s">
        <v>14</v>
      </c>
      <c r="H291">
        <f>MONTH(Table2[[#This Row],[Date]])</f>
        <v>6</v>
      </c>
      <c r="I291" s="3">
        <f>WEEKDAY(Table2[[#This Row],[Date]])</f>
        <v>4</v>
      </c>
      <c r="J291">
        <f>Table2[[#This Row],[Credit]]-Table2[[#This Row],[Debit]]</f>
        <v>-5</v>
      </c>
    </row>
    <row r="292" spans="1:10" x14ac:dyDescent="0.45">
      <c r="A292" s="1">
        <v>44378</v>
      </c>
      <c r="B292" t="s">
        <v>11</v>
      </c>
      <c r="C292">
        <v>5</v>
      </c>
      <c r="E292" t="s">
        <v>12</v>
      </c>
      <c r="F292" t="s">
        <v>13</v>
      </c>
      <c r="G292" t="s">
        <v>14</v>
      </c>
      <c r="H292">
        <f>MONTH(Table2[[#This Row],[Date]])</f>
        <v>7</v>
      </c>
      <c r="I292" s="3">
        <f>WEEKDAY(Table2[[#This Row],[Date]])</f>
        <v>5</v>
      </c>
      <c r="J292">
        <f>Table2[[#This Row],[Credit]]-Table2[[#This Row],[Debit]]</f>
        <v>-5</v>
      </c>
    </row>
    <row r="293" spans="1:10" x14ac:dyDescent="0.45">
      <c r="A293" s="1">
        <v>44379</v>
      </c>
      <c r="B293" t="s">
        <v>8</v>
      </c>
      <c r="D293">
        <v>5000</v>
      </c>
      <c r="E293" t="s">
        <v>100</v>
      </c>
      <c r="F293" t="s">
        <v>9</v>
      </c>
      <c r="G293" t="s">
        <v>10</v>
      </c>
      <c r="H293">
        <f>MONTH(Table2[[#This Row],[Date]])</f>
        <v>7</v>
      </c>
      <c r="I293" s="3">
        <f>WEEKDAY(Table2[[#This Row],[Date]])</f>
        <v>6</v>
      </c>
      <c r="J293">
        <f>Table2[[#This Row],[Credit]]-Table2[[#This Row],[Debit]]</f>
        <v>5000</v>
      </c>
    </row>
    <row r="294" spans="1:10" x14ac:dyDescent="0.45">
      <c r="A294" s="1">
        <v>44380</v>
      </c>
      <c r="B294" t="s">
        <v>11</v>
      </c>
      <c r="C294">
        <v>5</v>
      </c>
      <c r="E294" t="s">
        <v>12</v>
      </c>
      <c r="F294" t="s">
        <v>13</v>
      </c>
      <c r="G294" t="s">
        <v>14</v>
      </c>
      <c r="H294">
        <f>MONTH(Table2[[#This Row],[Date]])</f>
        <v>7</v>
      </c>
      <c r="I294" s="3">
        <f>WEEKDAY(Table2[[#This Row],[Date]])</f>
        <v>7</v>
      </c>
      <c r="J294">
        <f>Table2[[#This Row],[Credit]]-Table2[[#This Row],[Debit]]</f>
        <v>-5</v>
      </c>
    </row>
    <row r="295" spans="1:10" x14ac:dyDescent="0.45">
      <c r="A295" s="1">
        <v>44382</v>
      </c>
      <c r="B295" t="s">
        <v>15</v>
      </c>
      <c r="C295">
        <v>900</v>
      </c>
      <c r="E295" t="s">
        <v>16</v>
      </c>
      <c r="F295" t="s">
        <v>17</v>
      </c>
      <c r="G295" t="s">
        <v>14</v>
      </c>
      <c r="H295">
        <f>MONTH(Table2[[#This Row],[Date]])</f>
        <v>7</v>
      </c>
      <c r="I295" s="3">
        <f>WEEKDAY(Table2[[#This Row],[Date]])</f>
        <v>2</v>
      </c>
      <c r="J295">
        <f>Table2[[#This Row],[Credit]]-Table2[[#This Row],[Debit]]</f>
        <v>-900</v>
      </c>
    </row>
    <row r="296" spans="1:10" x14ac:dyDescent="0.45">
      <c r="A296" s="1">
        <v>44382</v>
      </c>
      <c r="B296" t="s">
        <v>18</v>
      </c>
      <c r="C296">
        <v>150</v>
      </c>
      <c r="E296" t="s">
        <v>19</v>
      </c>
      <c r="F296" t="s">
        <v>20</v>
      </c>
      <c r="G296" t="s">
        <v>14</v>
      </c>
      <c r="H296">
        <f>MONTH(Table2[[#This Row],[Date]])</f>
        <v>7</v>
      </c>
      <c r="I296" s="3">
        <f>WEEKDAY(Table2[[#This Row],[Date]])</f>
        <v>2</v>
      </c>
      <c r="J296">
        <f>Table2[[#This Row],[Credit]]-Table2[[#This Row],[Debit]]</f>
        <v>-150</v>
      </c>
    </row>
    <row r="297" spans="1:10" x14ac:dyDescent="0.45">
      <c r="A297" s="1">
        <v>44382</v>
      </c>
      <c r="B297" t="s">
        <v>60</v>
      </c>
      <c r="C297">
        <v>15</v>
      </c>
      <c r="E297" t="s">
        <v>33</v>
      </c>
      <c r="F297" t="s">
        <v>13</v>
      </c>
      <c r="G297" t="s">
        <v>14</v>
      </c>
      <c r="H297">
        <f>MONTH(Table2[[#This Row],[Date]])</f>
        <v>7</v>
      </c>
      <c r="I297" s="3">
        <f>WEEKDAY(Table2[[#This Row],[Date]])</f>
        <v>2</v>
      </c>
      <c r="J297">
        <f>Table2[[#This Row],[Credit]]-Table2[[#This Row],[Debit]]</f>
        <v>-15</v>
      </c>
    </row>
    <row r="298" spans="1:10" x14ac:dyDescent="0.45">
      <c r="A298" s="1">
        <v>44382</v>
      </c>
      <c r="B298" t="s">
        <v>11</v>
      </c>
      <c r="C298">
        <v>5</v>
      </c>
      <c r="E298" t="s">
        <v>12</v>
      </c>
      <c r="F298" t="s">
        <v>13</v>
      </c>
      <c r="G298" t="s">
        <v>14</v>
      </c>
      <c r="H298">
        <f>MONTH(Table2[[#This Row],[Date]])</f>
        <v>7</v>
      </c>
      <c r="I298" s="3">
        <f>WEEKDAY(Table2[[#This Row],[Date]])</f>
        <v>2</v>
      </c>
      <c r="J298">
        <f>Table2[[#This Row],[Credit]]-Table2[[#This Row],[Debit]]</f>
        <v>-5</v>
      </c>
    </row>
    <row r="299" spans="1:10" x14ac:dyDescent="0.45">
      <c r="A299" s="1">
        <v>44383</v>
      </c>
      <c r="B299" t="s">
        <v>11</v>
      </c>
      <c r="C299">
        <v>5</v>
      </c>
      <c r="E299" t="s">
        <v>12</v>
      </c>
      <c r="F299" t="s">
        <v>13</v>
      </c>
      <c r="G299" t="s">
        <v>14</v>
      </c>
      <c r="H299">
        <f>MONTH(Table2[[#This Row],[Date]])</f>
        <v>7</v>
      </c>
      <c r="I299" s="3">
        <f>WEEKDAY(Table2[[#This Row],[Date]])</f>
        <v>3</v>
      </c>
      <c r="J299">
        <f>Table2[[#This Row],[Credit]]-Table2[[#This Row],[Debit]]</f>
        <v>-5</v>
      </c>
    </row>
    <row r="300" spans="1:10" x14ac:dyDescent="0.45">
      <c r="A300" s="1">
        <v>44384</v>
      </c>
      <c r="B300" t="s">
        <v>11</v>
      </c>
      <c r="C300">
        <v>5</v>
      </c>
      <c r="E300" t="s">
        <v>12</v>
      </c>
      <c r="F300" t="s">
        <v>13</v>
      </c>
      <c r="G300" t="s">
        <v>14</v>
      </c>
      <c r="H300">
        <f>MONTH(Table2[[#This Row],[Date]])</f>
        <v>7</v>
      </c>
      <c r="I300" s="3">
        <f>WEEKDAY(Table2[[#This Row],[Date]])</f>
        <v>4</v>
      </c>
      <c r="J300">
        <f>Table2[[#This Row],[Credit]]-Table2[[#This Row],[Debit]]</f>
        <v>-5</v>
      </c>
    </row>
    <row r="301" spans="1:10" x14ac:dyDescent="0.45">
      <c r="A301" s="1">
        <v>44384</v>
      </c>
      <c r="B301" t="s">
        <v>21</v>
      </c>
      <c r="C301">
        <v>180</v>
      </c>
      <c r="E301" t="s">
        <v>22</v>
      </c>
      <c r="F301" t="s">
        <v>17</v>
      </c>
      <c r="G301" t="s">
        <v>14</v>
      </c>
      <c r="H301">
        <f>MONTH(Table2[[#This Row],[Date]])</f>
        <v>7</v>
      </c>
      <c r="I301" s="3">
        <f>WEEKDAY(Table2[[#This Row],[Date]])</f>
        <v>4</v>
      </c>
      <c r="J301">
        <f>Table2[[#This Row],[Credit]]-Table2[[#This Row],[Debit]]</f>
        <v>-180</v>
      </c>
    </row>
    <row r="302" spans="1:10" x14ac:dyDescent="0.45">
      <c r="A302" s="1">
        <v>44387</v>
      </c>
      <c r="B302" t="s">
        <v>23</v>
      </c>
      <c r="C302">
        <v>56.1</v>
      </c>
      <c r="E302" t="s">
        <v>24</v>
      </c>
      <c r="F302" t="s">
        <v>17</v>
      </c>
      <c r="G302" t="s">
        <v>14</v>
      </c>
      <c r="H302">
        <f>MONTH(Table2[[#This Row],[Date]])</f>
        <v>7</v>
      </c>
      <c r="I302" s="3">
        <f>WEEKDAY(Table2[[#This Row],[Date]])</f>
        <v>7</v>
      </c>
      <c r="J302">
        <f>Table2[[#This Row],[Credit]]-Table2[[#This Row],[Debit]]</f>
        <v>-56.1</v>
      </c>
    </row>
    <row r="303" spans="1:10" x14ac:dyDescent="0.45">
      <c r="A303" s="1">
        <v>44387</v>
      </c>
      <c r="B303" t="s">
        <v>11</v>
      </c>
      <c r="C303">
        <v>5</v>
      </c>
      <c r="E303" t="s">
        <v>12</v>
      </c>
      <c r="F303" t="s">
        <v>13</v>
      </c>
      <c r="G303" t="s">
        <v>14</v>
      </c>
      <c r="H303">
        <f>MONTH(Table2[[#This Row],[Date]])</f>
        <v>7</v>
      </c>
      <c r="I303" s="3">
        <f>WEEKDAY(Table2[[#This Row],[Date]])</f>
        <v>7</v>
      </c>
      <c r="J303">
        <f>Table2[[#This Row],[Credit]]-Table2[[#This Row],[Debit]]</f>
        <v>-5</v>
      </c>
    </row>
    <row r="304" spans="1:10" x14ac:dyDescent="0.45">
      <c r="A304" s="1">
        <v>44388</v>
      </c>
      <c r="B304" t="s">
        <v>11</v>
      </c>
      <c r="C304">
        <v>5</v>
      </c>
      <c r="E304" t="s">
        <v>12</v>
      </c>
      <c r="F304" t="s">
        <v>13</v>
      </c>
      <c r="G304" t="s">
        <v>14</v>
      </c>
      <c r="H304">
        <f>MONTH(Table2[[#This Row],[Date]])</f>
        <v>7</v>
      </c>
      <c r="I304" s="3">
        <f>WEEKDAY(Table2[[#This Row],[Date]])</f>
        <v>1</v>
      </c>
      <c r="J304">
        <f>Table2[[#This Row],[Credit]]-Table2[[#This Row],[Debit]]</f>
        <v>-5</v>
      </c>
    </row>
    <row r="305" spans="1:10" x14ac:dyDescent="0.45">
      <c r="A305" s="1">
        <v>44389</v>
      </c>
      <c r="B305" t="s">
        <v>25</v>
      </c>
      <c r="C305">
        <v>83.1</v>
      </c>
      <c r="E305" t="s">
        <v>26</v>
      </c>
      <c r="F305" t="s">
        <v>20</v>
      </c>
      <c r="G305" t="s">
        <v>14</v>
      </c>
      <c r="H305">
        <f>MONTH(Table2[[#This Row],[Date]])</f>
        <v>7</v>
      </c>
      <c r="I305" s="3">
        <f>WEEKDAY(Table2[[#This Row],[Date]])</f>
        <v>2</v>
      </c>
      <c r="J305">
        <f>Table2[[#This Row],[Credit]]-Table2[[#This Row],[Debit]]</f>
        <v>-83.1</v>
      </c>
    </row>
    <row r="306" spans="1:10" x14ac:dyDescent="0.45">
      <c r="A306" s="1">
        <v>44389</v>
      </c>
      <c r="B306" t="s">
        <v>11</v>
      </c>
      <c r="C306">
        <v>5</v>
      </c>
      <c r="E306" t="s">
        <v>12</v>
      </c>
      <c r="F306" t="s">
        <v>13</v>
      </c>
      <c r="G306" t="s">
        <v>14</v>
      </c>
      <c r="H306">
        <f>MONTH(Table2[[#This Row],[Date]])</f>
        <v>7</v>
      </c>
      <c r="I306" s="3">
        <f>WEEKDAY(Table2[[#This Row],[Date]])</f>
        <v>2</v>
      </c>
      <c r="J306">
        <f>Table2[[#This Row],[Credit]]-Table2[[#This Row],[Debit]]</f>
        <v>-5</v>
      </c>
    </row>
    <row r="307" spans="1:10" x14ac:dyDescent="0.45">
      <c r="A307" s="1">
        <v>44390</v>
      </c>
      <c r="B307" t="s">
        <v>11</v>
      </c>
      <c r="C307">
        <v>5</v>
      </c>
      <c r="E307" t="s">
        <v>12</v>
      </c>
      <c r="F307" t="s">
        <v>13</v>
      </c>
      <c r="G307" t="s">
        <v>14</v>
      </c>
      <c r="H307">
        <f>MONTH(Table2[[#This Row],[Date]])</f>
        <v>7</v>
      </c>
      <c r="I307" s="3">
        <f>WEEKDAY(Table2[[#This Row],[Date]])</f>
        <v>3</v>
      </c>
      <c r="J307">
        <f>Table2[[#This Row],[Credit]]-Table2[[#This Row],[Debit]]</f>
        <v>-5</v>
      </c>
    </row>
    <row r="308" spans="1:10" x14ac:dyDescent="0.45">
      <c r="A308" s="1">
        <v>44391</v>
      </c>
      <c r="B308" t="s">
        <v>21</v>
      </c>
      <c r="C308">
        <v>141.1</v>
      </c>
      <c r="E308" t="s">
        <v>22</v>
      </c>
      <c r="F308" t="s">
        <v>17</v>
      </c>
      <c r="G308" t="s">
        <v>14</v>
      </c>
      <c r="H308">
        <f>MONTH(Table2[[#This Row],[Date]])</f>
        <v>7</v>
      </c>
      <c r="I308" s="3">
        <f>WEEKDAY(Table2[[#This Row],[Date]])</f>
        <v>4</v>
      </c>
      <c r="J308">
        <f>Table2[[#This Row],[Credit]]-Table2[[#This Row],[Debit]]</f>
        <v>-141.1</v>
      </c>
    </row>
    <row r="309" spans="1:10" x14ac:dyDescent="0.45">
      <c r="A309" s="1">
        <v>44391</v>
      </c>
      <c r="B309" t="s">
        <v>11</v>
      </c>
      <c r="C309">
        <v>5</v>
      </c>
      <c r="E309" t="s">
        <v>12</v>
      </c>
      <c r="F309" t="s">
        <v>13</v>
      </c>
      <c r="G309" t="s">
        <v>14</v>
      </c>
      <c r="H309">
        <f>MONTH(Table2[[#This Row],[Date]])</f>
        <v>7</v>
      </c>
      <c r="I309" s="3">
        <f>WEEKDAY(Table2[[#This Row],[Date]])</f>
        <v>4</v>
      </c>
      <c r="J309">
        <f>Table2[[#This Row],[Credit]]-Table2[[#This Row],[Debit]]</f>
        <v>-5</v>
      </c>
    </row>
    <row r="310" spans="1:10" x14ac:dyDescent="0.45">
      <c r="A310" s="1">
        <v>44392</v>
      </c>
      <c r="B310" t="s">
        <v>11</v>
      </c>
      <c r="C310">
        <v>5</v>
      </c>
      <c r="E310" t="s">
        <v>12</v>
      </c>
      <c r="F310" t="s">
        <v>13</v>
      </c>
      <c r="G310" t="s">
        <v>14</v>
      </c>
      <c r="H310">
        <f>MONTH(Table2[[#This Row],[Date]])</f>
        <v>7</v>
      </c>
      <c r="I310" s="3">
        <f>WEEKDAY(Table2[[#This Row],[Date]])</f>
        <v>5</v>
      </c>
      <c r="J310">
        <f>Table2[[#This Row],[Credit]]-Table2[[#This Row],[Debit]]</f>
        <v>-5</v>
      </c>
    </row>
    <row r="311" spans="1:10" x14ac:dyDescent="0.45">
      <c r="A311" s="1">
        <v>44392</v>
      </c>
      <c r="B311" t="s">
        <v>27</v>
      </c>
      <c r="C311">
        <v>45.8</v>
      </c>
      <c r="E311" t="s">
        <v>28</v>
      </c>
      <c r="F311" t="s">
        <v>29</v>
      </c>
      <c r="G311" t="s">
        <v>14</v>
      </c>
      <c r="H311">
        <f>MONTH(Table2[[#This Row],[Date]])</f>
        <v>7</v>
      </c>
      <c r="I311" s="3">
        <f>WEEKDAY(Table2[[#This Row],[Date]])</f>
        <v>5</v>
      </c>
      <c r="J311">
        <f>Table2[[#This Row],[Credit]]-Table2[[#This Row],[Debit]]</f>
        <v>-45.8</v>
      </c>
    </row>
    <row r="312" spans="1:10" x14ac:dyDescent="0.45">
      <c r="A312" s="1">
        <v>44392</v>
      </c>
      <c r="B312" t="s">
        <v>30</v>
      </c>
      <c r="C312">
        <v>103.80000000000001</v>
      </c>
      <c r="E312" t="s">
        <v>31</v>
      </c>
      <c r="F312" t="s">
        <v>29</v>
      </c>
      <c r="G312" t="s">
        <v>14</v>
      </c>
      <c r="H312">
        <f>MONTH(Table2[[#This Row],[Date]])</f>
        <v>7</v>
      </c>
      <c r="I312" s="3">
        <f>WEEKDAY(Table2[[#This Row],[Date]])</f>
        <v>5</v>
      </c>
      <c r="J312">
        <f>Table2[[#This Row],[Credit]]-Table2[[#This Row],[Debit]]</f>
        <v>-103.80000000000001</v>
      </c>
    </row>
    <row r="313" spans="1:10" x14ac:dyDescent="0.45">
      <c r="A313" s="1">
        <v>44392</v>
      </c>
      <c r="B313" t="s">
        <v>32</v>
      </c>
      <c r="C313">
        <v>58</v>
      </c>
      <c r="E313" t="s">
        <v>33</v>
      </c>
      <c r="F313" t="s">
        <v>13</v>
      </c>
      <c r="G313" t="s">
        <v>14</v>
      </c>
      <c r="H313">
        <f>MONTH(Table2[[#This Row],[Date]])</f>
        <v>7</v>
      </c>
      <c r="I313" s="3">
        <f>WEEKDAY(Table2[[#This Row],[Date]])</f>
        <v>5</v>
      </c>
      <c r="J313">
        <f>Table2[[#This Row],[Credit]]-Table2[[#This Row],[Debit]]</f>
        <v>-58</v>
      </c>
    </row>
    <row r="314" spans="1:10" x14ac:dyDescent="0.45">
      <c r="A314" s="1">
        <v>44393</v>
      </c>
      <c r="B314" t="s">
        <v>34</v>
      </c>
      <c r="C314">
        <v>34.200000000000003</v>
      </c>
      <c r="E314" t="s">
        <v>35</v>
      </c>
      <c r="F314" t="s">
        <v>20</v>
      </c>
      <c r="G314" t="s">
        <v>14</v>
      </c>
      <c r="H314">
        <f>MONTH(Table2[[#This Row],[Date]])</f>
        <v>7</v>
      </c>
      <c r="I314" s="3">
        <f>WEEKDAY(Table2[[#This Row],[Date]])</f>
        <v>6</v>
      </c>
      <c r="J314">
        <f>Table2[[#This Row],[Credit]]-Table2[[#This Row],[Debit]]</f>
        <v>-34.200000000000003</v>
      </c>
    </row>
    <row r="315" spans="1:10" x14ac:dyDescent="0.45">
      <c r="A315" s="1">
        <v>44394</v>
      </c>
      <c r="B315" t="s">
        <v>36</v>
      </c>
      <c r="D315">
        <v>200</v>
      </c>
      <c r="E315" t="s">
        <v>37</v>
      </c>
      <c r="F315" t="s">
        <v>38</v>
      </c>
      <c r="G315" t="s">
        <v>10</v>
      </c>
      <c r="H315">
        <f>MONTH(Table2[[#This Row],[Date]])</f>
        <v>7</v>
      </c>
      <c r="I315" s="3">
        <f>WEEKDAY(Table2[[#This Row],[Date]])</f>
        <v>7</v>
      </c>
      <c r="J315">
        <f>Table2[[#This Row],[Credit]]-Table2[[#This Row],[Debit]]</f>
        <v>200</v>
      </c>
    </row>
    <row r="316" spans="1:10" x14ac:dyDescent="0.45">
      <c r="A316" s="1">
        <v>44394</v>
      </c>
      <c r="B316" t="s">
        <v>11</v>
      </c>
      <c r="C316">
        <v>5</v>
      </c>
      <c r="E316" t="s">
        <v>12</v>
      </c>
      <c r="F316" t="s">
        <v>13</v>
      </c>
      <c r="G316" t="s">
        <v>14</v>
      </c>
      <c r="H316">
        <f>MONTH(Table2[[#This Row],[Date]])</f>
        <v>7</v>
      </c>
      <c r="I316" s="3">
        <f>WEEKDAY(Table2[[#This Row],[Date]])</f>
        <v>7</v>
      </c>
      <c r="J316">
        <f>Table2[[#This Row],[Credit]]-Table2[[#This Row],[Debit]]</f>
        <v>-5</v>
      </c>
    </row>
    <row r="317" spans="1:10" x14ac:dyDescent="0.45">
      <c r="A317" s="1">
        <v>44395</v>
      </c>
      <c r="B317" t="s">
        <v>11</v>
      </c>
      <c r="C317">
        <v>5</v>
      </c>
      <c r="E317" t="s">
        <v>12</v>
      </c>
      <c r="F317" t="s">
        <v>13</v>
      </c>
      <c r="G317" t="s">
        <v>14</v>
      </c>
      <c r="H317">
        <f>MONTH(Table2[[#This Row],[Date]])</f>
        <v>7</v>
      </c>
      <c r="I317" s="3">
        <f>WEEKDAY(Table2[[#This Row],[Date]])</f>
        <v>1</v>
      </c>
      <c r="J317">
        <f>Table2[[#This Row],[Credit]]-Table2[[#This Row],[Debit]]</f>
        <v>-5</v>
      </c>
    </row>
    <row r="318" spans="1:10" x14ac:dyDescent="0.45">
      <c r="A318" s="1">
        <v>44395</v>
      </c>
      <c r="B318" t="s">
        <v>40</v>
      </c>
      <c r="C318">
        <v>40</v>
      </c>
      <c r="E318" t="s">
        <v>40</v>
      </c>
      <c r="F318" t="s">
        <v>17</v>
      </c>
      <c r="G318" t="s">
        <v>14</v>
      </c>
      <c r="H318">
        <f>MONTH(Table2[[#This Row],[Date]])</f>
        <v>7</v>
      </c>
      <c r="I318" s="3">
        <f>WEEKDAY(Table2[[#This Row],[Date]])</f>
        <v>1</v>
      </c>
      <c r="J318">
        <f>Table2[[#This Row],[Credit]]-Table2[[#This Row],[Debit]]</f>
        <v>-40</v>
      </c>
    </row>
    <row r="319" spans="1:10" x14ac:dyDescent="0.45">
      <c r="A319" s="1">
        <v>44396</v>
      </c>
      <c r="B319" t="s">
        <v>41</v>
      </c>
      <c r="C319">
        <v>51.1</v>
      </c>
      <c r="E319" t="s">
        <v>42</v>
      </c>
      <c r="F319" t="s">
        <v>29</v>
      </c>
      <c r="G319" t="s">
        <v>14</v>
      </c>
      <c r="H319">
        <f>MONTH(Table2[[#This Row],[Date]])</f>
        <v>7</v>
      </c>
      <c r="I319" s="3">
        <f>WEEKDAY(Table2[[#This Row],[Date]])</f>
        <v>2</v>
      </c>
      <c r="J319">
        <f>Table2[[#This Row],[Credit]]-Table2[[#This Row],[Debit]]</f>
        <v>-51.1</v>
      </c>
    </row>
    <row r="320" spans="1:10" x14ac:dyDescent="0.45">
      <c r="A320" s="1">
        <v>44396</v>
      </c>
      <c r="B320" t="s">
        <v>43</v>
      </c>
      <c r="C320">
        <v>35</v>
      </c>
      <c r="E320" t="s">
        <v>28</v>
      </c>
      <c r="F320" t="s">
        <v>29</v>
      </c>
      <c r="G320" t="s">
        <v>14</v>
      </c>
      <c r="H320">
        <f>MONTH(Table2[[#This Row],[Date]])</f>
        <v>7</v>
      </c>
      <c r="I320" s="3">
        <f>WEEKDAY(Table2[[#This Row],[Date]])</f>
        <v>2</v>
      </c>
      <c r="J320">
        <f>Table2[[#This Row],[Credit]]-Table2[[#This Row],[Debit]]</f>
        <v>-35</v>
      </c>
    </row>
    <row r="321" spans="1:10" x14ac:dyDescent="0.45">
      <c r="A321" s="1">
        <v>44396</v>
      </c>
      <c r="B321" t="s">
        <v>11</v>
      </c>
      <c r="C321">
        <v>5</v>
      </c>
      <c r="E321" t="s">
        <v>12</v>
      </c>
      <c r="F321" t="s">
        <v>13</v>
      </c>
      <c r="G321" t="s">
        <v>14</v>
      </c>
      <c r="H321">
        <f>MONTH(Table2[[#This Row],[Date]])</f>
        <v>7</v>
      </c>
      <c r="I321" s="3">
        <f>WEEKDAY(Table2[[#This Row],[Date]])</f>
        <v>2</v>
      </c>
      <c r="J321">
        <f>Table2[[#This Row],[Credit]]-Table2[[#This Row],[Debit]]</f>
        <v>-5</v>
      </c>
    </row>
    <row r="322" spans="1:10" x14ac:dyDescent="0.45">
      <c r="A322" s="1">
        <v>44397</v>
      </c>
      <c r="B322" t="s">
        <v>11</v>
      </c>
      <c r="C322">
        <v>5</v>
      </c>
      <c r="E322" t="s">
        <v>12</v>
      </c>
      <c r="F322" t="s">
        <v>13</v>
      </c>
      <c r="G322" t="s">
        <v>14</v>
      </c>
      <c r="H322">
        <f>MONTH(Table2[[#This Row],[Date]])</f>
        <v>7</v>
      </c>
      <c r="I322" s="3">
        <f>WEEKDAY(Table2[[#This Row],[Date]])</f>
        <v>3</v>
      </c>
      <c r="J322">
        <f>Table2[[#This Row],[Credit]]-Table2[[#This Row],[Debit]]</f>
        <v>-5</v>
      </c>
    </row>
    <row r="323" spans="1:10" x14ac:dyDescent="0.45">
      <c r="A323" s="1">
        <v>44398</v>
      </c>
      <c r="B323" t="s">
        <v>11</v>
      </c>
      <c r="C323">
        <v>5</v>
      </c>
      <c r="E323" t="s">
        <v>12</v>
      </c>
      <c r="F323" t="s">
        <v>13</v>
      </c>
      <c r="G323" t="s">
        <v>14</v>
      </c>
      <c r="H323">
        <f>MONTH(Table2[[#This Row],[Date]])</f>
        <v>7</v>
      </c>
      <c r="I323" s="3">
        <f>WEEKDAY(Table2[[#This Row],[Date]])</f>
        <v>4</v>
      </c>
      <c r="J323">
        <f>Table2[[#This Row],[Credit]]-Table2[[#This Row],[Debit]]</f>
        <v>-5</v>
      </c>
    </row>
    <row r="324" spans="1:10" x14ac:dyDescent="0.45">
      <c r="A324" s="1">
        <v>44398</v>
      </c>
      <c r="B324" t="s">
        <v>21</v>
      </c>
      <c r="C324">
        <v>176</v>
      </c>
      <c r="E324" t="s">
        <v>22</v>
      </c>
      <c r="F324" t="s">
        <v>17</v>
      </c>
      <c r="G324" t="s">
        <v>14</v>
      </c>
      <c r="H324">
        <f>MONTH(Table2[[#This Row],[Date]])</f>
        <v>7</v>
      </c>
      <c r="I324" s="3">
        <f>WEEKDAY(Table2[[#This Row],[Date]])</f>
        <v>4</v>
      </c>
      <c r="J324">
        <f>Table2[[#This Row],[Credit]]-Table2[[#This Row],[Debit]]</f>
        <v>-176</v>
      </c>
    </row>
    <row r="325" spans="1:10" x14ac:dyDescent="0.45">
      <c r="A325" s="1">
        <v>44399</v>
      </c>
      <c r="B325" t="s">
        <v>44</v>
      </c>
      <c r="C325">
        <v>43.1</v>
      </c>
      <c r="E325" t="s">
        <v>33</v>
      </c>
      <c r="F325" t="s">
        <v>13</v>
      </c>
      <c r="G325" t="s">
        <v>14</v>
      </c>
      <c r="H325">
        <f>MONTH(Table2[[#This Row],[Date]])</f>
        <v>7</v>
      </c>
      <c r="I325" s="3">
        <f>WEEKDAY(Table2[[#This Row],[Date]])</f>
        <v>5</v>
      </c>
      <c r="J325">
        <f>Table2[[#This Row],[Credit]]-Table2[[#This Row],[Debit]]</f>
        <v>-43.1</v>
      </c>
    </row>
    <row r="326" spans="1:10" x14ac:dyDescent="0.45">
      <c r="A326" s="1">
        <v>44400</v>
      </c>
      <c r="B326" t="s">
        <v>45</v>
      </c>
      <c r="C326">
        <v>18.2</v>
      </c>
      <c r="E326" t="s">
        <v>33</v>
      </c>
      <c r="F326" t="s">
        <v>13</v>
      </c>
      <c r="G326" t="s">
        <v>14</v>
      </c>
      <c r="H326">
        <f>MONTH(Table2[[#This Row],[Date]])</f>
        <v>7</v>
      </c>
      <c r="I326" s="3">
        <f>WEEKDAY(Table2[[#This Row],[Date]])</f>
        <v>6</v>
      </c>
      <c r="J326">
        <f>Table2[[#This Row],[Credit]]-Table2[[#This Row],[Debit]]</f>
        <v>-18.2</v>
      </c>
    </row>
    <row r="327" spans="1:10" x14ac:dyDescent="0.45">
      <c r="A327" s="1">
        <v>44401</v>
      </c>
      <c r="B327" t="s">
        <v>46</v>
      </c>
      <c r="C327">
        <v>55</v>
      </c>
      <c r="E327" t="s">
        <v>47</v>
      </c>
      <c r="F327" t="s">
        <v>48</v>
      </c>
      <c r="G327" t="s">
        <v>14</v>
      </c>
      <c r="H327">
        <f>MONTH(Table2[[#This Row],[Date]])</f>
        <v>7</v>
      </c>
      <c r="I327" s="3">
        <f>WEEKDAY(Table2[[#This Row],[Date]])</f>
        <v>7</v>
      </c>
      <c r="J327">
        <f>Table2[[#This Row],[Credit]]-Table2[[#This Row],[Debit]]</f>
        <v>-55</v>
      </c>
    </row>
    <row r="328" spans="1:10" x14ac:dyDescent="0.45">
      <c r="A328" s="1">
        <v>44401</v>
      </c>
      <c r="B328" t="s">
        <v>25</v>
      </c>
      <c r="C328">
        <v>68.800000000000011</v>
      </c>
      <c r="E328" t="s">
        <v>26</v>
      </c>
      <c r="F328" t="s">
        <v>20</v>
      </c>
      <c r="G328" t="s">
        <v>14</v>
      </c>
      <c r="H328">
        <f>MONTH(Table2[[#This Row],[Date]])</f>
        <v>7</v>
      </c>
      <c r="I328" s="3">
        <f>WEEKDAY(Table2[[#This Row],[Date]])</f>
        <v>7</v>
      </c>
      <c r="J328">
        <f>Table2[[#This Row],[Credit]]-Table2[[#This Row],[Debit]]</f>
        <v>-68.800000000000011</v>
      </c>
    </row>
    <row r="329" spans="1:10" x14ac:dyDescent="0.45">
      <c r="A329" s="1">
        <v>44401</v>
      </c>
      <c r="B329" t="s">
        <v>11</v>
      </c>
      <c r="C329">
        <v>5</v>
      </c>
      <c r="E329" t="s">
        <v>12</v>
      </c>
      <c r="F329" t="s">
        <v>13</v>
      </c>
      <c r="G329" t="s">
        <v>14</v>
      </c>
      <c r="H329">
        <f>MONTH(Table2[[#This Row],[Date]])</f>
        <v>7</v>
      </c>
      <c r="I329" s="3">
        <f>WEEKDAY(Table2[[#This Row],[Date]])</f>
        <v>7</v>
      </c>
      <c r="J329">
        <f>Table2[[#This Row],[Credit]]-Table2[[#This Row],[Debit]]</f>
        <v>-5</v>
      </c>
    </row>
    <row r="330" spans="1:10" x14ac:dyDescent="0.45">
      <c r="A330" s="1">
        <v>44402</v>
      </c>
      <c r="B330" t="s">
        <v>11</v>
      </c>
      <c r="C330">
        <v>5</v>
      </c>
      <c r="E330" t="s">
        <v>12</v>
      </c>
      <c r="F330" t="s">
        <v>13</v>
      </c>
      <c r="G330" t="s">
        <v>14</v>
      </c>
      <c r="H330">
        <f>MONTH(Table2[[#This Row],[Date]])</f>
        <v>7</v>
      </c>
      <c r="I330" s="3">
        <f>WEEKDAY(Table2[[#This Row],[Date]])</f>
        <v>1</v>
      </c>
      <c r="J330">
        <f>Table2[[#This Row],[Credit]]-Table2[[#This Row],[Debit]]</f>
        <v>-5</v>
      </c>
    </row>
    <row r="331" spans="1:10" x14ac:dyDescent="0.45">
      <c r="A331" s="1">
        <v>44403</v>
      </c>
      <c r="B331" t="s">
        <v>11</v>
      </c>
      <c r="C331">
        <v>5</v>
      </c>
      <c r="E331" t="s">
        <v>12</v>
      </c>
      <c r="F331" t="s">
        <v>13</v>
      </c>
      <c r="G331" t="s">
        <v>14</v>
      </c>
      <c r="H331">
        <f>MONTH(Table2[[#This Row],[Date]])</f>
        <v>7</v>
      </c>
      <c r="I331" s="3">
        <f>WEEKDAY(Table2[[#This Row],[Date]])</f>
        <v>2</v>
      </c>
      <c r="J331">
        <f>Table2[[#This Row],[Credit]]-Table2[[#This Row],[Debit]]</f>
        <v>-5</v>
      </c>
    </row>
    <row r="332" spans="1:10" x14ac:dyDescent="0.45">
      <c r="A332" s="1">
        <v>44404</v>
      </c>
      <c r="B332" t="s">
        <v>11</v>
      </c>
      <c r="C332">
        <v>5</v>
      </c>
      <c r="E332" t="s">
        <v>12</v>
      </c>
      <c r="F332" t="s">
        <v>13</v>
      </c>
      <c r="G332" t="s">
        <v>14</v>
      </c>
      <c r="H332">
        <f>MONTH(Table2[[#This Row],[Date]])</f>
        <v>7</v>
      </c>
      <c r="I332" s="3">
        <f>WEEKDAY(Table2[[#This Row],[Date]])</f>
        <v>3</v>
      </c>
      <c r="J332">
        <f>Table2[[#This Row],[Credit]]-Table2[[#This Row],[Debit]]</f>
        <v>-5</v>
      </c>
    </row>
    <row r="333" spans="1:10" x14ac:dyDescent="0.45">
      <c r="A333" s="1">
        <v>44405</v>
      </c>
      <c r="B333" t="s">
        <v>11</v>
      </c>
      <c r="C333">
        <v>5</v>
      </c>
      <c r="E333" t="s">
        <v>12</v>
      </c>
      <c r="F333" t="s">
        <v>13</v>
      </c>
      <c r="G333" t="s">
        <v>14</v>
      </c>
      <c r="H333">
        <f>MONTH(Table2[[#This Row],[Date]])</f>
        <v>7</v>
      </c>
      <c r="I333" s="3">
        <f>WEEKDAY(Table2[[#This Row],[Date]])</f>
        <v>4</v>
      </c>
      <c r="J333">
        <f>Table2[[#This Row],[Credit]]-Table2[[#This Row],[Debit]]</f>
        <v>-5</v>
      </c>
    </row>
    <row r="334" spans="1:10" x14ac:dyDescent="0.45">
      <c r="A334" s="1">
        <v>44405</v>
      </c>
      <c r="B334" t="s">
        <v>21</v>
      </c>
      <c r="C334">
        <v>193</v>
      </c>
      <c r="E334" t="s">
        <v>22</v>
      </c>
      <c r="F334" t="s">
        <v>17</v>
      </c>
      <c r="G334" t="s">
        <v>14</v>
      </c>
      <c r="H334">
        <f>MONTH(Table2[[#This Row],[Date]])</f>
        <v>7</v>
      </c>
      <c r="I334" s="3">
        <f>WEEKDAY(Table2[[#This Row],[Date]])</f>
        <v>4</v>
      </c>
      <c r="J334">
        <f>Table2[[#This Row],[Credit]]-Table2[[#This Row],[Debit]]</f>
        <v>-193</v>
      </c>
    </row>
    <row r="335" spans="1:10" x14ac:dyDescent="0.45">
      <c r="A335" s="1">
        <v>44406</v>
      </c>
      <c r="B335" t="s">
        <v>49</v>
      </c>
      <c r="C335">
        <v>130.80000000000001</v>
      </c>
      <c r="E335" t="s">
        <v>31</v>
      </c>
      <c r="F335" t="s">
        <v>29</v>
      </c>
      <c r="G335" t="s">
        <v>14</v>
      </c>
      <c r="H335">
        <f>MONTH(Table2[[#This Row],[Date]])</f>
        <v>7</v>
      </c>
      <c r="I335" s="3">
        <f>WEEKDAY(Table2[[#This Row],[Date]])</f>
        <v>5</v>
      </c>
      <c r="J335">
        <f>Table2[[#This Row],[Credit]]-Table2[[#This Row],[Debit]]</f>
        <v>-130.80000000000001</v>
      </c>
    </row>
    <row r="336" spans="1:10" x14ac:dyDescent="0.45">
      <c r="A336" s="1">
        <v>44406</v>
      </c>
      <c r="B336" t="s">
        <v>59</v>
      </c>
      <c r="C336">
        <v>181.39999999999998</v>
      </c>
      <c r="E336" t="s">
        <v>54</v>
      </c>
      <c r="F336" t="s">
        <v>29</v>
      </c>
      <c r="G336" t="s">
        <v>14</v>
      </c>
      <c r="H336">
        <f>MONTH(Table2[[#This Row],[Date]])</f>
        <v>7</v>
      </c>
      <c r="I336" s="3">
        <f>WEEKDAY(Table2[[#This Row],[Date]])</f>
        <v>5</v>
      </c>
      <c r="J336">
        <f>Table2[[#This Row],[Credit]]-Table2[[#This Row],[Debit]]</f>
        <v>-181.39999999999998</v>
      </c>
    </row>
    <row r="337" spans="1:10" x14ac:dyDescent="0.45">
      <c r="A337" s="1">
        <v>44407</v>
      </c>
      <c r="B337" t="s">
        <v>30</v>
      </c>
      <c r="C337">
        <v>151.19999999999999</v>
      </c>
      <c r="E337" t="s">
        <v>31</v>
      </c>
      <c r="F337" t="s">
        <v>29</v>
      </c>
      <c r="G337" t="s">
        <v>14</v>
      </c>
      <c r="H337">
        <f>MONTH(Table2[[#This Row],[Date]])</f>
        <v>7</v>
      </c>
      <c r="I337" s="3">
        <f>WEEKDAY(Table2[[#This Row],[Date]])</f>
        <v>6</v>
      </c>
      <c r="J337">
        <f>Table2[[#This Row],[Credit]]-Table2[[#This Row],[Debit]]</f>
        <v>-151.19999999999999</v>
      </c>
    </row>
    <row r="338" spans="1:10" x14ac:dyDescent="0.45">
      <c r="A338" s="1">
        <v>44407</v>
      </c>
      <c r="B338" t="s">
        <v>34</v>
      </c>
      <c r="C338">
        <v>29.300000000000004</v>
      </c>
      <c r="E338" t="s">
        <v>35</v>
      </c>
      <c r="F338" t="s">
        <v>20</v>
      </c>
      <c r="G338" t="s">
        <v>14</v>
      </c>
      <c r="H338">
        <f>MONTH(Table2[[#This Row],[Date]])</f>
        <v>7</v>
      </c>
      <c r="I338" s="3">
        <f>WEEKDAY(Table2[[#This Row],[Date]])</f>
        <v>6</v>
      </c>
      <c r="J338">
        <f>Table2[[#This Row],[Credit]]-Table2[[#This Row],[Debit]]</f>
        <v>-29.300000000000004</v>
      </c>
    </row>
    <row r="339" spans="1:10" x14ac:dyDescent="0.45">
      <c r="A339" s="1">
        <v>44407</v>
      </c>
      <c r="B339" t="s">
        <v>51</v>
      </c>
      <c r="C339">
        <v>15</v>
      </c>
      <c r="E339" t="s">
        <v>33</v>
      </c>
      <c r="F339" t="s">
        <v>13</v>
      </c>
      <c r="G339" t="s">
        <v>14</v>
      </c>
      <c r="H339">
        <f>MONTH(Table2[[#This Row],[Date]])</f>
        <v>7</v>
      </c>
      <c r="I339" s="3">
        <f>WEEKDAY(Table2[[#This Row],[Date]])</f>
        <v>6</v>
      </c>
      <c r="J339">
        <f>Table2[[#This Row],[Credit]]-Table2[[#This Row],[Debit]]</f>
        <v>-15</v>
      </c>
    </row>
    <row r="340" spans="1:10" x14ac:dyDescent="0.45">
      <c r="A340" s="1">
        <v>44408</v>
      </c>
      <c r="B340" t="s">
        <v>11</v>
      </c>
      <c r="C340">
        <v>5</v>
      </c>
      <c r="E340" t="s">
        <v>12</v>
      </c>
      <c r="F340" t="s">
        <v>13</v>
      </c>
      <c r="G340" t="s">
        <v>14</v>
      </c>
      <c r="H340">
        <f>MONTH(Table2[[#This Row],[Date]])</f>
        <v>7</v>
      </c>
      <c r="I340" s="3">
        <f>WEEKDAY(Table2[[#This Row],[Date]])</f>
        <v>7</v>
      </c>
      <c r="J340">
        <f>Table2[[#This Row],[Credit]]-Table2[[#This Row],[Debit]]</f>
        <v>-5</v>
      </c>
    </row>
    <row r="341" spans="1:10" x14ac:dyDescent="0.45">
      <c r="A341" s="1">
        <v>44410</v>
      </c>
      <c r="B341" t="s">
        <v>11</v>
      </c>
      <c r="C341">
        <v>5</v>
      </c>
      <c r="E341" t="s">
        <v>12</v>
      </c>
      <c r="F341" t="s">
        <v>13</v>
      </c>
      <c r="G341" t="s">
        <v>14</v>
      </c>
      <c r="H341">
        <f>MONTH(Table2[[#This Row],[Date]])</f>
        <v>8</v>
      </c>
      <c r="I341" s="3">
        <f>WEEKDAY(Table2[[#This Row],[Date]])</f>
        <v>2</v>
      </c>
      <c r="J341">
        <f>Table2[[#This Row],[Credit]]-Table2[[#This Row],[Debit]]</f>
        <v>-5</v>
      </c>
    </row>
    <row r="342" spans="1:10" x14ac:dyDescent="0.45">
      <c r="A342" s="1">
        <v>44410</v>
      </c>
      <c r="B342" t="s">
        <v>8</v>
      </c>
      <c r="D342">
        <v>5000</v>
      </c>
      <c r="E342" t="s">
        <v>100</v>
      </c>
      <c r="F342" t="s">
        <v>9</v>
      </c>
      <c r="G342" t="s">
        <v>10</v>
      </c>
      <c r="H342">
        <f>MONTH(Table2[[#This Row],[Date]])</f>
        <v>8</v>
      </c>
      <c r="I342" s="3">
        <f>WEEKDAY(Table2[[#This Row],[Date]])</f>
        <v>2</v>
      </c>
      <c r="J342">
        <f>Table2[[#This Row],[Credit]]-Table2[[#This Row],[Debit]]</f>
        <v>5000</v>
      </c>
    </row>
    <row r="343" spans="1:10" x14ac:dyDescent="0.45">
      <c r="A343" s="1">
        <v>44411</v>
      </c>
      <c r="B343" t="s">
        <v>11</v>
      </c>
      <c r="C343">
        <v>5</v>
      </c>
      <c r="E343" t="s">
        <v>12</v>
      </c>
      <c r="F343" t="s">
        <v>13</v>
      </c>
      <c r="G343" t="s">
        <v>14</v>
      </c>
      <c r="H343">
        <f>MONTH(Table2[[#This Row],[Date]])</f>
        <v>8</v>
      </c>
      <c r="I343" s="3">
        <f>WEEKDAY(Table2[[#This Row],[Date]])</f>
        <v>3</v>
      </c>
      <c r="J343">
        <f>Table2[[#This Row],[Credit]]-Table2[[#This Row],[Debit]]</f>
        <v>-5</v>
      </c>
    </row>
    <row r="344" spans="1:10" x14ac:dyDescent="0.45">
      <c r="A344" s="1">
        <v>44413</v>
      </c>
      <c r="B344" t="s">
        <v>15</v>
      </c>
      <c r="C344">
        <v>900</v>
      </c>
      <c r="E344" t="s">
        <v>16</v>
      </c>
      <c r="F344" t="s">
        <v>17</v>
      </c>
      <c r="G344" t="s">
        <v>14</v>
      </c>
      <c r="H344">
        <f>MONTH(Table2[[#This Row],[Date]])</f>
        <v>8</v>
      </c>
      <c r="I344" s="3">
        <f>WEEKDAY(Table2[[#This Row],[Date]])</f>
        <v>5</v>
      </c>
      <c r="J344">
        <f>Table2[[#This Row],[Credit]]-Table2[[#This Row],[Debit]]</f>
        <v>-900</v>
      </c>
    </row>
    <row r="345" spans="1:10" x14ac:dyDescent="0.45">
      <c r="A345" s="1">
        <v>44413</v>
      </c>
      <c r="B345" t="s">
        <v>18</v>
      </c>
      <c r="C345">
        <v>150</v>
      </c>
      <c r="E345" t="s">
        <v>19</v>
      </c>
      <c r="F345" t="s">
        <v>20</v>
      </c>
      <c r="G345" t="s">
        <v>14</v>
      </c>
      <c r="H345">
        <f>MONTH(Table2[[#This Row],[Date]])</f>
        <v>8</v>
      </c>
      <c r="I345" s="3">
        <f>WEEKDAY(Table2[[#This Row],[Date]])</f>
        <v>5</v>
      </c>
      <c r="J345">
        <f>Table2[[#This Row],[Credit]]-Table2[[#This Row],[Debit]]</f>
        <v>-150</v>
      </c>
    </row>
    <row r="346" spans="1:10" x14ac:dyDescent="0.45">
      <c r="A346" s="1">
        <v>44413</v>
      </c>
      <c r="B346" t="s">
        <v>11</v>
      </c>
      <c r="C346">
        <v>5</v>
      </c>
      <c r="E346" t="s">
        <v>12</v>
      </c>
      <c r="F346" t="s">
        <v>13</v>
      </c>
      <c r="G346" t="s">
        <v>14</v>
      </c>
      <c r="H346">
        <f>MONTH(Table2[[#This Row],[Date]])</f>
        <v>8</v>
      </c>
      <c r="I346" s="3">
        <f>WEEKDAY(Table2[[#This Row],[Date]])</f>
        <v>5</v>
      </c>
      <c r="J346">
        <f>Table2[[#This Row],[Credit]]-Table2[[#This Row],[Debit]]</f>
        <v>-5</v>
      </c>
    </row>
    <row r="347" spans="1:10" x14ac:dyDescent="0.45">
      <c r="A347" s="1">
        <v>44413</v>
      </c>
      <c r="B347" t="s">
        <v>11</v>
      </c>
      <c r="C347">
        <v>5</v>
      </c>
      <c r="E347" t="s">
        <v>12</v>
      </c>
      <c r="F347" t="s">
        <v>13</v>
      </c>
      <c r="G347" t="s">
        <v>14</v>
      </c>
      <c r="H347">
        <f>MONTH(Table2[[#This Row],[Date]])</f>
        <v>8</v>
      </c>
      <c r="I347" s="3">
        <f>WEEKDAY(Table2[[#This Row],[Date]])</f>
        <v>5</v>
      </c>
      <c r="J347">
        <f>Table2[[#This Row],[Credit]]-Table2[[#This Row],[Debit]]</f>
        <v>-5</v>
      </c>
    </row>
    <row r="348" spans="1:10" x14ac:dyDescent="0.45">
      <c r="A348" s="1">
        <v>44414</v>
      </c>
      <c r="B348" t="s">
        <v>11</v>
      </c>
      <c r="C348">
        <v>5</v>
      </c>
      <c r="E348" t="s">
        <v>12</v>
      </c>
      <c r="F348" t="s">
        <v>13</v>
      </c>
      <c r="G348" t="s">
        <v>14</v>
      </c>
      <c r="H348">
        <f>MONTH(Table2[[#This Row],[Date]])</f>
        <v>8</v>
      </c>
      <c r="I348" s="3">
        <f>WEEKDAY(Table2[[#This Row],[Date]])</f>
        <v>6</v>
      </c>
      <c r="J348">
        <f>Table2[[#This Row],[Credit]]-Table2[[#This Row],[Debit]]</f>
        <v>-5</v>
      </c>
    </row>
    <row r="349" spans="1:10" x14ac:dyDescent="0.45">
      <c r="A349" s="1">
        <v>44415</v>
      </c>
      <c r="B349" t="s">
        <v>11</v>
      </c>
      <c r="C349">
        <v>5</v>
      </c>
      <c r="E349" t="s">
        <v>12</v>
      </c>
      <c r="F349" t="s">
        <v>13</v>
      </c>
      <c r="G349" t="s">
        <v>14</v>
      </c>
      <c r="H349">
        <f>MONTH(Table2[[#This Row],[Date]])</f>
        <v>8</v>
      </c>
      <c r="I349" s="3">
        <f>WEEKDAY(Table2[[#This Row],[Date]])</f>
        <v>7</v>
      </c>
      <c r="J349">
        <f>Table2[[#This Row],[Credit]]-Table2[[#This Row],[Debit]]</f>
        <v>-5</v>
      </c>
    </row>
    <row r="350" spans="1:10" x14ac:dyDescent="0.45">
      <c r="A350" s="1">
        <v>44415</v>
      </c>
      <c r="B350" t="s">
        <v>21</v>
      </c>
      <c r="C350">
        <v>137</v>
      </c>
      <c r="E350" t="s">
        <v>22</v>
      </c>
      <c r="F350" t="s">
        <v>17</v>
      </c>
      <c r="G350" t="s">
        <v>14</v>
      </c>
      <c r="H350">
        <f>MONTH(Table2[[#This Row],[Date]])</f>
        <v>8</v>
      </c>
      <c r="I350" s="3">
        <f>WEEKDAY(Table2[[#This Row],[Date]])</f>
        <v>7</v>
      </c>
      <c r="J350">
        <f>Table2[[#This Row],[Credit]]-Table2[[#This Row],[Debit]]</f>
        <v>-137</v>
      </c>
    </row>
    <row r="351" spans="1:10" x14ac:dyDescent="0.45">
      <c r="A351" s="1">
        <v>44418</v>
      </c>
      <c r="B351" t="s">
        <v>23</v>
      </c>
      <c r="C351">
        <v>57</v>
      </c>
      <c r="E351" t="s">
        <v>24</v>
      </c>
      <c r="F351" t="s">
        <v>17</v>
      </c>
      <c r="G351" t="s">
        <v>14</v>
      </c>
      <c r="H351">
        <f>MONTH(Table2[[#This Row],[Date]])</f>
        <v>8</v>
      </c>
      <c r="I351" s="3">
        <f>WEEKDAY(Table2[[#This Row],[Date]])</f>
        <v>3</v>
      </c>
      <c r="J351">
        <f>Table2[[#This Row],[Credit]]-Table2[[#This Row],[Debit]]</f>
        <v>-57</v>
      </c>
    </row>
    <row r="352" spans="1:10" x14ac:dyDescent="0.45">
      <c r="A352" s="1">
        <v>44418</v>
      </c>
      <c r="B352" t="s">
        <v>11</v>
      </c>
      <c r="C352">
        <v>5</v>
      </c>
      <c r="E352" t="s">
        <v>12</v>
      </c>
      <c r="F352" t="s">
        <v>13</v>
      </c>
      <c r="G352" t="s">
        <v>14</v>
      </c>
      <c r="H352">
        <f>MONTH(Table2[[#This Row],[Date]])</f>
        <v>8</v>
      </c>
      <c r="I352" s="3">
        <f>WEEKDAY(Table2[[#This Row],[Date]])</f>
        <v>3</v>
      </c>
      <c r="J352">
        <f>Table2[[#This Row],[Credit]]-Table2[[#This Row],[Debit]]</f>
        <v>-5</v>
      </c>
    </row>
    <row r="353" spans="1:10" x14ac:dyDescent="0.45">
      <c r="A353" s="1">
        <v>44419</v>
      </c>
      <c r="B353" t="s">
        <v>11</v>
      </c>
      <c r="C353">
        <v>5</v>
      </c>
      <c r="E353" t="s">
        <v>12</v>
      </c>
      <c r="F353" t="s">
        <v>13</v>
      </c>
      <c r="G353" t="s">
        <v>14</v>
      </c>
      <c r="H353">
        <f>MONTH(Table2[[#This Row],[Date]])</f>
        <v>8</v>
      </c>
      <c r="I353" s="3">
        <f>WEEKDAY(Table2[[#This Row],[Date]])</f>
        <v>4</v>
      </c>
      <c r="J353">
        <f>Table2[[#This Row],[Credit]]-Table2[[#This Row],[Debit]]</f>
        <v>-5</v>
      </c>
    </row>
    <row r="354" spans="1:10" x14ac:dyDescent="0.45">
      <c r="A354" s="1">
        <v>44420</v>
      </c>
      <c r="B354" t="s">
        <v>25</v>
      </c>
      <c r="C354">
        <v>84.199999999999989</v>
      </c>
      <c r="E354" t="s">
        <v>26</v>
      </c>
      <c r="F354" t="s">
        <v>20</v>
      </c>
      <c r="G354" t="s">
        <v>14</v>
      </c>
      <c r="H354">
        <f>MONTH(Table2[[#This Row],[Date]])</f>
        <v>8</v>
      </c>
      <c r="I354" s="3">
        <f>WEEKDAY(Table2[[#This Row],[Date]])</f>
        <v>5</v>
      </c>
      <c r="J354">
        <f>Table2[[#This Row],[Credit]]-Table2[[#This Row],[Debit]]</f>
        <v>-84.199999999999989</v>
      </c>
    </row>
    <row r="355" spans="1:10" x14ac:dyDescent="0.45">
      <c r="A355" s="1">
        <v>44420</v>
      </c>
      <c r="B355" t="s">
        <v>11</v>
      </c>
      <c r="C355">
        <v>5</v>
      </c>
      <c r="E355" t="s">
        <v>12</v>
      </c>
      <c r="F355" t="s">
        <v>13</v>
      </c>
      <c r="G355" t="s">
        <v>14</v>
      </c>
      <c r="H355">
        <f>MONTH(Table2[[#This Row],[Date]])</f>
        <v>8</v>
      </c>
      <c r="I355" s="3">
        <f>WEEKDAY(Table2[[#This Row],[Date]])</f>
        <v>5</v>
      </c>
      <c r="J355">
        <f>Table2[[#This Row],[Credit]]-Table2[[#This Row],[Debit]]</f>
        <v>-5</v>
      </c>
    </row>
    <row r="356" spans="1:10" x14ac:dyDescent="0.45">
      <c r="A356" s="1">
        <v>44421</v>
      </c>
      <c r="B356" t="s">
        <v>11</v>
      </c>
      <c r="C356">
        <v>5</v>
      </c>
      <c r="E356" t="s">
        <v>12</v>
      </c>
      <c r="F356" t="s">
        <v>13</v>
      </c>
      <c r="G356" t="s">
        <v>14</v>
      </c>
      <c r="H356">
        <f>MONTH(Table2[[#This Row],[Date]])</f>
        <v>8</v>
      </c>
      <c r="I356" s="3">
        <f>WEEKDAY(Table2[[#This Row],[Date]])</f>
        <v>6</v>
      </c>
      <c r="J356">
        <f>Table2[[#This Row],[Credit]]-Table2[[#This Row],[Debit]]</f>
        <v>-5</v>
      </c>
    </row>
    <row r="357" spans="1:10" x14ac:dyDescent="0.45">
      <c r="A357" s="1">
        <v>44422</v>
      </c>
      <c r="B357" t="s">
        <v>21</v>
      </c>
      <c r="C357">
        <v>142.1</v>
      </c>
      <c r="E357" t="s">
        <v>22</v>
      </c>
      <c r="F357" t="s">
        <v>17</v>
      </c>
      <c r="G357" t="s">
        <v>14</v>
      </c>
      <c r="H357">
        <f>MONTH(Table2[[#This Row],[Date]])</f>
        <v>8</v>
      </c>
      <c r="I357" s="3">
        <f>WEEKDAY(Table2[[#This Row],[Date]])</f>
        <v>7</v>
      </c>
      <c r="J357">
        <f>Table2[[#This Row],[Credit]]-Table2[[#This Row],[Debit]]</f>
        <v>-142.1</v>
      </c>
    </row>
    <row r="358" spans="1:10" x14ac:dyDescent="0.45">
      <c r="A358" s="1">
        <v>44422</v>
      </c>
      <c r="B358" t="s">
        <v>11</v>
      </c>
      <c r="C358">
        <v>5</v>
      </c>
      <c r="E358" t="s">
        <v>12</v>
      </c>
      <c r="F358" t="s">
        <v>13</v>
      </c>
      <c r="G358" t="s">
        <v>14</v>
      </c>
      <c r="H358">
        <f>MONTH(Table2[[#This Row],[Date]])</f>
        <v>8</v>
      </c>
      <c r="I358" s="3">
        <f>WEEKDAY(Table2[[#This Row],[Date]])</f>
        <v>7</v>
      </c>
      <c r="J358">
        <f>Table2[[#This Row],[Credit]]-Table2[[#This Row],[Debit]]</f>
        <v>-5</v>
      </c>
    </row>
    <row r="359" spans="1:10" x14ac:dyDescent="0.45">
      <c r="A359" s="1">
        <v>44423</v>
      </c>
      <c r="B359" t="s">
        <v>11</v>
      </c>
      <c r="C359">
        <v>5</v>
      </c>
      <c r="E359" t="s">
        <v>12</v>
      </c>
      <c r="F359" t="s">
        <v>13</v>
      </c>
      <c r="G359" t="s">
        <v>14</v>
      </c>
      <c r="H359">
        <f>MONTH(Table2[[#This Row],[Date]])</f>
        <v>8</v>
      </c>
      <c r="I359" s="3">
        <f>WEEKDAY(Table2[[#This Row],[Date]])</f>
        <v>1</v>
      </c>
      <c r="J359">
        <f>Table2[[#This Row],[Credit]]-Table2[[#This Row],[Debit]]</f>
        <v>-5</v>
      </c>
    </row>
    <row r="360" spans="1:10" x14ac:dyDescent="0.45">
      <c r="A360" s="1">
        <v>44423</v>
      </c>
      <c r="B360" t="s">
        <v>27</v>
      </c>
      <c r="C360">
        <v>46.8</v>
      </c>
      <c r="E360" t="s">
        <v>28</v>
      </c>
      <c r="F360" t="s">
        <v>29</v>
      </c>
      <c r="G360" t="s">
        <v>14</v>
      </c>
      <c r="H360">
        <f>MONTH(Table2[[#This Row],[Date]])</f>
        <v>8</v>
      </c>
      <c r="I360" s="3">
        <f>WEEKDAY(Table2[[#This Row],[Date]])</f>
        <v>1</v>
      </c>
      <c r="J360">
        <f>Table2[[#This Row],[Credit]]-Table2[[#This Row],[Debit]]</f>
        <v>-46.8</v>
      </c>
    </row>
    <row r="361" spans="1:10" x14ac:dyDescent="0.45">
      <c r="A361" s="1">
        <v>44423</v>
      </c>
      <c r="B361" t="s">
        <v>30</v>
      </c>
      <c r="C361">
        <v>104.70000000000002</v>
      </c>
      <c r="E361" t="s">
        <v>31</v>
      </c>
      <c r="F361" t="s">
        <v>29</v>
      </c>
      <c r="G361" t="s">
        <v>14</v>
      </c>
      <c r="H361">
        <f>MONTH(Table2[[#This Row],[Date]])</f>
        <v>8</v>
      </c>
      <c r="I361" s="3">
        <f>WEEKDAY(Table2[[#This Row],[Date]])</f>
        <v>1</v>
      </c>
      <c r="J361">
        <f>Table2[[#This Row],[Credit]]-Table2[[#This Row],[Debit]]</f>
        <v>-104.70000000000002</v>
      </c>
    </row>
    <row r="362" spans="1:10" x14ac:dyDescent="0.45">
      <c r="A362" s="1">
        <v>44423</v>
      </c>
      <c r="B362" t="s">
        <v>32</v>
      </c>
      <c r="C362">
        <v>59.1</v>
      </c>
      <c r="E362" t="s">
        <v>33</v>
      </c>
      <c r="F362" t="s">
        <v>13</v>
      </c>
      <c r="G362" t="s">
        <v>14</v>
      </c>
      <c r="H362">
        <f>MONTH(Table2[[#This Row],[Date]])</f>
        <v>8</v>
      </c>
      <c r="I362" s="3">
        <f>WEEKDAY(Table2[[#This Row],[Date]])</f>
        <v>1</v>
      </c>
      <c r="J362">
        <f>Table2[[#This Row],[Credit]]-Table2[[#This Row],[Debit]]</f>
        <v>-59.1</v>
      </c>
    </row>
    <row r="363" spans="1:10" x14ac:dyDescent="0.45">
      <c r="A363" s="1">
        <v>44424</v>
      </c>
      <c r="B363" t="s">
        <v>34</v>
      </c>
      <c r="C363">
        <v>35.1</v>
      </c>
      <c r="E363" t="s">
        <v>35</v>
      </c>
      <c r="F363" t="s">
        <v>20</v>
      </c>
      <c r="G363" t="s">
        <v>14</v>
      </c>
      <c r="H363">
        <f>MONTH(Table2[[#This Row],[Date]])</f>
        <v>8</v>
      </c>
      <c r="I363" s="3">
        <f>WEEKDAY(Table2[[#This Row],[Date]])</f>
        <v>2</v>
      </c>
      <c r="J363">
        <f>Table2[[#This Row],[Credit]]-Table2[[#This Row],[Debit]]</f>
        <v>-35.1</v>
      </c>
    </row>
    <row r="364" spans="1:10" x14ac:dyDescent="0.45">
      <c r="A364" s="1">
        <v>44425</v>
      </c>
      <c r="B364" t="s">
        <v>36</v>
      </c>
      <c r="D364">
        <v>800</v>
      </c>
      <c r="E364" t="s">
        <v>37</v>
      </c>
      <c r="F364" t="s">
        <v>38</v>
      </c>
      <c r="G364" t="s">
        <v>10</v>
      </c>
      <c r="H364">
        <f>MONTH(Table2[[#This Row],[Date]])</f>
        <v>8</v>
      </c>
      <c r="I364" s="3">
        <f>WEEKDAY(Table2[[#This Row],[Date]])</f>
        <v>3</v>
      </c>
      <c r="J364">
        <f>Table2[[#This Row],[Credit]]-Table2[[#This Row],[Debit]]</f>
        <v>800</v>
      </c>
    </row>
    <row r="365" spans="1:10" x14ac:dyDescent="0.45">
      <c r="A365" s="1">
        <v>44425</v>
      </c>
      <c r="B365" t="s">
        <v>11</v>
      </c>
      <c r="C365">
        <v>5</v>
      </c>
      <c r="E365" t="s">
        <v>12</v>
      </c>
      <c r="F365" t="s">
        <v>13</v>
      </c>
      <c r="G365" t="s">
        <v>14</v>
      </c>
      <c r="H365">
        <f>MONTH(Table2[[#This Row],[Date]])</f>
        <v>8</v>
      </c>
      <c r="I365" s="3">
        <f>WEEKDAY(Table2[[#This Row],[Date]])</f>
        <v>3</v>
      </c>
      <c r="J365">
        <f>Table2[[#This Row],[Credit]]-Table2[[#This Row],[Debit]]</f>
        <v>-5</v>
      </c>
    </row>
    <row r="366" spans="1:10" x14ac:dyDescent="0.45">
      <c r="A366" s="1">
        <v>44426</v>
      </c>
      <c r="B366" t="s">
        <v>11</v>
      </c>
      <c r="C366">
        <v>5</v>
      </c>
      <c r="E366" t="s">
        <v>12</v>
      </c>
      <c r="F366" t="s">
        <v>13</v>
      </c>
      <c r="G366" t="s">
        <v>14</v>
      </c>
      <c r="H366">
        <f>MONTH(Table2[[#This Row],[Date]])</f>
        <v>8</v>
      </c>
      <c r="I366" s="3">
        <f>WEEKDAY(Table2[[#This Row],[Date]])</f>
        <v>4</v>
      </c>
      <c r="J366">
        <f>Table2[[#This Row],[Credit]]-Table2[[#This Row],[Debit]]</f>
        <v>-5</v>
      </c>
    </row>
    <row r="367" spans="1:10" x14ac:dyDescent="0.45">
      <c r="A367" s="1">
        <v>44426</v>
      </c>
      <c r="B367" t="s">
        <v>40</v>
      </c>
      <c r="C367">
        <v>40</v>
      </c>
      <c r="E367" t="s">
        <v>40</v>
      </c>
      <c r="F367" t="s">
        <v>17</v>
      </c>
      <c r="G367" t="s">
        <v>14</v>
      </c>
      <c r="H367">
        <f>MONTH(Table2[[#This Row],[Date]])</f>
        <v>8</v>
      </c>
      <c r="I367" s="3">
        <f>WEEKDAY(Table2[[#This Row],[Date]])</f>
        <v>4</v>
      </c>
      <c r="J367">
        <f>Table2[[#This Row],[Credit]]-Table2[[#This Row],[Debit]]</f>
        <v>-40</v>
      </c>
    </row>
    <row r="368" spans="1:10" x14ac:dyDescent="0.45">
      <c r="A368" s="1">
        <v>44427</v>
      </c>
      <c r="B368" t="s">
        <v>41</v>
      </c>
      <c r="C368">
        <v>52.1</v>
      </c>
      <c r="E368" t="s">
        <v>42</v>
      </c>
      <c r="F368" t="s">
        <v>29</v>
      </c>
      <c r="G368" t="s">
        <v>14</v>
      </c>
      <c r="H368">
        <f>MONTH(Table2[[#This Row],[Date]])</f>
        <v>8</v>
      </c>
      <c r="I368" s="3">
        <f>WEEKDAY(Table2[[#This Row],[Date]])</f>
        <v>5</v>
      </c>
      <c r="J368">
        <f>Table2[[#This Row],[Credit]]-Table2[[#This Row],[Debit]]</f>
        <v>-52.1</v>
      </c>
    </row>
    <row r="369" spans="1:10" x14ac:dyDescent="0.45">
      <c r="A369" s="1">
        <v>44427</v>
      </c>
      <c r="B369" t="s">
        <v>43</v>
      </c>
      <c r="C369">
        <v>35</v>
      </c>
      <c r="E369" t="s">
        <v>28</v>
      </c>
      <c r="F369" t="s">
        <v>29</v>
      </c>
      <c r="G369" t="s">
        <v>14</v>
      </c>
      <c r="H369">
        <f>MONTH(Table2[[#This Row],[Date]])</f>
        <v>8</v>
      </c>
      <c r="I369" s="3">
        <f>WEEKDAY(Table2[[#This Row],[Date]])</f>
        <v>5</v>
      </c>
      <c r="J369">
        <f>Table2[[#This Row],[Credit]]-Table2[[#This Row],[Debit]]</f>
        <v>-35</v>
      </c>
    </row>
    <row r="370" spans="1:10" x14ac:dyDescent="0.45">
      <c r="A370" s="1">
        <v>44427</v>
      </c>
      <c r="B370" t="s">
        <v>11</v>
      </c>
      <c r="C370">
        <v>5</v>
      </c>
      <c r="E370" t="s">
        <v>12</v>
      </c>
      <c r="F370" t="s">
        <v>13</v>
      </c>
      <c r="G370" t="s">
        <v>14</v>
      </c>
      <c r="H370">
        <f>MONTH(Table2[[#This Row],[Date]])</f>
        <v>8</v>
      </c>
      <c r="I370" s="3">
        <f>WEEKDAY(Table2[[#This Row],[Date]])</f>
        <v>5</v>
      </c>
      <c r="J370">
        <f>Table2[[#This Row],[Credit]]-Table2[[#This Row],[Debit]]</f>
        <v>-5</v>
      </c>
    </row>
    <row r="371" spans="1:10" x14ac:dyDescent="0.45">
      <c r="A371" s="1">
        <v>44428</v>
      </c>
      <c r="B371" t="s">
        <v>11</v>
      </c>
      <c r="C371">
        <v>5</v>
      </c>
      <c r="E371" t="s">
        <v>12</v>
      </c>
      <c r="F371" t="s">
        <v>13</v>
      </c>
      <c r="G371" t="s">
        <v>14</v>
      </c>
      <c r="H371">
        <f>MONTH(Table2[[#This Row],[Date]])</f>
        <v>8</v>
      </c>
      <c r="I371" s="3">
        <f>WEEKDAY(Table2[[#This Row],[Date]])</f>
        <v>6</v>
      </c>
      <c r="J371">
        <f>Table2[[#This Row],[Credit]]-Table2[[#This Row],[Debit]]</f>
        <v>-5</v>
      </c>
    </row>
    <row r="372" spans="1:10" x14ac:dyDescent="0.45">
      <c r="A372" s="1">
        <v>44429</v>
      </c>
      <c r="B372" t="s">
        <v>11</v>
      </c>
      <c r="C372">
        <v>5</v>
      </c>
      <c r="E372" t="s">
        <v>12</v>
      </c>
      <c r="F372" t="s">
        <v>13</v>
      </c>
      <c r="G372" t="s">
        <v>14</v>
      </c>
      <c r="H372">
        <f>MONTH(Table2[[#This Row],[Date]])</f>
        <v>8</v>
      </c>
      <c r="I372" s="3">
        <f>WEEKDAY(Table2[[#This Row],[Date]])</f>
        <v>7</v>
      </c>
      <c r="J372">
        <f>Table2[[#This Row],[Credit]]-Table2[[#This Row],[Debit]]</f>
        <v>-5</v>
      </c>
    </row>
    <row r="373" spans="1:10" x14ac:dyDescent="0.45">
      <c r="A373" s="1">
        <v>44429</v>
      </c>
      <c r="B373" t="s">
        <v>21</v>
      </c>
      <c r="C373">
        <v>177</v>
      </c>
      <c r="E373" t="s">
        <v>22</v>
      </c>
      <c r="F373" t="s">
        <v>17</v>
      </c>
      <c r="G373" t="s">
        <v>14</v>
      </c>
      <c r="H373">
        <f>MONTH(Table2[[#This Row],[Date]])</f>
        <v>8</v>
      </c>
      <c r="I373" s="3">
        <f>WEEKDAY(Table2[[#This Row],[Date]])</f>
        <v>7</v>
      </c>
      <c r="J373">
        <f>Table2[[#This Row],[Credit]]-Table2[[#This Row],[Debit]]</f>
        <v>-177</v>
      </c>
    </row>
    <row r="374" spans="1:10" x14ac:dyDescent="0.45">
      <c r="A374" s="1">
        <v>44430</v>
      </c>
      <c r="B374" t="s">
        <v>44</v>
      </c>
      <c r="C374">
        <v>44.2</v>
      </c>
      <c r="E374" t="s">
        <v>33</v>
      </c>
      <c r="F374" t="s">
        <v>13</v>
      </c>
      <c r="G374" t="s">
        <v>14</v>
      </c>
      <c r="H374">
        <f>MONTH(Table2[[#This Row],[Date]])</f>
        <v>8</v>
      </c>
      <c r="I374" s="3">
        <f>WEEKDAY(Table2[[#This Row],[Date]])</f>
        <v>1</v>
      </c>
      <c r="J374">
        <f>Table2[[#This Row],[Credit]]-Table2[[#This Row],[Debit]]</f>
        <v>-44.2</v>
      </c>
    </row>
    <row r="375" spans="1:10" x14ac:dyDescent="0.45">
      <c r="A375" s="1">
        <v>44431</v>
      </c>
      <c r="B375" t="s">
        <v>45</v>
      </c>
      <c r="C375">
        <v>19.2</v>
      </c>
      <c r="E375" t="s">
        <v>33</v>
      </c>
      <c r="F375" t="s">
        <v>13</v>
      </c>
      <c r="G375" t="s">
        <v>14</v>
      </c>
      <c r="H375">
        <f>MONTH(Table2[[#This Row],[Date]])</f>
        <v>8</v>
      </c>
      <c r="I375" s="3">
        <f>WEEKDAY(Table2[[#This Row],[Date]])</f>
        <v>2</v>
      </c>
      <c r="J375">
        <f>Table2[[#This Row],[Credit]]-Table2[[#This Row],[Debit]]</f>
        <v>-19.2</v>
      </c>
    </row>
    <row r="376" spans="1:10" x14ac:dyDescent="0.45">
      <c r="A376" s="1">
        <v>44432</v>
      </c>
      <c r="B376" t="s">
        <v>46</v>
      </c>
      <c r="C376">
        <v>55</v>
      </c>
      <c r="E376" t="s">
        <v>47</v>
      </c>
      <c r="F376" t="s">
        <v>48</v>
      </c>
      <c r="G376" t="s">
        <v>14</v>
      </c>
      <c r="H376">
        <f>MONTH(Table2[[#This Row],[Date]])</f>
        <v>8</v>
      </c>
      <c r="I376" s="3">
        <f>WEEKDAY(Table2[[#This Row],[Date]])</f>
        <v>3</v>
      </c>
      <c r="J376">
        <f>Table2[[#This Row],[Credit]]-Table2[[#This Row],[Debit]]</f>
        <v>-55</v>
      </c>
    </row>
    <row r="377" spans="1:10" x14ac:dyDescent="0.45">
      <c r="A377" s="1">
        <v>44432</v>
      </c>
      <c r="B377" t="s">
        <v>25</v>
      </c>
      <c r="C377">
        <v>69.700000000000017</v>
      </c>
      <c r="E377" t="s">
        <v>26</v>
      </c>
      <c r="F377" t="s">
        <v>20</v>
      </c>
      <c r="G377" t="s">
        <v>14</v>
      </c>
      <c r="H377">
        <f>MONTH(Table2[[#This Row],[Date]])</f>
        <v>8</v>
      </c>
      <c r="I377" s="3">
        <f>WEEKDAY(Table2[[#This Row],[Date]])</f>
        <v>3</v>
      </c>
      <c r="J377">
        <f>Table2[[#This Row],[Credit]]-Table2[[#This Row],[Debit]]</f>
        <v>-69.700000000000017</v>
      </c>
    </row>
    <row r="378" spans="1:10" x14ac:dyDescent="0.45">
      <c r="A378" s="1">
        <v>44432</v>
      </c>
      <c r="B378" t="s">
        <v>11</v>
      </c>
      <c r="C378">
        <v>5</v>
      </c>
      <c r="E378" t="s">
        <v>12</v>
      </c>
      <c r="F378" t="s">
        <v>13</v>
      </c>
      <c r="G378" t="s">
        <v>14</v>
      </c>
      <c r="H378">
        <f>MONTH(Table2[[#This Row],[Date]])</f>
        <v>8</v>
      </c>
      <c r="I378" s="3">
        <f>WEEKDAY(Table2[[#This Row],[Date]])</f>
        <v>3</v>
      </c>
      <c r="J378">
        <f>Table2[[#This Row],[Credit]]-Table2[[#This Row],[Debit]]</f>
        <v>-5</v>
      </c>
    </row>
    <row r="379" spans="1:10" x14ac:dyDescent="0.45">
      <c r="A379" s="1">
        <v>44433</v>
      </c>
      <c r="B379" t="s">
        <v>11</v>
      </c>
      <c r="C379">
        <v>5</v>
      </c>
      <c r="E379" t="s">
        <v>12</v>
      </c>
      <c r="F379" t="s">
        <v>13</v>
      </c>
      <c r="G379" t="s">
        <v>14</v>
      </c>
      <c r="H379">
        <f>MONTH(Table2[[#This Row],[Date]])</f>
        <v>8</v>
      </c>
      <c r="I379" s="3">
        <f>WEEKDAY(Table2[[#This Row],[Date]])</f>
        <v>4</v>
      </c>
      <c r="J379">
        <f>Table2[[#This Row],[Credit]]-Table2[[#This Row],[Debit]]</f>
        <v>-5</v>
      </c>
    </row>
    <row r="380" spans="1:10" x14ac:dyDescent="0.45">
      <c r="A380" s="1">
        <v>44434</v>
      </c>
      <c r="B380" t="s">
        <v>11</v>
      </c>
      <c r="C380">
        <v>5</v>
      </c>
      <c r="E380" t="s">
        <v>12</v>
      </c>
      <c r="F380" t="s">
        <v>13</v>
      </c>
      <c r="G380" t="s">
        <v>14</v>
      </c>
      <c r="H380">
        <f>MONTH(Table2[[#This Row],[Date]])</f>
        <v>8</v>
      </c>
      <c r="I380" s="3">
        <f>WEEKDAY(Table2[[#This Row],[Date]])</f>
        <v>5</v>
      </c>
      <c r="J380">
        <f>Table2[[#This Row],[Credit]]-Table2[[#This Row],[Debit]]</f>
        <v>-5</v>
      </c>
    </row>
    <row r="381" spans="1:10" x14ac:dyDescent="0.45">
      <c r="A381" s="1">
        <v>44435</v>
      </c>
      <c r="B381" t="s">
        <v>11</v>
      </c>
      <c r="C381">
        <v>5</v>
      </c>
      <c r="E381" t="s">
        <v>12</v>
      </c>
      <c r="F381" t="s">
        <v>13</v>
      </c>
      <c r="G381" t="s">
        <v>14</v>
      </c>
      <c r="H381">
        <f>MONTH(Table2[[#This Row],[Date]])</f>
        <v>8</v>
      </c>
      <c r="I381" s="3">
        <f>WEEKDAY(Table2[[#This Row],[Date]])</f>
        <v>6</v>
      </c>
      <c r="J381">
        <f>Table2[[#This Row],[Credit]]-Table2[[#This Row],[Debit]]</f>
        <v>-5</v>
      </c>
    </row>
    <row r="382" spans="1:10" x14ac:dyDescent="0.45">
      <c r="A382" s="1">
        <v>44436</v>
      </c>
      <c r="B382" t="s">
        <v>11</v>
      </c>
      <c r="C382">
        <v>5</v>
      </c>
      <c r="E382" t="s">
        <v>12</v>
      </c>
      <c r="F382" t="s">
        <v>13</v>
      </c>
      <c r="G382" t="s">
        <v>14</v>
      </c>
      <c r="H382">
        <f>MONTH(Table2[[#This Row],[Date]])</f>
        <v>8</v>
      </c>
      <c r="I382" s="3">
        <f>WEEKDAY(Table2[[#This Row],[Date]])</f>
        <v>7</v>
      </c>
      <c r="J382">
        <f>Table2[[#This Row],[Credit]]-Table2[[#This Row],[Debit]]</f>
        <v>-5</v>
      </c>
    </row>
    <row r="383" spans="1:10" x14ac:dyDescent="0.45">
      <c r="A383" s="1">
        <v>44436</v>
      </c>
      <c r="B383" t="s">
        <v>21</v>
      </c>
      <c r="C383">
        <v>117</v>
      </c>
      <c r="E383" t="s">
        <v>22</v>
      </c>
      <c r="F383" t="s">
        <v>17</v>
      </c>
      <c r="G383" t="s">
        <v>14</v>
      </c>
      <c r="H383">
        <f>MONTH(Table2[[#This Row],[Date]])</f>
        <v>8</v>
      </c>
      <c r="I383" s="3">
        <f>WEEKDAY(Table2[[#This Row],[Date]])</f>
        <v>7</v>
      </c>
      <c r="J383">
        <f>Table2[[#This Row],[Credit]]-Table2[[#This Row],[Debit]]</f>
        <v>-117</v>
      </c>
    </row>
    <row r="384" spans="1:10" x14ac:dyDescent="0.45">
      <c r="A384" s="1">
        <v>44437</v>
      </c>
      <c r="B384" t="s">
        <v>49</v>
      </c>
      <c r="C384">
        <v>131.9</v>
      </c>
      <c r="E384" t="s">
        <v>31</v>
      </c>
      <c r="F384" t="s">
        <v>29</v>
      </c>
      <c r="G384" t="s">
        <v>14</v>
      </c>
      <c r="H384">
        <f>MONTH(Table2[[#This Row],[Date]])</f>
        <v>8</v>
      </c>
      <c r="I384" s="3">
        <f>WEEKDAY(Table2[[#This Row],[Date]])</f>
        <v>1</v>
      </c>
      <c r="J384">
        <f>Table2[[#This Row],[Credit]]-Table2[[#This Row],[Debit]]</f>
        <v>-131.9</v>
      </c>
    </row>
    <row r="385" spans="1:10" x14ac:dyDescent="0.45">
      <c r="A385" s="1">
        <v>44437</v>
      </c>
      <c r="B385" t="s">
        <v>50</v>
      </c>
      <c r="C385">
        <v>182.39999999999998</v>
      </c>
      <c r="E385" t="s">
        <v>28</v>
      </c>
      <c r="F385" t="s">
        <v>29</v>
      </c>
      <c r="G385" t="s">
        <v>14</v>
      </c>
      <c r="H385">
        <f>MONTH(Table2[[#This Row],[Date]])</f>
        <v>8</v>
      </c>
      <c r="I385" s="3">
        <f>WEEKDAY(Table2[[#This Row],[Date]])</f>
        <v>1</v>
      </c>
      <c r="J385">
        <f>Table2[[#This Row],[Credit]]-Table2[[#This Row],[Debit]]</f>
        <v>-182.39999999999998</v>
      </c>
    </row>
    <row r="386" spans="1:10" x14ac:dyDescent="0.45">
      <c r="A386" s="1">
        <v>44438</v>
      </c>
      <c r="B386" t="s">
        <v>30</v>
      </c>
      <c r="C386">
        <v>152.29999999999998</v>
      </c>
      <c r="E386" t="s">
        <v>31</v>
      </c>
      <c r="F386" t="s">
        <v>29</v>
      </c>
      <c r="G386" t="s">
        <v>14</v>
      </c>
      <c r="H386">
        <f>MONTH(Table2[[#This Row],[Date]])</f>
        <v>8</v>
      </c>
      <c r="I386" s="3">
        <f>WEEKDAY(Table2[[#This Row],[Date]])</f>
        <v>2</v>
      </c>
      <c r="J386">
        <f>Table2[[#This Row],[Credit]]-Table2[[#This Row],[Debit]]</f>
        <v>-152.29999999999998</v>
      </c>
    </row>
    <row r="387" spans="1:10" x14ac:dyDescent="0.45">
      <c r="A387" s="1">
        <v>44438</v>
      </c>
      <c r="B387" t="s">
        <v>34</v>
      </c>
      <c r="C387">
        <v>30.300000000000004</v>
      </c>
      <c r="E387" t="s">
        <v>35</v>
      </c>
      <c r="F387" t="s">
        <v>20</v>
      </c>
      <c r="G387" t="s">
        <v>14</v>
      </c>
      <c r="H387">
        <f>MONTH(Table2[[#This Row],[Date]])</f>
        <v>8</v>
      </c>
      <c r="I387" s="3">
        <f>WEEKDAY(Table2[[#This Row],[Date]])</f>
        <v>2</v>
      </c>
      <c r="J387">
        <f>Table2[[#This Row],[Credit]]-Table2[[#This Row],[Debit]]</f>
        <v>-30.300000000000004</v>
      </c>
    </row>
    <row r="388" spans="1:10" x14ac:dyDescent="0.45">
      <c r="A388" s="1">
        <v>44438</v>
      </c>
      <c r="B388" t="s">
        <v>51</v>
      </c>
      <c r="C388">
        <v>15</v>
      </c>
      <c r="E388" t="s">
        <v>33</v>
      </c>
      <c r="F388" t="s">
        <v>13</v>
      </c>
      <c r="G388" t="s">
        <v>14</v>
      </c>
      <c r="H388">
        <f>MONTH(Table2[[#This Row],[Date]])</f>
        <v>8</v>
      </c>
      <c r="I388" s="3">
        <f>WEEKDAY(Table2[[#This Row],[Date]])</f>
        <v>2</v>
      </c>
      <c r="J388">
        <f>Table2[[#This Row],[Credit]]-Table2[[#This Row],[Debit]]</f>
        <v>-15</v>
      </c>
    </row>
    <row r="389" spans="1:10" x14ac:dyDescent="0.45">
      <c r="A389" s="1">
        <v>44439</v>
      </c>
      <c r="B389" t="s">
        <v>11</v>
      </c>
      <c r="C389">
        <v>5</v>
      </c>
      <c r="E389" t="s">
        <v>12</v>
      </c>
      <c r="F389" t="s">
        <v>13</v>
      </c>
      <c r="G389" t="s">
        <v>14</v>
      </c>
      <c r="H389">
        <f>MONTH(Table2[[#This Row],[Date]])</f>
        <v>8</v>
      </c>
      <c r="I389" s="3">
        <f>WEEKDAY(Table2[[#This Row],[Date]])</f>
        <v>3</v>
      </c>
      <c r="J389">
        <f>Table2[[#This Row],[Credit]]-Table2[[#This Row],[Debit]]</f>
        <v>-5</v>
      </c>
    </row>
    <row r="390" spans="1:10" x14ac:dyDescent="0.45">
      <c r="A390" s="1">
        <v>44441</v>
      </c>
      <c r="B390" t="s">
        <v>11</v>
      </c>
      <c r="C390">
        <v>5</v>
      </c>
      <c r="E390" t="s">
        <v>12</v>
      </c>
      <c r="F390" t="s">
        <v>13</v>
      </c>
      <c r="G390" t="s">
        <v>14</v>
      </c>
      <c r="H390">
        <f>MONTH(Table2[[#This Row],[Date]])</f>
        <v>9</v>
      </c>
      <c r="I390" s="3">
        <f>WEEKDAY(Table2[[#This Row],[Date]])</f>
        <v>5</v>
      </c>
      <c r="J390">
        <f>Table2[[#This Row],[Credit]]-Table2[[#This Row],[Debit]]</f>
        <v>-5</v>
      </c>
    </row>
    <row r="391" spans="1:10" x14ac:dyDescent="0.45">
      <c r="A391" s="1">
        <v>44441</v>
      </c>
      <c r="B391" t="s">
        <v>8</v>
      </c>
      <c r="D391">
        <v>5000</v>
      </c>
      <c r="E391" t="s">
        <v>100</v>
      </c>
      <c r="F391" t="s">
        <v>9</v>
      </c>
      <c r="G391" t="s">
        <v>10</v>
      </c>
      <c r="H391">
        <f>MONTH(Table2[[#This Row],[Date]])</f>
        <v>9</v>
      </c>
      <c r="I391" s="3">
        <f>WEEKDAY(Table2[[#This Row],[Date]])</f>
        <v>5</v>
      </c>
      <c r="J391">
        <f>Table2[[#This Row],[Credit]]-Table2[[#This Row],[Debit]]</f>
        <v>5000</v>
      </c>
    </row>
    <row r="392" spans="1:10" x14ac:dyDescent="0.45">
      <c r="A392" s="1">
        <v>44442</v>
      </c>
      <c r="B392" t="s">
        <v>11</v>
      </c>
      <c r="C392">
        <v>5</v>
      </c>
      <c r="E392" t="s">
        <v>12</v>
      </c>
      <c r="F392" t="s">
        <v>13</v>
      </c>
      <c r="G392" t="s">
        <v>14</v>
      </c>
      <c r="H392">
        <f>MONTH(Table2[[#This Row],[Date]])</f>
        <v>9</v>
      </c>
      <c r="I392" s="3">
        <f>WEEKDAY(Table2[[#This Row],[Date]])</f>
        <v>6</v>
      </c>
      <c r="J392">
        <f>Table2[[#This Row],[Credit]]-Table2[[#This Row],[Debit]]</f>
        <v>-5</v>
      </c>
    </row>
    <row r="393" spans="1:10" x14ac:dyDescent="0.45">
      <c r="A393" s="1">
        <v>44444</v>
      </c>
      <c r="B393" t="s">
        <v>15</v>
      </c>
      <c r="C393">
        <v>900</v>
      </c>
      <c r="E393" t="s">
        <v>16</v>
      </c>
      <c r="F393" t="s">
        <v>17</v>
      </c>
      <c r="G393" t="s">
        <v>14</v>
      </c>
      <c r="H393">
        <f>MONTH(Table2[[#This Row],[Date]])</f>
        <v>9</v>
      </c>
      <c r="I393" s="3">
        <f>WEEKDAY(Table2[[#This Row],[Date]])</f>
        <v>1</v>
      </c>
      <c r="J393">
        <f>Table2[[#This Row],[Credit]]-Table2[[#This Row],[Debit]]</f>
        <v>-900</v>
      </c>
    </row>
    <row r="394" spans="1:10" x14ac:dyDescent="0.45">
      <c r="A394" s="1">
        <v>44444</v>
      </c>
      <c r="B394" t="s">
        <v>18</v>
      </c>
      <c r="C394">
        <v>150</v>
      </c>
      <c r="E394" t="s">
        <v>19</v>
      </c>
      <c r="F394" t="s">
        <v>20</v>
      </c>
      <c r="G394" t="s">
        <v>14</v>
      </c>
      <c r="H394">
        <f>MONTH(Table2[[#This Row],[Date]])</f>
        <v>9</v>
      </c>
      <c r="I394" s="3">
        <f>WEEKDAY(Table2[[#This Row],[Date]])</f>
        <v>1</v>
      </c>
      <c r="J394">
        <f>Table2[[#This Row],[Credit]]-Table2[[#This Row],[Debit]]</f>
        <v>-150</v>
      </c>
    </row>
    <row r="395" spans="1:10" x14ac:dyDescent="0.45">
      <c r="A395" s="1">
        <v>44444</v>
      </c>
      <c r="B395" t="s">
        <v>11</v>
      </c>
      <c r="C395">
        <v>5</v>
      </c>
      <c r="E395" t="s">
        <v>12</v>
      </c>
      <c r="F395" t="s">
        <v>13</v>
      </c>
      <c r="G395" t="s">
        <v>14</v>
      </c>
      <c r="H395">
        <f>MONTH(Table2[[#This Row],[Date]])</f>
        <v>9</v>
      </c>
      <c r="I395" s="3">
        <f>WEEKDAY(Table2[[#This Row],[Date]])</f>
        <v>1</v>
      </c>
      <c r="J395">
        <f>Table2[[#This Row],[Credit]]-Table2[[#This Row],[Debit]]</f>
        <v>-5</v>
      </c>
    </row>
    <row r="396" spans="1:10" x14ac:dyDescent="0.45">
      <c r="A396" s="1">
        <v>44444</v>
      </c>
      <c r="B396" t="s">
        <v>11</v>
      </c>
      <c r="C396">
        <v>5</v>
      </c>
      <c r="E396" t="s">
        <v>12</v>
      </c>
      <c r="F396" t="s">
        <v>13</v>
      </c>
      <c r="G396" t="s">
        <v>14</v>
      </c>
      <c r="H396">
        <f>MONTH(Table2[[#This Row],[Date]])</f>
        <v>9</v>
      </c>
      <c r="I396" s="3">
        <f>WEEKDAY(Table2[[#This Row],[Date]])</f>
        <v>1</v>
      </c>
      <c r="J396">
        <f>Table2[[#This Row],[Credit]]-Table2[[#This Row],[Debit]]</f>
        <v>-5</v>
      </c>
    </row>
    <row r="397" spans="1:10" x14ac:dyDescent="0.45">
      <c r="A397" s="1">
        <v>44445</v>
      </c>
      <c r="B397" t="s">
        <v>11</v>
      </c>
      <c r="C397">
        <v>5</v>
      </c>
      <c r="E397" t="s">
        <v>12</v>
      </c>
      <c r="F397" t="s">
        <v>13</v>
      </c>
      <c r="G397" t="s">
        <v>14</v>
      </c>
      <c r="H397">
        <f>MONTH(Table2[[#This Row],[Date]])</f>
        <v>9</v>
      </c>
      <c r="I397" s="3">
        <f>WEEKDAY(Table2[[#This Row],[Date]])</f>
        <v>2</v>
      </c>
      <c r="J397">
        <f>Table2[[#This Row],[Credit]]-Table2[[#This Row],[Debit]]</f>
        <v>-5</v>
      </c>
    </row>
    <row r="398" spans="1:10" x14ac:dyDescent="0.45">
      <c r="A398" s="1">
        <v>44446</v>
      </c>
      <c r="B398" t="s">
        <v>11</v>
      </c>
      <c r="C398">
        <v>5</v>
      </c>
      <c r="E398" t="s">
        <v>12</v>
      </c>
      <c r="F398" t="s">
        <v>13</v>
      </c>
      <c r="G398" t="s">
        <v>14</v>
      </c>
      <c r="H398">
        <f>MONTH(Table2[[#This Row],[Date]])</f>
        <v>9</v>
      </c>
      <c r="I398" s="3">
        <f>WEEKDAY(Table2[[#This Row],[Date]])</f>
        <v>3</v>
      </c>
      <c r="J398">
        <f>Table2[[#This Row],[Credit]]-Table2[[#This Row],[Debit]]</f>
        <v>-5</v>
      </c>
    </row>
    <row r="399" spans="1:10" x14ac:dyDescent="0.45">
      <c r="A399" s="1">
        <v>44446</v>
      </c>
      <c r="B399" t="s">
        <v>21</v>
      </c>
      <c r="C399">
        <v>163.39999999999998</v>
      </c>
      <c r="E399" t="s">
        <v>22</v>
      </c>
      <c r="F399" t="s">
        <v>17</v>
      </c>
      <c r="G399" t="s">
        <v>14</v>
      </c>
      <c r="H399">
        <f>MONTH(Table2[[#This Row],[Date]])</f>
        <v>9</v>
      </c>
      <c r="I399" s="3">
        <f>WEEKDAY(Table2[[#This Row],[Date]])</f>
        <v>3</v>
      </c>
      <c r="J399">
        <f>Table2[[#This Row],[Credit]]-Table2[[#This Row],[Debit]]</f>
        <v>-163.39999999999998</v>
      </c>
    </row>
    <row r="400" spans="1:10" x14ac:dyDescent="0.45">
      <c r="A400" s="1">
        <v>44449</v>
      </c>
      <c r="B400" t="s">
        <v>23</v>
      </c>
      <c r="C400">
        <v>58.1</v>
      </c>
      <c r="E400" t="s">
        <v>24</v>
      </c>
      <c r="F400" t="s">
        <v>17</v>
      </c>
      <c r="G400" t="s">
        <v>14</v>
      </c>
      <c r="H400">
        <f>MONTH(Table2[[#This Row],[Date]])</f>
        <v>9</v>
      </c>
      <c r="I400" s="3">
        <f>WEEKDAY(Table2[[#This Row],[Date]])</f>
        <v>6</v>
      </c>
      <c r="J400">
        <f>Table2[[#This Row],[Credit]]-Table2[[#This Row],[Debit]]</f>
        <v>-58.1</v>
      </c>
    </row>
    <row r="401" spans="1:10" x14ac:dyDescent="0.45">
      <c r="A401" s="1">
        <v>44449</v>
      </c>
      <c r="B401" t="s">
        <v>11</v>
      </c>
      <c r="C401">
        <v>5</v>
      </c>
      <c r="E401" t="s">
        <v>12</v>
      </c>
      <c r="F401" t="s">
        <v>13</v>
      </c>
      <c r="G401" t="s">
        <v>14</v>
      </c>
      <c r="H401">
        <f>MONTH(Table2[[#This Row],[Date]])</f>
        <v>9</v>
      </c>
      <c r="I401" s="3">
        <f>WEEKDAY(Table2[[#This Row],[Date]])</f>
        <v>6</v>
      </c>
      <c r="J401">
        <f>Table2[[#This Row],[Credit]]-Table2[[#This Row],[Debit]]</f>
        <v>-5</v>
      </c>
    </row>
    <row r="402" spans="1:10" x14ac:dyDescent="0.45">
      <c r="A402" s="1">
        <v>44450</v>
      </c>
      <c r="B402" t="s">
        <v>11</v>
      </c>
      <c r="C402">
        <v>5</v>
      </c>
      <c r="E402" t="s">
        <v>12</v>
      </c>
      <c r="F402" t="s">
        <v>13</v>
      </c>
      <c r="G402" t="s">
        <v>14</v>
      </c>
      <c r="H402">
        <f>MONTH(Table2[[#This Row],[Date]])</f>
        <v>9</v>
      </c>
      <c r="I402" s="3">
        <f>WEEKDAY(Table2[[#This Row],[Date]])</f>
        <v>7</v>
      </c>
      <c r="J402">
        <f>Table2[[#This Row],[Credit]]-Table2[[#This Row],[Debit]]</f>
        <v>-5</v>
      </c>
    </row>
    <row r="403" spans="1:10" x14ac:dyDescent="0.45">
      <c r="A403" s="1">
        <v>44451</v>
      </c>
      <c r="B403" t="s">
        <v>25</v>
      </c>
      <c r="C403">
        <v>85.299999999999983</v>
      </c>
      <c r="E403" t="s">
        <v>26</v>
      </c>
      <c r="F403" t="s">
        <v>20</v>
      </c>
      <c r="G403" t="s">
        <v>14</v>
      </c>
      <c r="H403">
        <f>MONTH(Table2[[#This Row],[Date]])</f>
        <v>9</v>
      </c>
      <c r="I403" s="3">
        <f>WEEKDAY(Table2[[#This Row],[Date]])</f>
        <v>1</v>
      </c>
      <c r="J403">
        <f>Table2[[#This Row],[Credit]]-Table2[[#This Row],[Debit]]</f>
        <v>-85.299999999999983</v>
      </c>
    </row>
    <row r="404" spans="1:10" x14ac:dyDescent="0.45">
      <c r="A404" s="1">
        <v>44451</v>
      </c>
      <c r="B404" t="s">
        <v>11</v>
      </c>
      <c r="C404">
        <v>5</v>
      </c>
      <c r="E404" t="s">
        <v>12</v>
      </c>
      <c r="F404" t="s">
        <v>13</v>
      </c>
      <c r="G404" t="s">
        <v>14</v>
      </c>
      <c r="H404">
        <f>MONTH(Table2[[#This Row],[Date]])</f>
        <v>9</v>
      </c>
      <c r="I404" s="3">
        <f>WEEKDAY(Table2[[#This Row],[Date]])</f>
        <v>1</v>
      </c>
      <c r="J404">
        <f>Table2[[#This Row],[Credit]]-Table2[[#This Row],[Debit]]</f>
        <v>-5</v>
      </c>
    </row>
    <row r="405" spans="1:10" x14ac:dyDescent="0.45">
      <c r="A405" s="1">
        <v>44452</v>
      </c>
      <c r="B405" t="s">
        <v>11</v>
      </c>
      <c r="C405">
        <v>5</v>
      </c>
      <c r="E405" t="s">
        <v>12</v>
      </c>
      <c r="F405" t="s">
        <v>13</v>
      </c>
      <c r="G405" t="s">
        <v>14</v>
      </c>
      <c r="H405">
        <f>MONTH(Table2[[#This Row],[Date]])</f>
        <v>9</v>
      </c>
      <c r="I405" s="3">
        <f>WEEKDAY(Table2[[#This Row],[Date]])</f>
        <v>2</v>
      </c>
      <c r="J405">
        <f>Table2[[#This Row],[Credit]]-Table2[[#This Row],[Debit]]</f>
        <v>-5</v>
      </c>
    </row>
    <row r="406" spans="1:10" x14ac:dyDescent="0.45">
      <c r="A406" s="1">
        <v>44453</v>
      </c>
      <c r="B406" t="s">
        <v>21</v>
      </c>
      <c r="C406">
        <v>143</v>
      </c>
      <c r="E406" t="s">
        <v>22</v>
      </c>
      <c r="F406" t="s">
        <v>17</v>
      </c>
      <c r="G406" t="s">
        <v>14</v>
      </c>
      <c r="H406">
        <f>MONTH(Table2[[#This Row],[Date]])</f>
        <v>9</v>
      </c>
      <c r="I406" s="3">
        <f>WEEKDAY(Table2[[#This Row],[Date]])</f>
        <v>3</v>
      </c>
      <c r="J406">
        <f>Table2[[#This Row],[Credit]]-Table2[[#This Row],[Debit]]</f>
        <v>-143</v>
      </c>
    </row>
    <row r="407" spans="1:10" x14ac:dyDescent="0.45">
      <c r="A407" s="1">
        <v>44453</v>
      </c>
      <c r="B407" t="s">
        <v>11</v>
      </c>
      <c r="C407">
        <v>5</v>
      </c>
      <c r="E407" t="s">
        <v>12</v>
      </c>
      <c r="F407" t="s">
        <v>13</v>
      </c>
      <c r="G407" t="s">
        <v>14</v>
      </c>
      <c r="H407">
        <f>MONTH(Table2[[#This Row],[Date]])</f>
        <v>9</v>
      </c>
      <c r="I407" s="3">
        <f>WEEKDAY(Table2[[#This Row],[Date]])</f>
        <v>3</v>
      </c>
      <c r="J407">
        <f>Table2[[#This Row],[Credit]]-Table2[[#This Row],[Debit]]</f>
        <v>-5</v>
      </c>
    </row>
    <row r="408" spans="1:10" x14ac:dyDescent="0.45">
      <c r="A408" s="1">
        <v>44454</v>
      </c>
      <c r="B408" t="s">
        <v>11</v>
      </c>
      <c r="C408">
        <v>5</v>
      </c>
      <c r="E408" t="s">
        <v>12</v>
      </c>
      <c r="F408" t="s">
        <v>13</v>
      </c>
      <c r="G408" t="s">
        <v>14</v>
      </c>
      <c r="H408">
        <f>MONTH(Table2[[#This Row],[Date]])</f>
        <v>9</v>
      </c>
      <c r="I408" s="3">
        <f>WEEKDAY(Table2[[#This Row],[Date]])</f>
        <v>4</v>
      </c>
      <c r="J408">
        <f>Table2[[#This Row],[Credit]]-Table2[[#This Row],[Debit]]</f>
        <v>-5</v>
      </c>
    </row>
    <row r="409" spans="1:10" x14ac:dyDescent="0.45">
      <c r="A409" s="1">
        <v>44454</v>
      </c>
      <c r="B409" t="s">
        <v>27</v>
      </c>
      <c r="C409">
        <v>47.8</v>
      </c>
      <c r="E409" t="s">
        <v>28</v>
      </c>
      <c r="F409" t="s">
        <v>29</v>
      </c>
      <c r="G409" t="s">
        <v>14</v>
      </c>
      <c r="H409">
        <f>MONTH(Table2[[#This Row],[Date]])</f>
        <v>9</v>
      </c>
      <c r="I409" s="3">
        <f>WEEKDAY(Table2[[#This Row],[Date]])</f>
        <v>4</v>
      </c>
      <c r="J409">
        <f>Table2[[#This Row],[Credit]]-Table2[[#This Row],[Debit]]</f>
        <v>-47.8</v>
      </c>
    </row>
    <row r="410" spans="1:10" x14ac:dyDescent="0.45">
      <c r="A410" s="1">
        <v>44454</v>
      </c>
      <c r="B410" t="s">
        <v>30</v>
      </c>
      <c r="C410">
        <v>105.80000000000001</v>
      </c>
      <c r="E410" t="s">
        <v>31</v>
      </c>
      <c r="F410" t="s">
        <v>29</v>
      </c>
      <c r="G410" t="s">
        <v>14</v>
      </c>
      <c r="H410">
        <f>MONTH(Table2[[#This Row],[Date]])</f>
        <v>9</v>
      </c>
      <c r="I410" s="3">
        <f>WEEKDAY(Table2[[#This Row],[Date]])</f>
        <v>4</v>
      </c>
      <c r="J410">
        <f>Table2[[#This Row],[Credit]]-Table2[[#This Row],[Debit]]</f>
        <v>-105.80000000000001</v>
      </c>
    </row>
    <row r="411" spans="1:10" x14ac:dyDescent="0.45">
      <c r="A411" s="1">
        <v>44454</v>
      </c>
      <c r="B411" t="s">
        <v>32</v>
      </c>
      <c r="C411">
        <v>60.1</v>
      </c>
      <c r="E411" t="s">
        <v>33</v>
      </c>
      <c r="F411" t="s">
        <v>13</v>
      </c>
      <c r="G411" t="s">
        <v>14</v>
      </c>
      <c r="H411">
        <f>MONTH(Table2[[#This Row],[Date]])</f>
        <v>9</v>
      </c>
      <c r="I411" s="3">
        <f>WEEKDAY(Table2[[#This Row],[Date]])</f>
        <v>4</v>
      </c>
      <c r="J411">
        <f>Table2[[#This Row],[Credit]]-Table2[[#This Row],[Debit]]</f>
        <v>-60.1</v>
      </c>
    </row>
    <row r="412" spans="1:10" x14ac:dyDescent="0.45">
      <c r="A412" s="1">
        <v>44455</v>
      </c>
      <c r="B412" t="s">
        <v>34</v>
      </c>
      <c r="C412">
        <v>36.200000000000003</v>
      </c>
      <c r="E412" t="s">
        <v>35</v>
      </c>
      <c r="F412" t="s">
        <v>20</v>
      </c>
      <c r="G412" t="s">
        <v>14</v>
      </c>
      <c r="H412">
        <f>MONTH(Table2[[#This Row],[Date]])</f>
        <v>9</v>
      </c>
      <c r="I412" s="3">
        <f>WEEKDAY(Table2[[#This Row],[Date]])</f>
        <v>5</v>
      </c>
      <c r="J412">
        <f>Table2[[#This Row],[Credit]]-Table2[[#This Row],[Debit]]</f>
        <v>-36.200000000000003</v>
      </c>
    </row>
    <row r="413" spans="1:10" x14ac:dyDescent="0.45">
      <c r="A413" s="1">
        <v>44456</v>
      </c>
      <c r="B413" t="s">
        <v>36</v>
      </c>
      <c r="D413">
        <v>100</v>
      </c>
      <c r="E413" t="s">
        <v>37</v>
      </c>
      <c r="F413" t="s">
        <v>38</v>
      </c>
      <c r="G413" t="s">
        <v>10</v>
      </c>
      <c r="H413">
        <f>MONTH(Table2[[#This Row],[Date]])</f>
        <v>9</v>
      </c>
      <c r="I413" s="3">
        <f>WEEKDAY(Table2[[#This Row],[Date]])</f>
        <v>6</v>
      </c>
      <c r="J413">
        <f>Table2[[#This Row],[Credit]]-Table2[[#This Row],[Debit]]</f>
        <v>100</v>
      </c>
    </row>
    <row r="414" spans="1:10" x14ac:dyDescent="0.45">
      <c r="A414" s="1">
        <v>44456</v>
      </c>
      <c r="B414" t="s">
        <v>11</v>
      </c>
      <c r="C414">
        <v>5</v>
      </c>
      <c r="E414" t="s">
        <v>12</v>
      </c>
      <c r="F414" t="s">
        <v>13</v>
      </c>
      <c r="G414" t="s">
        <v>14</v>
      </c>
      <c r="H414">
        <f>MONTH(Table2[[#This Row],[Date]])</f>
        <v>9</v>
      </c>
      <c r="I414" s="3">
        <f>WEEKDAY(Table2[[#This Row],[Date]])</f>
        <v>6</v>
      </c>
      <c r="J414">
        <f>Table2[[#This Row],[Credit]]-Table2[[#This Row],[Debit]]</f>
        <v>-5</v>
      </c>
    </row>
    <row r="415" spans="1:10" x14ac:dyDescent="0.45">
      <c r="A415" s="1">
        <v>44457</v>
      </c>
      <c r="B415" t="s">
        <v>11</v>
      </c>
      <c r="C415">
        <v>5</v>
      </c>
      <c r="E415" t="s">
        <v>12</v>
      </c>
      <c r="F415" t="s">
        <v>13</v>
      </c>
      <c r="G415" t="s">
        <v>14</v>
      </c>
      <c r="H415">
        <f>MONTH(Table2[[#This Row],[Date]])</f>
        <v>9</v>
      </c>
      <c r="I415" s="3">
        <f>WEEKDAY(Table2[[#This Row],[Date]])</f>
        <v>7</v>
      </c>
      <c r="J415">
        <f>Table2[[#This Row],[Credit]]-Table2[[#This Row],[Debit]]</f>
        <v>-5</v>
      </c>
    </row>
    <row r="416" spans="1:10" x14ac:dyDescent="0.45">
      <c r="A416" s="1">
        <v>44457</v>
      </c>
      <c r="B416" t="s">
        <v>40</v>
      </c>
      <c r="C416">
        <v>40</v>
      </c>
      <c r="E416" t="s">
        <v>40</v>
      </c>
      <c r="F416" t="s">
        <v>17</v>
      </c>
      <c r="G416" t="s">
        <v>14</v>
      </c>
      <c r="H416">
        <f>MONTH(Table2[[#This Row],[Date]])</f>
        <v>9</v>
      </c>
      <c r="I416" s="3">
        <f>WEEKDAY(Table2[[#This Row],[Date]])</f>
        <v>7</v>
      </c>
      <c r="J416">
        <f>Table2[[#This Row],[Credit]]-Table2[[#This Row],[Debit]]</f>
        <v>-40</v>
      </c>
    </row>
    <row r="417" spans="1:10" x14ac:dyDescent="0.45">
      <c r="A417" s="1">
        <v>44458</v>
      </c>
      <c r="B417" t="s">
        <v>41</v>
      </c>
      <c r="C417">
        <v>53</v>
      </c>
      <c r="E417" t="s">
        <v>42</v>
      </c>
      <c r="F417" t="s">
        <v>29</v>
      </c>
      <c r="G417" t="s">
        <v>14</v>
      </c>
      <c r="H417">
        <f>MONTH(Table2[[#This Row],[Date]])</f>
        <v>9</v>
      </c>
      <c r="I417" s="3">
        <f>WEEKDAY(Table2[[#This Row],[Date]])</f>
        <v>1</v>
      </c>
      <c r="J417">
        <f>Table2[[#This Row],[Credit]]-Table2[[#This Row],[Debit]]</f>
        <v>-53</v>
      </c>
    </row>
    <row r="418" spans="1:10" x14ac:dyDescent="0.45">
      <c r="A418" s="1">
        <v>44458</v>
      </c>
      <c r="B418" t="s">
        <v>43</v>
      </c>
      <c r="C418">
        <v>35</v>
      </c>
      <c r="E418" t="s">
        <v>28</v>
      </c>
      <c r="F418" t="s">
        <v>29</v>
      </c>
      <c r="G418" t="s">
        <v>14</v>
      </c>
      <c r="H418">
        <f>MONTH(Table2[[#This Row],[Date]])</f>
        <v>9</v>
      </c>
      <c r="I418" s="3">
        <f>WEEKDAY(Table2[[#This Row],[Date]])</f>
        <v>1</v>
      </c>
      <c r="J418">
        <f>Table2[[#This Row],[Credit]]-Table2[[#This Row],[Debit]]</f>
        <v>-35</v>
      </c>
    </row>
    <row r="419" spans="1:10" x14ac:dyDescent="0.45">
      <c r="A419" s="1">
        <v>44458</v>
      </c>
      <c r="B419" t="s">
        <v>11</v>
      </c>
      <c r="C419">
        <v>5</v>
      </c>
      <c r="E419" t="s">
        <v>12</v>
      </c>
      <c r="F419" t="s">
        <v>13</v>
      </c>
      <c r="G419" t="s">
        <v>14</v>
      </c>
      <c r="H419">
        <f>MONTH(Table2[[#This Row],[Date]])</f>
        <v>9</v>
      </c>
      <c r="I419" s="3">
        <f>WEEKDAY(Table2[[#This Row],[Date]])</f>
        <v>1</v>
      </c>
      <c r="J419">
        <f>Table2[[#This Row],[Credit]]-Table2[[#This Row],[Debit]]</f>
        <v>-5</v>
      </c>
    </row>
    <row r="420" spans="1:10" x14ac:dyDescent="0.45">
      <c r="A420" s="1">
        <v>44459</v>
      </c>
      <c r="B420" t="s">
        <v>11</v>
      </c>
      <c r="C420">
        <v>5</v>
      </c>
      <c r="E420" t="s">
        <v>12</v>
      </c>
      <c r="F420" t="s">
        <v>13</v>
      </c>
      <c r="G420" t="s">
        <v>14</v>
      </c>
      <c r="H420">
        <f>MONTH(Table2[[#This Row],[Date]])</f>
        <v>9</v>
      </c>
      <c r="I420" s="3">
        <f>WEEKDAY(Table2[[#This Row],[Date]])</f>
        <v>2</v>
      </c>
      <c r="J420">
        <f>Table2[[#This Row],[Credit]]-Table2[[#This Row],[Debit]]</f>
        <v>-5</v>
      </c>
    </row>
    <row r="421" spans="1:10" x14ac:dyDescent="0.45">
      <c r="A421" s="1">
        <v>44460</v>
      </c>
      <c r="B421" t="s">
        <v>11</v>
      </c>
      <c r="C421">
        <v>5</v>
      </c>
      <c r="E421" t="s">
        <v>12</v>
      </c>
      <c r="F421" t="s">
        <v>13</v>
      </c>
      <c r="G421" t="s">
        <v>14</v>
      </c>
      <c r="H421">
        <f>MONTH(Table2[[#This Row],[Date]])</f>
        <v>9</v>
      </c>
      <c r="I421" s="3">
        <f>WEEKDAY(Table2[[#This Row],[Date]])</f>
        <v>3</v>
      </c>
      <c r="J421">
        <f>Table2[[#This Row],[Credit]]-Table2[[#This Row],[Debit]]</f>
        <v>-5</v>
      </c>
    </row>
    <row r="422" spans="1:10" x14ac:dyDescent="0.45">
      <c r="A422" s="1">
        <v>44460</v>
      </c>
      <c r="B422" t="s">
        <v>21</v>
      </c>
      <c r="C422">
        <v>177.9</v>
      </c>
      <c r="E422" t="s">
        <v>22</v>
      </c>
      <c r="F422" t="s">
        <v>17</v>
      </c>
      <c r="G422" t="s">
        <v>14</v>
      </c>
      <c r="H422">
        <f>MONTH(Table2[[#This Row],[Date]])</f>
        <v>9</v>
      </c>
      <c r="I422" s="3">
        <f>WEEKDAY(Table2[[#This Row],[Date]])</f>
        <v>3</v>
      </c>
      <c r="J422">
        <f>Table2[[#This Row],[Credit]]-Table2[[#This Row],[Debit]]</f>
        <v>-177.9</v>
      </c>
    </row>
    <row r="423" spans="1:10" x14ac:dyDescent="0.45">
      <c r="A423" s="1">
        <v>44461</v>
      </c>
      <c r="B423" t="s">
        <v>44</v>
      </c>
      <c r="C423">
        <v>45.300000000000004</v>
      </c>
      <c r="E423" t="s">
        <v>33</v>
      </c>
      <c r="F423" t="s">
        <v>13</v>
      </c>
      <c r="G423" t="s">
        <v>14</v>
      </c>
      <c r="H423">
        <f>MONTH(Table2[[#This Row],[Date]])</f>
        <v>9</v>
      </c>
      <c r="I423" s="3">
        <f>WEEKDAY(Table2[[#This Row],[Date]])</f>
        <v>4</v>
      </c>
      <c r="J423">
        <f>Table2[[#This Row],[Credit]]-Table2[[#This Row],[Debit]]</f>
        <v>-45.300000000000004</v>
      </c>
    </row>
    <row r="424" spans="1:10" x14ac:dyDescent="0.45">
      <c r="A424" s="1">
        <v>44462</v>
      </c>
      <c r="B424" t="s">
        <v>45</v>
      </c>
      <c r="C424">
        <v>20.099999999999998</v>
      </c>
      <c r="E424" t="s">
        <v>33</v>
      </c>
      <c r="F424" t="s">
        <v>13</v>
      </c>
      <c r="G424" t="s">
        <v>14</v>
      </c>
      <c r="H424">
        <f>MONTH(Table2[[#This Row],[Date]])</f>
        <v>9</v>
      </c>
      <c r="I424" s="3">
        <f>WEEKDAY(Table2[[#This Row],[Date]])</f>
        <v>5</v>
      </c>
      <c r="J424">
        <f>Table2[[#This Row],[Credit]]-Table2[[#This Row],[Debit]]</f>
        <v>-20.099999999999998</v>
      </c>
    </row>
    <row r="425" spans="1:10" x14ac:dyDescent="0.45">
      <c r="A425" s="1">
        <v>44463</v>
      </c>
      <c r="B425" t="s">
        <v>46</v>
      </c>
      <c r="C425">
        <v>55</v>
      </c>
      <c r="E425" t="s">
        <v>47</v>
      </c>
      <c r="F425" t="s">
        <v>48</v>
      </c>
      <c r="G425" t="s">
        <v>14</v>
      </c>
      <c r="H425">
        <f>MONTH(Table2[[#This Row],[Date]])</f>
        <v>9</v>
      </c>
      <c r="I425" s="3">
        <f>WEEKDAY(Table2[[#This Row],[Date]])</f>
        <v>6</v>
      </c>
      <c r="J425">
        <f>Table2[[#This Row],[Credit]]-Table2[[#This Row],[Debit]]</f>
        <v>-55</v>
      </c>
    </row>
    <row r="426" spans="1:10" x14ac:dyDescent="0.45">
      <c r="A426" s="1">
        <v>44463</v>
      </c>
      <c r="B426" t="s">
        <v>25</v>
      </c>
      <c r="C426">
        <v>70.600000000000023</v>
      </c>
      <c r="E426" t="s">
        <v>26</v>
      </c>
      <c r="F426" t="s">
        <v>20</v>
      </c>
      <c r="G426" t="s">
        <v>14</v>
      </c>
      <c r="H426">
        <f>MONTH(Table2[[#This Row],[Date]])</f>
        <v>9</v>
      </c>
      <c r="I426" s="3">
        <f>WEEKDAY(Table2[[#This Row],[Date]])</f>
        <v>6</v>
      </c>
      <c r="J426">
        <f>Table2[[#This Row],[Credit]]-Table2[[#This Row],[Debit]]</f>
        <v>-70.600000000000023</v>
      </c>
    </row>
    <row r="427" spans="1:10" x14ac:dyDescent="0.45">
      <c r="A427" s="1">
        <v>44463</v>
      </c>
      <c r="B427" t="s">
        <v>11</v>
      </c>
      <c r="C427">
        <v>5</v>
      </c>
      <c r="E427" t="s">
        <v>12</v>
      </c>
      <c r="F427" t="s">
        <v>13</v>
      </c>
      <c r="G427" t="s">
        <v>14</v>
      </c>
      <c r="H427">
        <f>MONTH(Table2[[#This Row],[Date]])</f>
        <v>9</v>
      </c>
      <c r="I427" s="3">
        <f>WEEKDAY(Table2[[#This Row],[Date]])</f>
        <v>6</v>
      </c>
      <c r="J427">
        <f>Table2[[#This Row],[Credit]]-Table2[[#This Row],[Debit]]</f>
        <v>-5</v>
      </c>
    </row>
    <row r="428" spans="1:10" x14ac:dyDescent="0.45">
      <c r="A428" s="1">
        <v>44464</v>
      </c>
      <c r="B428" t="s">
        <v>11</v>
      </c>
      <c r="C428">
        <v>5</v>
      </c>
      <c r="E428" t="s">
        <v>12</v>
      </c>
      <c r="F428" t="s">
        <v>13</v>
      </c>
      <c r="G428" t="s">
        <v>14</v>
      </c>
      <c r="H428">
        <f>MONTH(Table2[[#This Row],[Date]])</f>
        <v>9</v>
      </c>
      <c r="I428" s="3">
        <f>WEEKDAY(Table2[[#This Row],[Date]])</f>
        <v>7</v>
      </c>
      <c r="J428">
        <f>Table2[[#This Row],[Credit]]-Table2[[#This Row],[Debit]]</f>
        <v>-5</v>
      </c>
    </row>
    <row r="429" spans="1:10" x14ac:dyDescent="0.45">
      <c r="A429" s="1">
        <v>44465</v>
      </c>
      <c r="B429" t="s">
        <v>11</v>
      </c>
      <c r="C429">
        <v>5</v>
      </c>
      <c r="E429" t="s">
        <v>12</v>
      </c>
      <c r="F429" t="s">
        <v>13</v>
      </c>
      <c r="G429" t="s">
        <v>14</v>
      </c>
      <c r="H429">
        <f>MONTH(Table2[[#This Row],[Date]])</f>
        <v>9</v>
      </c>
      <c r="I429" s="3">
        <f>WEEKDAY(Table2[[#This Row],[Date]])</f>
        <v>1</v>
      </c>
      <c r="J429">
        <f>Table2[[#This Row],[Credit]]-Table2[[#This Row],[Debit]]</f>
        <v>-5</v>
      </c>
    </row>
    <row r="430" spans="1:10" x14ac:dyDescent="0.45">
      <c r="A430" s="1">
        <v>44466</v>
      </c>
      <c r="B430" t="s">
        <v>11</v>
      </c>
      <c r="C430">
        <v>5</v>
      </c>
      <c r="E430" t="s">
        <v>12</v>
      </c>
      <c r="F430" t="s">
        <v>13</v>
      </c>
      <c r="G430" t="s">
        <v>14</v>
      </c>
      <c r="H430">
        <f>MONTH(Table2[[#This Row],[Date]])</f>
        <v>9</v>
      </c>
      <c r="I430" s="3">
        <f>WEEKDAY(Table2[[#This Row],[Date]])</f>
        <v>2</v>
      </c>
      <c r="J430">
        <f>Table2[[#This Row],[Credit]]-Table2[[#This Row],[Debit]]</f>
        <v>-5</v>
      </c>
    </row>
    <row r="431" spans="1:10" x14ac:dyDescent="0.45">
      <c r="A431" s="1">
        <v>44467</v>
      </c>
      <c r="B431" t="s">
        <v>11</v>
      </c>
      <c r="C431">
        <v>5</v>
      </c>
      <c r="E431" t="s">
        <v>12</v>
      </c>
      <c r="F431" t="s">
        <v>13</v>
      </c>
      <c r="G431" t="s">
        <v>14</v>
      </c>
      <c r="H431">
        <f>MONTH(Table2[[#This Row],[Date]])</f>
        <v>9</v>
      </c>
      <c r="I431" s="3">
        <f>WEEKDAY(Table2[[#This Row],[Date]])</f>
        <v>3</v>
      </c>
      <c r="J431">
        <f>Table2[[#This Row],[Credit]]-Table2[[#This Row],[Debit]]</f>
        <v>-5</v>
      </c>
    </row>
    <row r="432" spans="1:10" x14ac:dyDescent="0.45">
      <c r="A432" s="1">
        <v>44467</v>
      </c>
      <c r="B432" t="s">
        <v>21</v>
      </c>
      <c r="C432">
        <v>223</v>
      </c>
      <c r="E432" t="s">
        <v>22</v>
      </c>
      <c r="F432" t="s">
        <v>17</v>
      </c>
      <c r="G432" t="s">
        <v>14</v>
      </c>
      <c r="H432">
        <f>MONTH(Table2[[#This Row],[Date]])</f>
        <v>9</v>
      </c>
      <c r="I432" s="3">
        <f>WEEKDAY(Table2[[#This Row],[Date]])</f>
        <v>3</v>
      </c>
      <c r="J432">
        <f>Table2[[#This Row],[Credit]]-Table2[[#This Row],[Debit]]</f>
        <v>-223</v>
      </c>
    </row>
    <row r="433" spans="1:10" x14ac:dyDescent="0.45">
      <c r="A433" s="1">
        <v>44468</v>
      </c>
      <c r="B433" t="s">
        <v>49</v>
      </c>
      <c r="C433">
        <v>132.9</v>
      </c>
      <c r="E433" t="s">
        <v>31</v>
      </c>
      <c r="F433" t="s">
        <v>29</v>
      </c>
      <c r="G433" t="s">
        <v>14</v>
      </c>
      <c r="H433">
        <f>MONTH(Table2[[#This Row],[Date]])</f>
        <v>9</v>
      </c>
      <c r="I433" s="3">
        <f>WEEKDAY(Table2[[#This Row],[Date]])</f>
        <v>4</v>
      </c>
      <c r="J433">
        <f>Table2[[#This Row],[Credit]]-Table2[[#This Row],[Debit]]</f>
        <v>-132.9</v>
      </c>
    </row>
    <row r="434" spans="1:10" x14ac:dyDescent="0.45">
      <c r="A434" s="1">
        <v>44468</v>
      </c>
      <c r="B434" t="s">
        <v>52</v>
      </c>
      <c r="C434">
        <v>175</v>
      </c>
      <c r="E434" t="s">
        <v>31</v>
      </c>
      <c r="F434" t="s">
        <v>29</v>
      </c>
      <c r="G434" t="s">
        <v>14</v>
      </c>
      <c r="H434">
        <f>MONTH(Table2[[#This Row],[Date]])</f>
        <v>9</v>
      </c>
      <c r="I434" s="3">
        <f>WEEKDAY(Table2[[#This Row],[Date]])</f>
        <v>4</v>
      </c>
      <c r="J434">
        <f>Table2[[#This Row],[Credit]]-Table2[[#This Row],[Debit]]</f>
        <v>-175</v>
      </c>
    </row>
    <row r="435" spans="1:10" x14ac:dyDescent="0.45">
      <c r="A435" s="1">
        <v>44469</v>
      </c>
      <c r="B435" t="s">
        <v>30</v>
      </c>
      <c r="C435">
        <v>153.39999999999998</v>
      </c>
      <c r="E435" t="s">
        <v>31</v>
      </c>
      <c r="F435" t="s">
        <v>29</v>
      </c>
      <c r="G435" t="s">
        <v>14</v>
      </c>
      <c r="H435">
        <f>MONTH(Table2[[#This Row],[Date]])</f>
        <v>9</v>
      </c>
      <c r="I435" s="3">
        <f>WEEKDAY(Table2[[#This Row],[Date]])</f>
        <v>5</v>
      </c>
      <c r="J435">
        <f>Table2[[#This Row],[Credit]]-Table2[[#This Row],[Debit]]</f>
        <v>-153.39999999999998</v>
      </c>
    </row>
    <row r="436" spans="1:10" x14ac:dyDescent="0.45">
      <c r="A436" s="1">
        <v>44469</v>
      </c>
      <c r="B436" t="s">
        <v>34</v>
      </c>
      <c r="C436">
        <v>31.200000000000003</v>
      </c>
      <c r="E436" t="s">
        <v>35</v>
      </c>
      <c r="F436" t="s">
        <v>20</v>
      </c>
      <c r="G436" t="s">
        <v>14</v>
      </c>
      <c r="H436">
        <f>MONTH(Table2[[#This Row],[Date]])</f>
        <v>9</v>
      </c>
      <c r="I436" s="3">
        <f>WEEKDAY(Table2[[#This Row],[Date]])</f>
        <v>5</v>
      </c>
      <c r="J436">
        <f>Table2[[#This Row],[Credit]]-Table2[[#This Row],[Debit]]</f>
        <v>-31.200000000000003</v>
      </c>
    </row>
    <row r="437" spans="1:10" x14ac:dyDescent="0.45">
      <c r="A437" s="1">
        <v>44469</v>
      </c>
      <c r="B437" t="s">
        <v>51</v>
      </c>
      <c r="C437">
        <v>15</v>
      </c>
      <c r="E437" t="s">
        <v>33</v>
      </c>
      <c r="F437" t="s">
        <v>13</v>
      </c>
      <c r="G437" t="s">
        <v>14</v>
      </c>
      <c r="H437">
        <f>MONTH(Table2[[#This Row],[Date]])</f>
        <v>9</v>
      </c>
      <c r="I437" s="3">
        <f>WEEKDAY(Table2[[#This Row],[Date]])</f>
        <v>5</v>
      </c>
      <c r="J437">
        <f>Table2[[#This Row],[Credit]]-Table2[[#This Row],[Debit]]</f>
        <v>-15</v>
      </c>
    </row>
    <row r="438" spans="1:10" x14ac:dyDescent="0.45">
      <c r="A438" s="1">
        <v>44470</v>
      </c>
      <c r="B438" t="s">
        <v>11</v>
      </c>
      <c r="C438">
        <v>5</v>
      </c>
      <c r="E438" t="s">
        <v>12</v>
      </c>
      <c r="F438" t="s">
        <v>13</v>
      </c>
      <c r="G438" t="s">
        <v>14</v>
      </c>
      <c r="H438">
        <f>MONTH(Table2[[#This Row],[Date]])</f>
        <v>10</v>
      </c>
      <c r="I438" s="3">
        <f>WEEKDAY(Table2[[#This Row],[Date]])</f>
        <v>6</v>
      </c>
      <c r="J438">
        <f>Table2[[#This Row],[Credit]]-Table2[[#This Row],[Debit]]</f>
        <v>-5</v>
      </c>
    </row>
    <row r="439" spans="1:10" x14ac:dyDescent="0.45">
      <c r="A439" s="1">
        <v>44472</v>
      </c>
      <c r="B439" t="s">
        <v>11</v>
      </c>
      <c r="C439">
        <v>5</v>
      </c>
      <c r="E439" t="s">
        <v>12</v>
      </c>
      <c r="F439" t="s">
        <v>13</v>
      </c>
      <c r="G439" t="s">
        <v>14</v>
      </c>
      <c r="H439">
        <f>MONTH(Table2[[#This Row],[Date]])</f>
        <v>10</v>
      </c>
      <c r="I439" s="3">
        <f>WEEKDAY(Table2[[#This Row],[Date]])</f>
        <v>1</v>
      </c>
      <c r="J439">
        <f>Table2[[#This Row],[Credit]]-Table2[[#This Row],[Debit]]</f>
        <v>-5</v>
      </c>
    </row>
    <row r="440" spans="1:10" x14ac:dyDescent="0.45">
      <c r="A440" s="1">
        <v>44472</v>
      </c>
      <c r="B440" t="s">
        <v>8</v>
      </c>
      <c r="D440">
        <v>5000</v>
      </c>
      <c r="E440" t="s">
        <v>100</v>
      </c>
      <c r="F440" t="s">
        <v>9</v>
      </c>
      <c r="G440" t="s">
        <v>10</v>
      </c>
      <c r="H440">
        <f>MONTH(Table2[[#This Row],[Date]])</f>
        <v>10</v>
      </c>
      <c r="I440" s="3">
        <f>WEEKDAY(Table2[[#This Row],[Date]])</f>
        <v>1</v>
      </c>
      <c r="J440">
        <f>Table2[[#This Row],[Credit]]-Table2[[#This Row],[Debit]]</f>
        <v>5000</v>
      </c>
    </row>
    <row r="441" spans="1:10" x14ac:dyDescent="0.45">
      <c r="A441" s="1">
        <v>44473</v>
      </c>
      <c r="B441" t="s">
        <v>11</v>
      </c>
      <c r="C441">
        <v>5</v>
      </c>
      <c r="E441" t="s">
        <v>12</v>
      </c>
      <c r="F441" t="s">
        <v>13</v>
      </c>
      <c r="G441" t="s">
        <v>14</v>
      </c>
      <c r="H441">
        <f>MONTH(Table2[[#This Row],[Date]])</f>
        <v>10</v>
      </c>
      <c r="I441" s="3">
        <f>WEEKDAY(Table2[[#This Row],[Date]])</f>
        <v>2</v>
      </c>
      <c r="J441">
        <f>Table2[[#This Row],[Credit]]-Table2[[#This Row],[Debit]]</f>
        <v>-5</v>
      </c>
    </row>
    <row r="442" spans="1:10" x14ac:dyDescent="0.45">
      <c r="A442" s="1">
        <v>44475</v>
      </c>
      <c r="B442" t="s">
        <v>15</v>
      </c>
      <c r="C442">
        <v>900</v>
      </c>
      <c r="E442" t="s">
        <v>16</v>
      </c>
      <c r="F442" t="s">
        <v>17</v>
      </c>
      <c r="G442" t="s">
        <v>14</v>
      </c>
      <c r="H442">
        <f>MONTH(Table2[[#This Row],[Date]])</f>
        <v>10</v>
      </c>
      <c r="I442" s="3">
        <f>WEEKDAY(Table2[[#This Row],[Date]])</f>
        <v>4</v>
      </c>
      <c r="J442">
        <f>Table2[[#This Row],[Credit]]-Table2[[#This Row],[Debit]]</f>
        <v>-900</v>
      </c>
    </row>
    <row r="443" spans="1:10" x14ac:dyDescent="0.45">
      <c r="A443" s="1">
        <v>44475</v>
      </c>
      <c r="B443" t="s">
        <v>18</v>
      </c>
      <c r="C443">
        <v>150</v>
      </c>
      <c r="E443" t="s">
        <v>19</v>
      </c>
      <c r="F443" t="s">
        <v>20</v>
      </c>
      <c r="G443" t="s">
        <v>14</v>
      </c>
      <c r="H443">
        <f>MONTH(Table2[[#This Row],[Date]])</f>
        <v>10</v>
      </c>
      <c r="I443" s="3">
        <f>WEEKDAY(Table2[[#This Row],[Date]])</f>
        <v>4</v>
      </c>
      <c r="J443">
        <f>Table2[[#This Row],[Credit]]-Table2[[#This Row],[Debit]]</f>
        <v>-150</v>
      </c>
    </row>
    <row r="444" spans="1:10" x14ac:dyDescent="0.45">
      <c r="A444" s="1">
        <v>44475</v>
      </c>
      <c r="B444" t="s">
        <v>11</v>
      </c>
      <c r="C444">
        <v>5</v>
      </c>
      <c r="E444" t="s">
        <v>12</v>
      </c>
      <c r="F444" t="s">
        <v>13</v>
      </c>
      <c r="G444" t="s">
        <v>14</v>
      </c>
      <c r="H444">
        <f>MONTH(Table2[[#This Row],[Date]])</f>
        <v>10</v>
      </c>
      <c r="I444" s="3">
        <f>WEEKDAY(Table2[[#This Row],[Date]])</f>
        <v>4</v>
      </c>
      <c r="J444">
        <f>Table2[[#This Row],[Credit]]-Table2[[#This Row],[Debit]]</f>
        <v>-5</v>
      </c>
    </row>
    <row r="445" spans="1:10" x14ac:dyDescent="0.45">
      <c r="A445" s="1">
        <v>44475</v>
      </c>
      <c r="B445" t="s">
        <v>11</v>
      </c>
      <c r="C445">
        <v>5</v>
      </c>
      <c r="E445" t="s">
        <v>12</v>
      </c>
      <c r="F445" t="s">
        <v>13</v>
      </c>
      <c r="G445" t="s">
        <v>14</v>
      </c>
      <c r="H445">
        <f>MONTH(Table2[[#This Row],[Date]])</f>
        <v>10</v>
      </c>
      <c r="I445" s="3">
        <f>WEEKDAY(Table2[[#This Row],[Date]])</f>
        <v>4</v>
      </c>
      <c r="J445">
        <f>Table2[[#This Row],[Credit]]-Table2[[#This Row],[Debit]]</f>
        <v>-5</v>
      </c>
    </row>
    <row r="446" spans="1:10" x14ac:dyDescent="0.45">
      <c r="A446" s="1">
        <v>44476</v>
      </c>
      <c r="B446" t="s">
        <v>11</v>
      </c>
      <c r="C446">
        <v>5</v>
      </c>
      <c r="E446" t="s">
        <v>12</v>
      </c>
      <c r="F446" t="s">
        <v>13</v>
      </c>
      <c r="G446" t="s">
        <v>14</v>
      </c>
      <c r="H446">
        <f>MONTH(Table2[[#This Row],[Date]])</f>
        <v>10</v>
      </c>
      <c r="I446" s="3">
        <f>WEEKDAY(Table2[[#This Row],[Date]])</f>
        <v>5</v>
      </c>
      <c r="J446">
        <f>Table2[[#This Row],[Credit]]-Table2[[#This Row],[Debit]]</f>
        <v>-5</v>
      </c>
    </row>
    <row r="447" spans="1:10" x14ac:dyDescent="0.45">
      <c r="A447" s="1">
        <v>44477</v>
      </c>
      <c r="B447" t="s">
        <v>11</v>
      </c>
      <c r="C447">
        <v>5</v>
      </c>
      <c r="E447" t="s">
        <v>12</v>
      </c>
      <c r="F447" t="s">
        <v>13</v>
      </c>
      <c r="G447" t="s">
        <v>14</v>
      </c>
      <c r="H447">
        <f>MONTH(Table2[[#This Row],[Date]])</f>
        <v>10</v>
      </c>
      <c r="I447" s="3">
        <f>WEEKDAY(Table2[[#This Row],[Date]])</f>
        <v>6</v>
      </c>
      <c r="J447">
        <f>Table2[[#This Row],[Credit]]-Table2[[#This Row],[Debit]]</f>
        <v>-5</v>
      </c>
    </row>
    <row r="448" spans="1:10" x14ac:dyDescent="0.45">
      <c r="A448" s="1">
        <v>44477</v>
      </c>
      <c r="B448" t="s">
        <v>21</v>
      </c>
      <c r="C448">
        <v>105</v>
      </c>
      <c r="E448" t="s">
        <v>22</v>
      </c>
      <c r="F448" t="s">
        <v>17</v>
      </c>
      <c r="G448" t="s">
        <v>14</v>
      </c>
      <c r="H448">
        <f>MONTH(Table2[[#This Row],[Date]])</f>
        <v>10</v>
      </c>
      <c r="I448" s="3">
        <f>WEEKDAY(Table2[[#This Row],[Date]])</f>
        <v>6</v>
      </c>
      <c r="J448">
        <f>Table2[[#This Row],[Credit]]-Table2[[#This Row],[Debit]]</f>
        <v>-105</v>
      </c>
    </row>
    <row r="449" spans="1:10" x14ac:dyDescent="0.45">
      <c r="A449" s="1">
        <v>44480</v>
      </c>
      <c r="B449" t="s">
        <v>23</v>
      </c>
      <c r="C449">
        <v>59</v>
      </c>
      <c r="E449" t="s">
        <v>24</v>
      </c>
      <c r="F449" t="s">
        <v>17</v>
      </c>
      <c r="G449" t="s">
        <v>14</v>
      </c>
      <c r="H449">
        <f>MONTH(Table2[[#This Row],[Date]])</f>
        <v>10</v>
      </c>
      <c r="I449" s="3">
        <f>WEEKDAY(Table2[[#This Row],[Date]])</f>
        <v>2</v>
      </c>
      <c r="J449">
        <f>Table2[[#This Row],[Credit]]-Table2[[#This Row],[Debit]]</f>
        <v>-59</v>
      </c>
    </row>
    <row r="450" spans="1:10" x14ac:dyDescent="0.45">
      <c r="A450" s="1">
        <v>44480</v>
      </c>
      <c r="B450" t="s">
        <v>11</v>
      </c>
      <c r="C450">
        <v>5</v>
      </c>
      <c r="E450" t="s">
        <v>12</v>
      </c>
      <c r="F450" t="s">
        <v>13</v>
      </c>
      <c r="G450" t="s">
        <v>14</v>
      </c>
      <c r="H450">
        <f>MONTH(Table2[[#This Row],[Date]])</f>
        <v>10</v>
      </c>
      <c r="I450" s="3">
        <f>WEEKDAY(Table2[[#This Row],[Date]])</f>
        <v>2</v>
      </c>
      <c r="J450">
        <f>Table2[[#This Row],[Credit]]-Table2[[#This Row],[Debit]]</f>
        <v>-5</v>
      </c>
    </row>
    <row r="451" spans="1:10" x14ac:dyDescent="0.45">
      <c r="A451" s="1">
        <v>44481</v>
      </c>
      <c r="B451" t="s">
        <v>11</v>
      </c>
      <c r="C451">
        <v>5</v>
      </c>
      <c r="E451" t="s">
        <v>12</v>
      </c>
      <c r="F451" t="s">
        <v>13</v>
      </c>
      <c r="G451" t="s">
        <v>14</v>
      </c>
      <c r="H451">
        <f>MONTH(Table2[[#This Row],[Date]])</f>
        <v>10</v>
      </c>
      <c r="I451" s="3">
        <f>WEEKDAY(Table2[[#This Row],[Date]])</f>
        <v>3</v>
      </c>
      <c r="J451">
        <f>Table2[[#This Row],[Credit]]-Table2[[#This Row],[Debit]]</f>
        <v>-5</v>
      </c>
    </row>
    <row r="452" spans="1:10" x14ac:dyDescent="0.45">
      <c r="A452" s="1">
        <v>44482</v>
      </c>
      <c r="B452" t="s">
        <v>25</v>
      </c>
      <c r="C452">
        <v>86.399999999999977</v>
      </c>
      <c r="E452" t="s">
        <v>26</v>
      </c>
      <c r="F452" t="s">
        <v>20</v>
      </c>
      <c r="G452" t="s">
        <v>14</v>
      </c>
      <c r="H452">
        <f>MONTH(Table2[[#This Row],[Date]])</f>
        <v>10</v>
      </c>
      <c r="I452" s="3">
        <f>WEEKDAY(Table2[[#This Row],[Date]])</f>
        <v>4</v>
      </c>
      <c r="J452">
        <f>Table2[[#This Row],[Credit]]-Table2[[#This Row],[Debit]]</f>
        <v>-86.399999999999977</v>
      </c>
    </row>
    <row r="453" spans="1:10" x14ac:dyDescent="0.45">
      <c r="A453" s="1">
        <v>44482</v>
      </c>
      <c r="B453" t="s">
        <v>11</v>
      </c>
      <c r="C453">
        <v>5</v>
      </c>
      <c r="E453" t="s">
        <v>12</v>
      </c>
      <c r="F453" t="s">
        <v>13</v>
      </c>
      <c r="G453" t="s">
        <v>14</v>
      </c>
      <c r="H453">
        <f>MONTH(Table2[[#This Row],[Date]])</f>
        <v>10</v>
      </c>
      <c r="I453" s="3">
        <f>WEEKDAY(Table2[[#This Row],[Date]])</f>
        <v>4</v>
      </c>
      <c r="J453">
        <f>Table2[[#This Row],[Credit]]-Table2[[#This Row],[Debit]]</f>
        <v>-5</v>
      </c>
    </row>
    <row r="454" spans="1:10" x14ac:dyDescent="0.45">
      <c r="A454" s="1">
        <v>44483</v>
      </c>
      <c r="B454" t="s">
        <v>11</v>
      </c>
      <c r="C454">
        <v>5</v>
      </c>
      <c r="E454" t="s">
        <v>12</v>
      </c>
      <c r="F454" t="s">
        <v>13</v>
      </c>
      <c r="G454" t="s">
        <v>14</v>
      </c>
      <c r="H454">
        <f>MONTH(Table2[[#This Row],[Date]])</f>
        <v>10</v>
      </c>
      <c r="I454" s="3">
        <f>WEEKDAY(Table2[[#This Row],[Date]])</f>
        <v>5</v>
      </c>
      <c r="J454">
        <f>Table2[[#This Row],[Credit]]-Table2[[#This Row],[Debit]]</f>
        <v>-5</v>
      </c>
    </row>
    <row r="455" spans="1:10" x14ac:dyDescent="0.45">
      <c r="A455" s="1">
        <v>44484</v>
      </c>
      <c r="B455" t="s">
        <v>21</v>
      </c>
      <c r="C455">
        <v>143.9</v>
      </c>
      <c r="E455" t="s">
        <v>22</v>
      </c>
      <c r="F455" t="s">
        <v>17</v>
      </c>
      <c r="G455" t="s">
        <v>14</v>
      </c>
      <c r="H455">
        <f>MONTH(Table2[[#This Row],[Date]])</f>
        <v>10</v>
      </c>
      <c r="I455" s="3">
        <f>WEEKDAY(Table2[[#This Row],[Date]])</f>
        <v>6</v>
      </c>
      <c r="J455">
        <f>Table2[[#This Row],[Credit]]-Table2[[#This Row],[Debit]]</f>
        <v>-143.9</v>
      </c>
    </row>
    <row r="456" spans="1:10" x14ac:dyDescent="0.45">
      <c r="A456" s="1">
        <v>44484</v>
      </c>
      <c r="B456" t="s">
        <v>11</v>
      </c>
      <c r="C456">
        <v>5</v>
      </c>
      <c r="E456" t="s">
        <v>12</v>
      </c>
      <c r="F456" t="s">
        <v>13</v>
      </c>
      <c r="G456" t="s">
        <v>14</v>
      </c>
      <c r="H456">
        <f>MONTH(Table2[[#This Row],[Date]])</f>
        <v>10</v>
      </c>
      <c r="I456" s="3">
        <f>WEEKDAY(Table2[[#This Row],[Date]])</f>
        <v>6</v>
      </c>
      <c r="J456">
        <f>Table2[[#This Row],[Credit]]-Table2[[#This Row],[Debit]]</f>
        <v>-5</v>
      </c>
    </row>
    <row r="457" spans="1:10" x14ac:dyDescent="0.45">
      <c r="A457" s="1">
        <v>44485</v>
      </c>
      <c r="B457" t="s">
        <v>11</v>
      </c>
      <c r="C457">
        <v>5</v>
      </c>
      <c r="E457" t="s">
        <v>12</v>
      </c>
      <c r="F457" t="s">
        <v>13</v>
      </c>
      <c r="G457" t="s">
        <v>14</v>
      </c>
      <c r="H457">
        <f>MONTH(Table2[[#This Row],[Date]])</f>
        <v>10</v>
      </c>
      <c r="I457" s="3">
        <f>WEEKDAY(Table2[[#This Row],[Date]])</f>
        <v>7</v>
      </c>
      <c r="J457">
        <f>Table2[[#This Row],[Credit]]-Table2[[#This Row],[Debit]]</f>
        <v>-5</v>
      </c>
    </row>
    <row r="458" spans="1:10" x14ac:dyDescent="0.45">
      <c r="A458" s="1">
        <v>44485</v>
      </c>
      <c r="B458" t="s">
        <v>27</v>
      </c>
      <c r="C458">
        <v>48.8</v>
      </c>
      <c r="E458" t="s">
        <v>28</v>
      </c>
      <c r="F458" t="s">
        <v>29</v>
      </c>
      <c r="G458" t="s">
        <v>14</v>
      </c>
      <c r="H458">
        <f>MONTH(Table2[[#This Row],[Date]])</f>
        <v>10</v>
      </c>
      <c r="I458" s="3">
        <f>WEEKDAY(Table2[[#This Row],[Date]])</f>
        <v>7</v>
      </c>
      <c r="J458">
        <f>Table2[[#This Row],[Credit]]-Table2[[#This Row],[Debit]]</f>
        <v>-48.8</v>
      </c>
    </row>
    <row r="459" spans="1:10" x14ac:dyDescent="0.45">
      <c r="A459" s="1">
        <v>44485</v>
      </c>
      <c r="B459" t="s">
        <v>30</v>
      </c>
      <c r="C459">
        <v>106.70000000000002</v>
      </c>
      <c r="E459" t="s">
        <v>31</v>
      </c>
      <c r="F459" t="s">
        <v>29</v>
      </c>
      <c r="G459" t="s">
        <v>14</v>
      </c>
      <c r="H459">
        <f>MONTH(Table2[[#This Row],[Date]])</f>
        <v>10</v>
      </c>
      <c r="I459" s="3">
        <f>WEEKDAY(Table2[[#This Row],[Date]])</f>
        <v>7</v>
      </c>
      <c r="J459">
        <f>Table2[[#This Row],[Credit]]-Table2[[#This Row],[Debit]]</f>
        <v>-106.70000000000002</v>
      </c>
    </row>
    <row r="460" spans="1:10" x14ac:dyDescent="0.45">
      <c r="A460" s="1">
        <v>44485</v>
      </c>
      <c r="B460" t="s">
        <v>32</v>
      </c>
      <c r="C460">
        <v>61.1</v>
      </c>
      <c r="E460" t="s">
        <v>33</v>
      </c>
      <c r="F460" t="s">
        <v>13</v>
      </c>
      <c r="G460" t="s">
        <v>14</v>
      </c>
      <c r="H460">
        <f>MONTH(Table2[[#This Row],[Date]])</f>
        <v>10</v>
      </c>
      <c r="I460" s="3">
        <f>WEEKDAY(Table2[[#This Row],[Date]])</f>
        <v>7</v>
      </c>
      <c r="J460">
        <f>Table2[[#This Row],[Credit]]-Table2[[#This Row],[Debit]]</f>
        <v>-61.1</v>
      </c>
    </row>
    <row r="461" spans="1:10" x14ac:dyDescent="0.45">
      <c r="A461" s="1">
        <v>44486</v>
      </c>
      <c r="B461" t="s">
        <v>34</v>
      </c>
      <c r="C461">
        <v>37.200000000000003</v>
      </c>
      <c r="E461" t="s">
        <v>35</v>
      </c>
      <c r="F461" t="s">
        <v>20</v>
      </c>
      <c r="G461" t="s">
        <v>14</v>
      </c>
      <c r="H461">
        <f>MONTH(Table2[[#This Row],[Date]])</f>
        <v>10</v>
      </c>
      <c r="I461" s="3">
        <f>WEEKDAY(Table2[[#This Row],[Date]])</f>
        <v>1</v>
      </c>
      <c r="J461">
        <f>Table2[[#This Row],[Credit]]-Table2[[#This Row],[Debit]]</f>
        <v>-37.200000000000003</v>
      </c>
    </row>
    <row r="462" spans="1:10" x14ac:dyDescent="0.45">
      <c r="A462" s="1">
        <v>44487</v>
      </c>
      <c r="B462" t="s">
        <v>36</v>
      </c>
      <c r="D462">
        <v>100</v>
      </c>
      <c r="E462" t="s">
        <v>37</v>
      </c>
      <c r="F462" t="s">
        <v>38</v>
      </c>
      <c r="G462" t="s">
        <v>10</v>
      </c>
      <c r="H462">
        <f>MONTH(Table2[[#This Row],[Date]])</f>
        <v>10</v>
      </c>
      <c r="I462" s="3">
        <f>WEEKDAY(Table2[[#This Row],[Date]])</f>
        <v>2</v>
      </c>
      <c r="J462">
        <f>Table2[[#This Row],[Credit]]-Table2[[#This Row],[Debit]]</f>
        <v>100</v>
      </c>
    </row>
    <row r="463" spans="1:10" x14ac:dyDescent="0.45">
      <c r="A463" s="1">
        <v>44487</v>
      </c>
      <c r="B463" t="s">
        <v>11</v>
      </c>
      <c r="C463">
        <v>5</v>
      </c>
      <c r="E463" t="s">
        <v>12</v>
      </c>
      <c r="F463" t="s">
        <v>13</v>
      </c>
      <c r="G463" t="s">
        <v>14</v>
      </c>
      <c r="H463">
        <f>MONTH(Table2[[#This Row],[Date]])</f>
        <v>10</v>
      </c>
      <c r="I463" s="3">
        <f>WEEKDAY(Table2[[#This Row],[Date]])</f>
        <v>2</v>
      </c>
      <c r="J463">
        <f>Table2[[#This Row],[Credit]]-Table2[[#This Row],[Debit]]</f>
        <v>-5</v>
      </c>
    </row>
    <row r="464" spans="1:10" x14ac:dyDescent="0.45">
      <c r="A464" s="1">
        <v>44488</v>
      </c>
      <c r="B464" t="s">
        <v>11</v>
      </c>
      <c r="C464">
        <v>5</v>
      </c>
      <c r="E464" t="s">
        <v>12</v>
      </c>
      <c r="F464" t="s">
        <v>13</v>
      </c>
      <c r="G464" t="s">
        <v>14</v>
      </c>
      <c r="H464">
        <f>MONTH(Table2[[#This Row],[Date]])</f>
        <v>10</v>
      </c>
      <c r="I464" s="3">
        <f>WEEKDAY(Table2[[#This Row],[Date]])</f>
        <v>3</v>
      </c>
      <c r="J464">
        <f>Table2[[#This Row],[Credit]]-Table2[[#This Row],[Debit]]</f>
        <v>-5</v>
      </c>
    </row>
    <row r="465" spans="1:10" x14ac:dyDescent="0.45">
      <c r="A465" s="1">
        <v>44488</v>
      </c>
      <c r="B465" t="s">
        <v>55</v>
      </c>
      <c r="C465">
        <v>75</v>
      </c>
      <c r="E465" t="s">
        <v>39</v>
      </c>
      <c r="F465" t="s">
        <v>56</v>
      </c>
      <c r="G465" t="s">
        <v>14</v>
      </c>
      <c r="H465">
        <f>MONTH(Table2[[#This Row],[Date]])</f>
        <v>10</v>
      </c>
      <c r="I465" s="3">
        <f>WEEKDAY(Table2[[#This Row],[Date]])</f>
        <v>3</v>
      </c>
      <c r="J465">
        <f>Table2[[#This Row],[Credit]]-Table2[[#This Row],[Debit]]</f>
        <v>-75</v>
      </c>
    </row>
    <row r="466" spans="1:10" x14ac:dyDescent="0.45">
      <c r="A466" s="1">
        <v>44488</v>
      </c>
      <c r="B466" t="s">
        <v>40</v>
      </c>
      <c r="C466">
        <v>40</v>
      </c>
      <c r="E466" t="s">
        <v>40</v>
      </c>
      <c r="F466" t="s">
        <v>17</v>
      </c>
      <c r="G466" t="s">
        <v>14</v>
      </c>
      <c r="H466">
        <f>MONTH(Table2[[#This Row],[Date]])</f>
        <v>10</v>
      </c>
      <c r="I466" s="3">
        <f>WEEKDAY(Table2[[#This Row],[Date]])</f>
        <v>3</v>
      </c>
      <c r="J466">
        <f>Table2[[#This Row],[Credit]]-Table2[[#This Row],[Debit]]</f>
        <v>-40</v>
      </c>
    </row>
    <row r="467" spans="1:10" x14ac:dyDescent="0.45">
      <c r="A467" s="1">
        <v>44489</v>
      </c>
      <c r="B467" t="s">
        <v>41</v>
      </c>
      <c r="C467">
        <v>54.1</v>
      </c>
      <c r="E467" t="s">
        <v>42</v>
      </c>
      <c r="F467" t="s">
        <v>29</v>
      </c>
      <c r="G467" t="s">
        <v>14</v>
      </c>
      <c r="H467">
        <f>MONTH(Table2[[#This Row],[Date]])</f>
        <v>10</v>
      </c>
      <c r="I467" s="3">
        <f>WEEKDAY(Table2[[#This Row],[Date]])</f>
        <v>4</v>
      </c>
      <c r="J467">
        <f>Table2[[#This Row],[Credit]]-Table2[[#This Row],[Debit]]</f>
        <v>-54.1</v>
      </c>
    </row>
    <row r="468" spans="1:10" x14ac:dyDescent="0.45">
      <c r="A468" s="1">
        <v>44489</v>
      </c>
      <c r="B468" t="s">
        <v>43</v>
      </c>
      <c r="C468">
        <v>35</v>
      </c>
      <c r="E468" t="s">
        <v>28</v>
      </c>
      <c r="F468" t="s">
        <v>29</v>
      </c>
      <c r="G468" t="s">
        <v>14</v>
      </c>
      <c r="H468">
        <f>MONTH(Table2[[#This Row],[Date]])</f>
        <v>10</v>
      </c>
      <c r="I468" s="3">
        <f>WEEKDAY(Table2[[#This Row],[Date]])</f>
        <v>4</v>
      </c>
      <c r="J468">
        <f>Table2[[#This Row],[Credit]]-Table2[[#This Row],[Debit]]</f>
        <v>-35</v>
      </c>
    </row>
    <row r="469" spans="1:10" x14ac:dyDescent="0.45">
      <c r="A469" s="1">
        <v>44489</v>
      </c>
      <c r="B469" t="s">
        <v>11</v>
      </c>
      <c r="C469">
        <v>5</v>
      </c>
      <c r="E469" t="s">
        <v>12</v>
      </c>
      <c r="F469" t="s">
        <v>13</v>
      </c>
      <c r="G469" t="s">
        <v>14</v>
      </c>
      <c r="H469">
        <f>MONTH(Table2[[#This Row],[Date]])</f>
        <v>10</v>
      </c>
      <c r="I469" s="3">
        <f>WEEKDAY(Table2[[#This Row],[Date]])</f>
        <v>4</v>
      </c>
      <c r="J469">
        <f>Table2[[#This Row],[Credit]]-Table2[[#This Row],[Debit]]</f>
        <v>-5</v>
      </c>
    </row>
    <row r="470" spans="1:10" x14ac:dyDescent="0.45">
      <c r="A470" s="1">
        <v>44490</v>
      </c>
      <c r="B470" t="s">
        <v>11</v>
      </c>
      <c r="C470">
        <v>5</v>
      </c>
      <c r="E470" t="s">
        <v>12</v>
      </c>
      <c r="F470" t="s">
        <v>13</v>
      </c>
      <c r="G470" t="s">
        <v>14</v>
      </c>
      <c r="H470">
        <f>MONTH(Table2[[#This Row],[Date]])</f>
        <v>10</v>
      </c>
      <c r="I470" s="3">
        <f>WEEKDAY(Table2[[#This Row],[Date]])</f>
        <v>5</v>
      </c>
      <c r="J470">
        <f>Table2[[#This Row],[Credit]]-Table2[[#This Row],[Debit]]</f>
        <v>-5</v>
      </c>
    </row>
    <row r="471" spans="1:10" x14ac:dyDescent="0.45">
      <c r="A471" s="1">
        <v>44491</v>
      </c>
      <c r="B471" t="s">
        <v>11</v>
      </c>
      <c r="C471">
        <v>5</v>
      </c>
      <c r="E471" t="s">
        <v>12</v>
      </c>
      <c r="F471" t="s">
        <v>13</v>
      </c>
      <c r="G471" t="s">
        <v>14</v>
      </c>
      <c r="H471">
        <f>MONTH(Table2[[#This Row],[Date]])</f>
        <v>10</v>
      </c>
      <c r="I471" s="3">
        <f>WEEKDAY(Table2[[#This Row],[Date]])</f>
        <v>6</v>
      </c>
      <c r="J471">
        <f>Table2[[#This Row],[Credit]]-Table2[[#This Row],[Debit]]</f>
        <v>-5</v>
      </c>
    </row>
    <row r="472" spans="1:10" x14ac:dyDescent="0.45">
      <c r="A472" s="1">
        <v>44491</v>
      </c>
      <c r="B472" t="s">
        <v>21</v>
      </c>
      <c r="C472">
        <v>178.9</v>
      </c>
      <c r="E472" t="s">
        <v>22</v>
      </c>
      <c r="F472" t="s">
        <v>17</v>
      </c>
      <c r="G472" t="s">
        <v>14</v>
      </c>
      <c r="H472">
        <f>MONTH(Table2[[#This Row],[Date]])</f>
        <v>10</v>
      </c>
      <c r="I472" s="3">
        <f>WEEKDAY(Table2[[#This Row],[Date]])</f>
        <v>6</v>
      </c>
      <c r="J472">
        <f>Table2[[#This Row],[Credit]]-Table2[[#This Row],[Debit]]</f>
        <v>-178.9</v>
      </c>
    </row>
    <row r="473" spans="1:10" x14ac:dyDescent="0.45">
      <c r="A473" s="1">
        <v>44492</v>
      </c>
      <c r="B473" t="s">
        <v>44</v>
      </c>
      <c r="C473">
        <v>46.2</v>
      </c>
      <c r="E473" t="s">
        <v>33</v>
      </c>
      <c r="F473" t="s">
        <v>13</v>
      </c>
      <c r="G473" t="s">
        <v>14</v>
      </c>
      <c r="H473">
        <f>MONTH(Table2[[#This Row],[Date]])</f>
        <v>10</v>
      </c>
      <c r="I473" s="3">
        <f>WEEKDAY(Table2[[#This Row],[Date]])</f>
        <v>7</v>
      </c>
      <c r="J473">
        <f>Table2[[#This Row],[Credit]]-Table2[[#This Row],[Debit]]</f>
        <v>-46.2</v>
      </c>
    </row>
    <row r="474" spans="1:10" x14ac:dyDescent="0.45">
      <c r="A474" s="1">
        <v>44493</v>
      </c>
      <c r="B474" t="s">
        <v>45</v>
      </c>
      <c r="C474">
        <v>21.099999999999998</v>
      </c>
      <c r="E474" t="s">
        <v>33</v>
      </c>
      <c r="F474" t="s">
        <v>13</v>
      </c>
      <c r="G474" t="s">
        <v>14</v>
      </c>
      <c r="H474">
        <f>MONTH(Table2[[#This Row],[Date]])</f>
        <v>10</v>
      </c>
      <c r="I474" s="3">
        <f>WEEKDAY(Table2[[#This Row],[Date]])</f>
        <v>1</v>
      </c>
      <c r="J474">
        <f>Table2[[#This Row],[Credit]]-Table2[[#This Row],[Debit]]</f>
        <v>-21.099999999999998</v>
      </c>
    </row>
    <row r="475" spans="1:10" x14ac:dyDescent="0.45">
      <c r="A475" s="1">
        <v>44494</v>
      </c>
      <c r="B475" t="s">
        <v>46</v>
      </c>
      <c r="C475">
        <v>55</v>
      </c>
      <c r="E475" t="s">
        <v>47</v>
      </c>
      <c r="F475" t="s">
        <v>48</v>
      </c>
      <c r="G475" t="s">
        <v>14</v>
      </c>
      <c r="H475">
        <f>MONTH(Table2[[#This Row],[Date]])</f>
        <v>10</v>
      </c>
      <c r="I475" s="3">
        <f>WEEKDAY(Table2[[#This Row],[Date]])</f>
        <v>2</v>
      </c>
      <c r="J475">
        <f>Table2[[#This Row],[Credit]]-Table2[[#This Row],[Debit]]</f>
        <v>-55</v>
      </c>
    </row>
    <row r="476" spans="1:10" x14ac:dyDescent="0.45">
      <c r="A476" s="1">
        <v>44494</v>
      </c>
      <c r="B476" t="s">
        <v>25</v>
      </c>
      <c r="C476">
        <v>71.500000000000028</v>
      </c>
      <c r="E476" t="s">
        <v>26</v>
      </c>
      <c r="F476" t="s">
        <v>20</v>
      </c>
      <c r="G476" t="s">
        <v>14</v>
      </c>
      <c r="H476">
        <f>MONTH(Table2[[#This Row],[Date]])</f>
        <v>10</v>
      </c>
      <c r="I476" s="3">
        <f>WEEKDAY(Table2[[#This Row],[Date]])</f>
        <v>2</v>
      </c>
      <c r="J476">
        <f>Table2[[#This Row],[Credit]]-Table2[[#This Row],[Debit]]</f>
        <v>-71.500000000000028</v>
      </c>
    </row>
    <row r="477" spans="1:10" x14ac:dyDescent="0.45">
      <c r="A477" s="1">
        <v>44494</v>
      </c>
      <c r="B477" t="s">
        <v>11</v>
      </c>
      <c r="C477">
        <v>5</v>
      </c>
      <c r="E477" t="s">
        <v>12</v>
      </c>
      <c r="F477" t="s">
        <v>13</v>
      </c>
      <c r="G477" t="s">
        <v>14</v>
      </c>
      <c r="H477">
        <f>MONTH(Table2[[#This Row],[Date]])</f>
        <v>10</v>
      </c>
      <c r="I477" s="3">
        <f>WEEKDAY(Table2[[#This Row],[Date]])</f>
        <v>2</v>
      </c>
      <c r="J477">
        <f>Table2[[#This Row],[Credit]]-Table2[[#This Row],[Debit]]</f>
        <v>-5</v>
      </c>
    </row>
    <row r="478" spans="1:10" x14ac:dyDescent="0.45">
      <c r="A478" s="1">
        <v>44495</v>
      </c>
      <c r="B478" t="s">
        <v>11</v>
      </c>
      <c r="C478">
        <v>5</v>
      </c>
      <c r="E478" t="s">
        <v>12</v>
      </c>
      <c r="F478" t="s">
        <v>13</v>
      </c>
      <c r="G478" t="s">
        <v>14</v>
      </c>
      <c r="H478">
        <f>MONTH(Table2[[#This Row],[Date]])</f>
        <v>10</v>
      </c>
      <c r="I478" s="3">
        <f>WEEKDAY(Table2[[#This Row],[Date]])</f>
        <v>3</v>
      </c>
      <c r="J478">
        <f>Table2[[#This Row],[Credit]]-Table2[[#This Row],[Debit]]</f>
        <v>-5</v>
      </c>
    </row>
    <row r="479" spans="1:10" x14ac:dyDescent="0.45">
      <c r="A479" s="1">
        <v>44496</v>
      </c>
      <c r="B479" t="s">
        <v>11</v>
      </c>
      <c r="C479">
        <v>5</v>
      </c>
      <c r="E479" t="s">
        <v>12</v>
      </c>
      <c r="F479" t="s">
        <v>13</v>
      </c>
      <c r="G479" t="s">
        <v>14</v>
      </c>
      <c r="H479">
        <f>MONTH(Table2[[#This Row],[Date]])</f>
        <v>10</v>
      </c>
      <c r="I479" s="3">
        <f>WEEKDAY(Table2[[#This Row],[Date]])</f>
        <v>4</v>
      </c>
      <c r="J479">
        <f>Table2[[#This Row],[Credit]]-Table2[[#This Row],[Debit]]</f>
        <v>-5</v>
      </c>
    </row>
    <row r="480" spans="1:10" x14ac:dyDescent="0.45">
      <c r="A480" s="1">
        <v>44497</v>
      </c>
      <c r="B480" t="s">
        <v>11</v>
      </c>
      <c r="C480">
        <v>5</v>
      </c>
      <c r="E480" t="s">
        <v>12</v>
      </c>
      <c r="F480" t="s">
        <v>13</v>
      </c>
      <c r="G480" t="s">
        <v>14</v>
      </c>
      <c r="H480">
        <f>MONTH(Table2[[#This Row],[Date]])</f>
        <v>10</v>
      </c>
      <c r="I480" s="3">
        <f>WEEKDAY(Table2[[#This Row],[Date]])</f>
        <v>5</v>
      </c>
      <c r="J480">
        <f>Table2[[#This Row],[Credit]]-Table2[[#This Row],[Debit]]</f>
        <v>-5</v>
      </c>
    </row>
    <row r="481" spans="1:10" x14ac:dyDescent="0.45">
      <c r="A481" s="1">
        <v>44498</v>
      </c>
      <c r="B481" t="s">
        <v>11</v>
      </c>
      <c r="C481">
        <v>5</v>
      </c>
      <c r="E481" t="s">
        <v>12</v>
      </c>
      <c r="F481" t="s">
        <v>13</v>
      </c>
      <c r="G481" t="s">
        <v>14</v>
      </c>
      <c r="H481">
        <f>MONTH(Table2[[#This Row],[Date]])</f>
        <v>10</v>
      </c>
      <c r="I481" s="3">
        <f>WEEKDAY(Table2[[#This Row],[Date]])</f>
        <v>6</v>
      </c>
      <c r="J481">
        <f>Table2[[#This Row],[Credit]]-Table2[[#This Row],[Debit]]</f>
        <v>-5</v>
      </c>
    </row>
    <row r="482" spans="1:10" x14ac:dyDescent="0.45">
      <c r="A482" s="1">
        <v>44498</v>
      </c>
      <c r="B482" t="s">
        <v>21</v>
      </c>
      <c r="C482">
        <v>189</v>
      </c>
      <c r="E482" t="s">
        <v>22</v>
      </c>
      <c r="F482" t="s">
        <v>17</v>
      </c>
      <c r="G482" t="s">
        <v>14</v>
      </c>
      <c r="H482">
        <f>MONTH(Table2[[#This Row],[Date]])</f>
        <v>10</v>
      </c>
      <c r="I482" s="3">
        <f>WEEKDAY(Table2[[#This Row],[Date]])</f>
        <v>6</v>
      </c>
      <c r="J482">
        <f>Table2[[#This Row],[Credit]]-Table2[[#This Row],[Debit]]</f>
        <v>-189</v>
      </c>
    </row>
    <row r="483" spans="1:10" x14ac:dyDescent="0.45">
      <c r="A483" s="1">
        <v>44499</v>
      </c>
      <c r="B483" t="s">
        <v>49</v>
      </c>
      <c r="C483">
        <v>133.80000000000001</v>
      </c>
      <c r="E483" t="s">
        <v>31</v>
      </c>
      <c r="F483" t="s">
        <v>29</v>
      </c>
      <c r="G483" t="s">
        <v>14</v>
      </c>
      <c r="H483">
        <f>MONTH(Table2[[#This Row],[Date]])</f>
        <v>10</v>
      </c>
      <c r="I483" s="3">
        <f>WEEKDAY(Table2[[#This Row],[Date]])</f>
        <v>7</v>
      </c>
      <c r="J483">
        <f>Table2[[#This Row],[Credit]]-Table2[[#This Row],[Debit]]</f>
        <v>-133.80000000000001</v>
      </c>
    </row>
    <row r="484" spans="1:10" x14ac:dyDescent="0.45">
      <c r="A484" s="1">
        <v>44499</v>
      </c>
      <c r="B484" t="s">
        <v>50</v>
      </c>
      <c r="C484">
        <v>184.39999999999998</v>
      </c>
      <c r="E484" t="s">
        <v>28</v>
      </c>
      <c r="F484" t="s">
        <v>29</v>
      </c>
      <c r="G484" t="s">
        <v>14</v>
      </c>
      <c r="H484">
        <f>MONTH(Table2[[#This Row],[Date]])</f>
        <v>10</v>
      </c>
      <c r="I484" s="3">
        <f>WEEKDAY(Table2[[#This Row],[Date]])</f>
        <v>7</v>
      </c>
      <c r="J484">
        <f>Table2[[#This Row],[Credit]]-Table2[[#This Row],[Debit]]</f>
        <v>-184.39999999999998</v>
      </c>
    </row>
    <row r="485" spans="1:10" x14ac:dyDescent="0.45">
      <c r="A485" s="1">
        <v>44500</v>
      </c>
      <c r="B485" t="s">
        <v>30</v>
      </c>
      <c r="C485">
        <v>154.49999999999997</v>
      </c>
      <c r="E485" t="s">
        <v>31</v>
      </c>
      <c r="F485" t="s">
        <v>29</v>
      </c>
      <c r="G485" t="s">
        <v>14</v>
      </c>
      <c r="H485">
        <f>MONTH(Table2[[#This Row],[Date]])</f>
        <v>10</v>
      </c>
      <c r="I485" s="3">
        <f>WEEKDAY(Table2[[#This Row],[Date]])</f>
        <v>1</v>
      </c>
      <c r="J485">
        <f>Table2[[#This Row],[Credit]]-Table2[[#This Row],[Debit]]</f>
        <v>-154.49999999999997</v>
      </c>
    </row>
    <row r="486" spans="1:10" x14ac:dyDescent="0.45">
      <c r="A486" s="1">
        <v>44500</v>
      </c>
      <c r="B486" t="s">
        <v>34</v>
      </c>
      <c r="C486">
        <v>32.1</v>
      </c>
      <c r="E486" t="s">
        <v>35</v>
      </c>
      <c r="F486" t="s">
        <v>20</v>
      </c>
      <c r="G486" t="s">
        <v>14</v>
      </c>
      <c r="H486">
        <f>MONTH(Table2[[#This Row],[Date]])</f>
        <v>10</v>
      </c>
      <c r="I486" s="3">
        <f>WEEKDAY(Table2[[#This Row],[Date]])</f>
        <v>1</v>
      </c>
      <c r="J486">
        <f>Table2[[#This Row],[Credit]]-Table2[[#This Row],[Debit]]</f>
        <v>-32.1</v>
      </c>
    </row>
    <row r="487" spans="1:10" x14ac:dyDescent="0.45">
      <c r="A487" s="1">
        <v>44500</v>
      </c>
      <c r="B487" t="s">
        <v>51</v>
      </c>
      <c r="C487">
        <v>15</v>
      </c>
      <c r="E487" t="s">
        <v>33</v>
      </c>
      <c r="F487" t="s">
        <v>13</v>
      </c>
      <c r="G487" t="s">
        <v>14</v>
      </c>
      <c r="H487">
        <f>MONTH(Table2[[#This Row],[Date]])</f>
        <v>10</v>
      </c>
      <c r="I487" s="3">
        <f>WEEKDAY(Table2[[#This Row],[Date]])</f>
        <v>1</v>
      </c>
      <c r="J487">
        <f>Table2[[#This Row],[Credit]]-Table2[[#This Row],[Debit]]</f>
        <v>-15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AF07C-3F66-4D9F-B053-FB8133A130AC}">
  <sheetPr codeName="Sheet3"/>
  <dimension ref="E1:H487"/>
  <sheetViews>
    <sheetView showGridLines="0" showRowColHeaders="0" workbookViewId="0">
      <selection activeCell="L30" sqref="L30"/>
    </sheetView>
  </sheetViews>
  <sheetFormatPr defaultRowHeight="14.25" x14ac:dyDescent="0.45"/>
  <cols>
    <col min="5" max="5" width="10.73046875" style="1" bestFit="1" customWidth="1"/>
    <col min="7" max="7" width="10.73046875" bestFit="1" customWidth="1"/>
  </cols>
  <sheetData>
    <row r="1" spans="5:7" x14ac:dyDescent="0.45">
      <c r="E1" s="14" t="s">
        <v>0</v>
      </c>
    </row>
    <row r="2" spans="5:7" x14ac:dyDescent="0.45">
      <c r="E2" s="14">
        <v>44200</v>
      </c>
      <c r="G2" s="11" t="s">
        <v>104</v>
      </c>
    </row>
    <row r="3" spans="5:7" x14ac:dyDescent="0.45">
      <c r="E3" s="14">
        <v>44201</v>
      </c>
      <c r="G3" s="15">
        <f>MIN(E2:E1048576)</f>
        <v>44200</v>
      </c>
    </row>
    <row r="4" spans="5:7" x14ac:dyDescent="0.45">
      <c r="E4" s="14">
        <v>44202</v>
      </c>
      <c r="G4" s="15">
        <f>MAX(E2:E1048576)</f>
        <v>44500</v>
      </c>
    </row>
    <row r="5" spans="5:7" x14ac:dyDescent="0.45">
      <c r="E5" s="14">
        <v>44203</v>
      </c>
    </row>
    <row r="6" spans="5:7" x14ac:dyDescent="0.45">
      <c r="E6" s="14">
        <v>44204</v>
      </c>
    </row>
    <row r="7" spans="5:7" x14ac:dyDescent="0.45">
      <c r="E7" s="14">
        <v>44207</v>
      </c>
    </row>
    <row r="8" spans="5:7" x14ac:dyDescent="0.45">
      <c r="E8" s="14">
        <v>44208</v>
      </c>
    </row>
    <row r="9" spans="5:7" x14ac:dyDescent="0.45">
      <c r="E9" s="14">
        <v>44209</v>
      </c>
    </row>
    <row r="10" spans="5:7" x14ac:dyDescent="0.45">
      <c r="E10" s="14">
        <v>44210</v>
      </c>
    </row>
    <row r="11" spans="5:7" x14ac:dyDescent="0.45">
      <c r="E11" s="14">
        <v>44211</v>
      </c>
    </row>
    <row r="12" spans="5:7" x14ac:dyDescent="0.45">
      <c r="E12" s="14">
        <v>44212</v>
      </c>
    </row>
    <row r="13" spans="5:7" x14ac:dyDescent="0.45">
      <c r="E13" s="14">
        <v>44213</v>
      </c>
    </row>
    <row r="14" spans="5:7" x14ac:dyDescent="0.45">
      <c r="E14" s="14">
        <v>44214</v>
      </c>
    </row>
    <row r="15" spans="5:7" x14ac:dyDescent="0.45">
      <c r="E15" s="14">
        <v>44215</v>
      </c>
    </row>
    <row r="16" spans="5:7" x14ac:dyDescent="0.45">
      <c r="E16" s="14">
        <v>44216</v>
      </c>
    </row>
    <row r="17" spans="5:5" x14ac:dyDescent="0.45">
      <c r="E17" s="14">
        <v>44217</v>
      </c>
    </row>
    <row r="18" spans="5:5" x14ac:dyDescent="0.45">
      <c r="E18" s="14">
        <v>44218</v>
      </c>
    </row>
    <row r="19" spans="5:5" x14ac:dyDescent="0.45">
      <c r="E19" s="14">
        <v>44219</v>
      </c>
    </row>
    <row r="20" spans="5:5" x14ac:dyDescent="0.45">
      <c r="E20" s="14">
        <v>44220</v>
      </c>
    </row>
    <row r="21" spans="5:5" x14ac:dyDescent="0.45">
      <c r="E21" s="14">
        <v>44221</v>
      </c>
    </row>
    <row r="22" spans="5:5" x14ac:dyDescent="0.45">
      <c r="E22" s="14">
        <v>44222</v>
      </c>
    </row>
    <row r="23" spans="5:5" x14ac:dyDescent="0.45">
      <c r="E23" s="14">
        <v>44223</v>
      </c>
    </row>
    <row r="24" spans="5:5" x14ac:dyDescent="0.45">
      <c r="E24" s="14">
        <v>44224</v>
      </c>
    </row>
    <row r="25" spans="5:5" x14ac:dyDescent="0.45">
      <c r="E25" s="14">
        <v>44225</v>
      </c>
    </row>
    <row r="26" spans="5:5" x14ac:dyDescent="0.45">
      <c r="E26" s="14">
        <v>44226</v>
      </c>
    </row>
    <row r="27" spans="5:5" x14ac:dyDescent="0.45">
      <c r="E27" s="14">
        <v>44227</v>
      </c>
    </row>
    <row r="28" spans="5:5" x14ac:dyDescent="0.45">
      <c r="E28" s="14">
        <v>44228</v>
      </c>
    </row>
    <row r="29" spans="5:5" x14ac:dyDescent="0.45">
      <c r="E29" s="14">
        <v>44229</v>
      </c>
    </row>
    <row r="30" spans="5:5" x14ac:dyDescent="0.45">
      <c r="E30" s="14">
        <v>44230</v>
      </c>
    </row>
    <row r="31" spans="5:5" x14ac:dyDescent="0.45">
      <c r="E31" s="14">
        <v>44231</v>
      </c>
    </row>
    <row r="32" spans="5:5" x14ac:dyDescent="0.45">
      <c r="E32" s="14">
        <v>44232</v>
      </c>
    </row>
    <row r="33" spans="5:5" x14ac:dyDescent="0.45">
      <c r="E33" s="14">
        <v>44235</v>
      </c>
    </row>
    <row r="34" spans="5:5" x14ac:dyDescent="0.45">
      <c r="E34" s="14">
        <v>44236</v>
      </c>
    </row>
    <row r="35" spans="5:5" x14ac:dyDescent="0.45">
      <c r="E35" s="14">
        <v>44237</v>
      </c>
    </row>
    <row r="36" spans="5:5" x14ac:dyDescent="0.45">
      <c r="E36" s="14">
        <v>44238</v>
      </c>
    </row>
    <row r="37" spans="5:5" x14ac:dyDescent="0.45">
      <c r="E37" s="14">
        <v>44239</v>
      </c>
    </row>
    <row r="38" spans="5:5" x14ac:dyDescent="0.45">
      <c r="E38" s="14">
        <v>44240</v>
      </c>
    </row>
    <row r="39" spans="5:5" x14ac:dyDescent="0.45">
      <c r="E39" s="14">
        <v>44241</v>
      </c>
    </row>
    <row r="40" spans="5:5" x14ac:dyDescent="0.45">
      <c r="E40" s="14">
        <v>44242</v>
      </c>
    </row>
    <row r="41" spans="5:5" x14ac:dyDescent="0.45">
      <c r="E41" s="14">
        <v>44243</v>
      </c>
    </row>
    <row r="42" spans="5:5" x14ac:dyDescent="0.45">
      <c r="E42" s="14">
        <v>44244</v>
      </c>
    </row>
    <row r="43" spans="5:5" x14ac:dyDescent="0.45">
      <c r="E43" s="14">
        <v>44245</v>
      </c>
    </row>
    <row r="44" spans="5:5" x14ac:dyDescent="0.45">
      <c r="E44" s="14">
        <v>44246</v>
      </c>
    </row>
    <row r="45" spans="5:5" x14ac:dyDescent="0.45">
      <c r="E45" s="14">
        <v>44247</v>
      </c>
    </row>
    <row r="46" spans="5:5" x14ac:dyDescent="0.45">
      <c r="E46" s="14">
        <v>44248</v>
      </c>
    </row>
    <row r="47" spans="5:5" x14ac:dyDescent="0.45">
      <c r="E47" s="14">
        <v>44249</v>
      </c>
    </row>
    <row r="48" spans="5:5" x14ac:dyDescent="0.45">
      <c r="E48" s="14">
        <v>44250</v>
      </c>
    </row>
    <row r="49" spans="5:5" x14ac:dyDescent="0.45">
      <c r="E49" s="14">
        <v>44251</v>
      </c>
    </row>
    <row r="50" spans="5:5" x14ac:dyDescent="0.45">
      <c r="E50" s="14">
        <v>44252</v>
      </c>
    </row>
    <row r="51" spans="5:5" x14ac:dyDescent="0.45">
      <c r="E51" s="14">
        <v>44253</v>
      </c>
    </row>
    <row r="52" spans="5:5" x14ac:dyDescent="0.45">
      <c r="E52" s="14">
        <v>44254</v>
      </c>
    </row>
    <row r="53" spans="5:5" x14ac:dyDescent="0.45">
      <c r="E53" s="14">
        <v>44255</v>
      </c>
    </row>
    <row r="54" spans="5:5" x14ac:dyDescent="0.45">
      <c r="E54" s="14">
        <v>44256</v>
      </c>
    </row>
    <row r="55" spans="5:5" x14ac:dyDescent="0.45">
      <c r="E55" s="14">
        <v>44257</v>
      </c>
    </row>
    <row r="56" spans="5:5" x14ac:dyDescent="0.45">
      <c r="E56" s="14">
        <v>44258</v>
      </c>
    </row>
    <row r="57" spans="5:5" x14ac:dyDescent="0.45">
      <c r="E57" s="14">
        <v>44259</v>
      </c>
    </row>
    <row r="58" spans="5:5" x14ac:dyDescent="0.45">
      <c r="E58" s="14">
        <v>44260</v>
      </c>
    </row>
    <row r="59" spans="5:5" x14ac:dyDescent="0.45">
      <c r="E59" s="14">
        <v>44263</v>
      </c>
    </row>
    <row r="60" spans="5:5" x14ac:dyDescent="0.45">
      <c r="E60" s="14">
        <v>44264</v>
      </c>
    </row>
    <row r="61" spans="5:5" x14ac:dyDescent="0.45">
      <c r="E61" s="14">
        <v>44265</v>
      </c>
    </row>
    <row r="62" spans="5:5" x14ac:dyDescent="0.45">
      <c r="E62" s="14">
        <v>44266</v>
      </c>
    </row>
    <row r="63" spans="5:5" x14ac:dyDescent="0.45">
      <c r="E63" s="14">
        <v>44267</v>
      </c>
    </row>
    <row r="64" spans="5:5" x14ac:dyDescent="0.45">
      <c r="E64" s="14">
        <v>44268</v>
      </c>
    </row>
    <row r="65" spans="5:5" x14ac:dyDescent="0.45">
      <c r="E65" s="14">
        <v>44269</v>
      </c>
    </row>
    <row r="66" spans="5:5" x14ac:dyDescent="0.45">
      <c r="E66" s="14">
        <v>44270</v>
      </c>
    </row>
    <row r="67" spans="5:5" x14ac:dyDescent="0.45">
      <c r="E67" s="14">
        <v>44271</v>
      </c>
    </row>
    <row r="68" spans="5:5" x14ac:dyDescent="0.45">
      <c r="E68" s="14">
        <v>44272</v>
      </c>
    </row>
    <row r="69" spans="5:5" x14ac:dyDescent="0.45">
      <c r="E69" s="14">
        <v>44273</v>
      </c>
    </row>
    <row r="70" spans="5:5" x14ac:dyDescent="0.45">
      <c r="E70" s="14">
        <v>44274</v>
      </c>
    </row>
    <row r="71" spans="5:5" x14ac:dyDescent="0.45">
      <c r="E71" s="14">
        <v>44275</v>
      </c>
    </row>
    <row r="72" spans="5:5" x14ac:dyDescent="0.45">
      <c r="E72" s="14">
        <v>44276</v>
      </c>
    </row>
    <row r="73" spans="5:5" x14ac:dyDescent="0.45">
      <c r="E73" s="14">
        <v>44277</v>
      </c>
    </row>
    <row r="74" spans="5:5" x14ac:dyDescent="0.45">
      <c r="E74" s="14">
        <v>44278</v>
      </c>
    </row>
    <row r="75" spans="5:5" x14ac:dyDescent="0.45">
      <c r="E75" s="14">
        <v>44279</v>
      </c>
    </row>
    <row r="76" spans="5:5" x14ac:dyDescent="0.45">
      <c r="E76" s="14">
        <v>44280</v>
      </c>
    </row>
    <row r="77" spans="5:5" x14ac:dyDescent="0.45">
      <c r="E77" s="14">
        <v>44281</v>
      </c>
    </row>
    <row r="78" spans="5:5" x14ac:dyDescent="0.45">
      <c r="E78" s="14">
        <v>44282</v>
      </c>
    </row>
    <row r="79" spans="5:5" x14ac:dyDescent="0.45">
      <c r="E79" s="14">
        <v>44283</v>
      </c>
    </row>
    <row r="80" spans="5:5" x14ac:dyDescent="0.45">
      <c r="E80" s="14">
        <v>44284</v>
      </c>
    </row>
    <row r="81" spans="5:5" x14ac:dyDescent="0.45">
      <c r="E81" s="14">
        <v>44285</v>
      </c>
    </row>
    <row r="82" spans="5:5" x14ac:dyDescent="0.45">
      <c r="E82" s="14">
        <v>44286</v>
      </c>
    </row>
    <row r="83" spans="5:5" x14ac:dyDescent="0.45">
      <c r="E83" s="14">
        <v>44287</v>
      </c>
    </row>
    <row r="84" spans="5:5" x14ac:dyDescent="0.45">
      <c r="E84" s="14">
        <v>44288</v>
      </c>
    </row>
    <row r="85" spans="5:5" x14ac:dyDescent="0.45">
      <c r="E85" s="14">
        <v>44289</v>
      </c>
    </row>
    <row r="86" spans="5:5" x14ac:dyDescent="0.45">
      <c r="E86" s="14">
        <v>44290</v>
      </c>
    </row>
    <row r="87" spans="5:5" x14ac:dyDescent="0.45">
      <c r="E87" s="14">
        <v>44291</v>
      </c>
    </row>
    <row r="88" spans="5:5" x14ac:dyDescent="0.45">
      <c r="E88" s="14">
        <v>44294</v>
      </c>
    </row>
    <row r="89" spans="5:5" x14ac:dyDescent="0.45">
      <c r="E89" s="14">
        <v>44295</v>
      </c>
    </row>
    <row r="90" spans="5:5" x14ac:dyDescent="0.45">
      <c r="E90" s="14">
        <v>44296</v>
      </c>
    </row>
    <row r="91" spans="5:5" x14ac:dyDescent="0.45">
      <c r="E91" s="14">
        <v>44297</v>
      </c>
    </row>
    <row r="92" spans="5:5" x14ac:dyDescent="0.45">
      <c r="E92" s="14">
        <v>44298</v>
      </c>
    </row>
    <row r="93" spans="5:5" x14ac:dyDescent="0.45">
      <c r="E93" s="14">
        <v>44299</v>
      </c>
    </row>
    <row r="94" spans="5:5" x14ac:dyDescent="0.45">
      <c r="E94" s="14">
        <v>44300</v>
      </c>
    </row>
    <row r="95" spans="5:5" x14ac:dyDescent="0.45">
      <c r="E95" s="14">
        <v>44301</v>
      </c>
    </row>
    <row r="96" spans="5:5" x14ac:dyDescent="0.45">
      <c r="E96" s="14">
        <v>44302</v>
      </c>
    </row>
    <row r="97" spans="5:5" x14ac:dyDescent="0.45">
      <c r="E97" s="14">
        <v>44303</v>
      </c>
    </row>
    <row r="98" spans="5:5" x14ac:dyDescent="0.45">
      <c r="E98" s="14">
        <v>44304</v>
      </c>
    </row>
    <row r="99" spans="5:5" x14ac:dyDescent="0.45">
      <c r="E99" s="14">
        <v>44305</v>
      </c>
    </row>
    <row r="100" spans="5:5" x14ac:dyDescent="0.45">
      <c r="E100" s="14">
        <v>44306</v>
      </c>
    </row>
    <row r="101" spans="5:5" x14ac:dyDescent="0.45">
      <c r="E101" s="14">
        <v>44307</v>
      </c>
    </row>
    <row r="102" spans="5:5" x14ac:dyDescent="0.45">
      <c r="E102" s="14">
        <v>44308</v>
      </c>
    </row>
    <row r="103" spans="5:5" x14ac:dyDescent="0.45">
      <c r="E103" s="14">
        <v>44309</v>
      </c>
    </row>
    <row r="104" spans="5:5" x14ac:dyDescent="0.45">
      <c r="E104" s="14">
        <v>44310</v>
      </c>
    </row>
    <row r="105" spans="5:5" x14ac:dyDescent="0.45">
      <c r="E105" s="14">
        <v>44311</v>
      </c>
    </row>
    <row r="106" spans="5:5" x14ac:dyDescent="0.45">
      <c r="E106" s="14">
        <v>44312</v>
      </c>
    </row>
    <row r="107" spans="5:5" x14ac:dyDescent="0.45">
      <c r="E107" s="14">
        <v>44313</v>
      </c>
    </row>
    <row r="108" spans="5:5" x14ac:dyDescent="0.45">
      <c r="E108" s="14">
        <v>44314</v>
      </c>
    </row>
    <row r="109" spans="5:5" x14ac:dyDescent="0.45">
      <c r="E109" s="14">
        <v>44315</v>
      </c>
    </row>
    <row r="110" spans="5:5" x14ac:dyDescent="0.45">
      <c r="E110" s="14">
        <v>44316</v>
      </c>
    </row>
    <row r="111" spans="5:5" x14ac:dyDescent="0.45">
      <c r="E111" s="14">
        <v>44318</v>
      </c>
    </row>
    <row r="112" spans="5:5" x14ac:dyDescent="0.45">
      <c r="E112" s="14">
        <v>44319</v>
      </c>
    </row>
    <row r="113" spans="5:5" x14ac:dyDescent="0.45">
      <c r="E113" s="14">
        <v>44320</v>
      </c>
    </row>
    <row r="114" spans="5:5" x14ac:dyDescent="0.45">
      <c r="E114" s="14">
        <v>44321</v>
      </c>
    </row>
    <row r="115" spans="5:5" x14ac:dyDescent="0.45">
      <c r="E115" s="14">
        <v>44322</v>
      </c>
    </row>
    <row r="116" spans="5:5" x14ac:dyDescent="0.45">
      <c r="E116" s="14">
        <v>44325</v>
      </c>
    </row>
    <row r="117" spans="5:5" x14ac:dyDescent="0.45">
      <c r="E117" s="14">
        <v>44326</v>
      </c>
    </row>
    <row r="118" spans="5:5" x14ac:dyDescent="0.45">
      <c r="E118" s="14">
        <v>44327</v>
      </c>
    </row>
    <row r="119" spans="5:5" x14ac:dyDescent="0.45">
      <c r="E119" s="14">
        <v>44328</v>
      </c>
    </row>
    <row r="120" spans="5:5" x14ac:dyDescent="0.45">
      <c r="E120" s="14">
        <v>44329</v>
      </c>
    </row>
    <row r="121" spans="5:5" x14ac:dyDescent="0.45">
      <c r="E121" s="14">
        <v>44330</v>
      </c>
    </row>
    <row r="122" spans="5:5" x14ac:dyDescent="0.45">
      <c r="E122" s="14">
        <v>44331</v>
      </c>
    </row>
    <row r="123" spans="5:5" x14ac:dyDescent="0.45">
      <c r="E123" s="14">
        <v>44332</v>
      </c>
    </row>
    <row r="124" spans="5:5" x14ac:dyDescent="0.45">
      <c r="E124" s="14">
        <v>44333</v>
      </c>
    </row>
    <row r="125" spans="5:5" x14ac:dyDescent="0.45">
      <c r="E125" s="14">
        <v>44334</v>
      </c>
    </row>
    <row r="126" spans="5:5" x14ac:dyDescent="0.45">
      <c r="E126" s="14">
        <v>44335</v>
      </c>
    </row>
    <row r="127" spans="5:5" x14ac:dyDescent="0.45">
      <c r="E127" s="14">
        <v>44336</v>
      </c>
    </row>
    <row r="128" spans="5:5" x14ac:dyDescent="0.45">
      <c r="E128" s="14">
        <v>44337</v>
      </c>
    </row>
    <row r="129" spans="5:5" x14ac:dyDescent="0.45">
      <c r="E129" s="14">
        <v>44338</v>
      </c>
    </row>
    <row r="130" spans="5:5" x14ac:dyDescent="0.45">
      <c r="E130" s="14">
        <v>44339</v>
      </c>
    </row>
    <row r="131" spans="5:5" x14ac:dyDescent="0.45">
      <c r="E131" s="14">
        <v>44340</v>
      </c>
    </row>
    <row r="132" spans="5:5" x14ac:dyDescent="0.45">
      <c r="E132" s="14">
        <v>44341</v>
      </c>
    </row>
    <row r="133" spans="5:5" x14ac:dyDescent="0.45">
      <c r="E133" s="14">
        <v>44342</v>
      </c>
    </row>
    <row r="134" spans="5:5" x14ac:dyDescent="0.45">
      <c r="E134" s="14">
        <v>44343</v>
      </c>
    </row>
    <row r="135" spans="5:5" x14ac:dyDescent="0.45">
      <c r="E135" s="14">
        <v>44344</v>
      </c>
    </row>
    <row r="136" spans="5:5" x14ac:dyDescent="0.45">
      <c r="E136" s="14">
        <v>44345</v>
      </c>
    </row>
    <row r="137" spans="5:5" x14ac:dyDescent="0.45">
      <c r="E137" s="14">
        <v>44347</v>
      </c>
    </row>
    <row r="138" spans="5:5" x14ac:dyDescent="0.45">
      <c r="E138" s="14">
        <v>44346</v>
      </c>
    </row>
    <row r="139" spans="5:5" x14ac:dyDescent="0.45">
      <c r="E139" s="14">
        <v>44348</v>
      </c>
    </row>
    <row r="140" spans="5:5" x14ac:dyDescent="0.45">
      <c r="E140" s="14">
        <v>44350</v>
      </c>
    </row>
    <row r="141" spans="5:5" x14ac:dyDescent="0.45">
      <c r="E141" s="14">
        <v>44351</v>
      </c>
    </row>
    <row r="142" spans="5:5" x14ac:dyDescent="0.45">
      <c r="E142" s="14">
        <v>44352</v>
      </c>
    </row>
    <row r="143" spans="5:5" x14ac:dyDescent="0.45">
      <c r="E143" s="14">
        <v>44353</v>
      </c>
    </row>
    <row r="144" spans="5:5" x14ac:dyDescent="0.45">
      <c r="E144" s="14">
        <v>44356</v>
      </c>
    </row>
    <row r="145" spans="5:5" x14ac:dyDescent="0.45">
      <c r="E145" s="14">
        <v>44357</v>
      </c>
    </row>
    <row r="146" spans="5:5" x14ac:dyDescent="0.45">
      <c r="E146" s="14">
        <v>44358</v>
      </c>
    </row>
    <row r="147" spans="5:5" x14ac:dyDescent="0.45">
      <c r="E147" s="14">
        <v>44359</v>
      </c>
    </row>
    <row r="148" spans="5:5" x14ac:dyDescent="0.45">
      <c r="E148" s="14">
        <v>44360</v>
      </c>
    </row>
    <row r="149" spans="5:5" x14ac:dyDescent="0.45">
      <c r="E149" s="14">
        <v>44361</v>
      </c>
    </row>
    <row r="150" spans="5:5" x14ac:dyDescent="0.45">
      <c r="E150" s="14">
        <v>44362</v>
      </c>
    </row>
    <row r="151" spans="5:5" x14ac:dyDescent="0.45">
      <c r="E151" s="14">
        <v>44363</v>
      </c>
    </row>
    <row r="152" spans="5:5" x14ac:dyDescent="0.45">
      <c r="E152" s="14">
        <v>44364</v>
      </c>
    </row>
    <row r="153" spans="5:5" x14ac:dyDescent="0.45">
      <c r="E153" s="14">
        <v>44365</v>
      </c>
    </row>
    <row r="154" spans="5:5" x14ac:dyDescent="0.45">
      <c r="E154" s="14">
        <v>44366</v>
      </c>
    </row>
    <row r="155" spans="5:5" x14ac:dyDescent="0.45">
      <c r="E155" s="14">
        <v>44367</v>
      </c>
    </row>
    <row r="156" spans="5:5" x14ac:dyDescent="0.45">
      <c r="E156" s="14">
        <v>44368</v>
      </c>
    </row>
    <row r="157" spans="5:5" x14ac:dyDescent="0.45">
      <c r="E157" s="14">
        <v>44369</v>
      </c>
    </row>
    <row r="158" spans="5:5" x14ac:dyDescent="0.45">
      <c r="E158" s="14">
        <v>44370</v>
      </c>
    </row>
    <row r="159" spans="5:5" x14ac:dyDescent="0.45">
      <c r="E159" s="14">
        <v>44371</v>
      </c>
    </row>
    <row r="160" spans="5:5" x14ac:dyDescent="0.45">
      <c r="E160" s="14">
        <v>44372</v>
      </c>
    </row>
    <row r="161" spans="5:5" x14ac:dyDescent="0.45">
      <c r="E161" s="14">
        <v>44373</v>
      </c>
    </row>
    <row r="162" spans="5:5" x14ac:dyDescent="0.45">
      <c r="E162" s="14">
        <v>44374</v>
      </c>
    </row>
    <row r="163" spans="5:5" x14ac:dyDescent="0.45">
      <c r="E163" s="14">
        <v>44375</v>
      </c>
    </row>
    <row r="164" spans="5:5" x14ac:dyDescent="0.45">
      <c r="E164" s="14">
        <v>44376</v>
      </c>
    </row>
    <row r="165" spans="5:5" x14ac:dyDescent="0.45">
      <c r="E165" s="14">
        <v>44377</v>
      </c>
    </row>
    <row r="166" spans="5:5" x14ac:dyDescent="0.45">
      <c r="E166" s="14">
        <v>44378</v>
      </c>
    </row>
    <row r="167" spans="5:5" x14ac:dyDescent="0.45">
      <c r="E167" s="14">
        <v>44379</v>
      </c>
    </row>
    <row r="168" spans="5:5" x14ac:dyDescent="0.45">
      <c r="E168" s="14">
        <v>44380</v>
      </c>
    </row>
    <row r="169" spans="5:5" x14ac:dyDescent="0.45">
      <c r="E169" s="14">
        <v>44382</v>
      </c>
    </row>
    <row r="170" spans="5:5" x14ac:dyDescent="0.45">
      <c r="E170" s="14">
        <v>44383</v>
      </c>
    </row>
    <row r="171" spans="5:5" x14ac:dyDescent="0.45">
      <c r="E171" s="14">
        <v>44384</v>
      </c>
    </row>
    <row r="172" spans="5:5" x14ac:dyDescent="0.45">
      <c r="E172" s="14">
        <v>44387</v>
      </c>
    </row>
    <row r="173" spans="5:5" x14ac:dyDescent="0.45">
      <c r="E173" s="14">
        <v>44388</v>
      </c>
    </row>
    <row r="174" spans="5:5" x14ac:dyDescent="0.45">
      <c r="E174" s="14">
        <v>44389</v>
      </c>
    </row>
    <row r="175" spans="5:5" x14ac:dyDescent="0.45">
      <c r="E175" s="14">
        <v>44390</v>
      </c>
    </row>
    <row r="176" spans="5:5" x14ac:dyDescent="0.45">
      <c r="E176" s="14">
        <v>44391</v>
      </c>
    </row>
    <row r="177" spans="5:5" x14ac:dyDescent="0.45">
      <c r="E177" s="14">
        <v>44392</v>
      </c>
    </row>
    <row r="178" spans="5:5" x14ac:dyDescent="0.45">
      <c r="E178" s="14">
        <v>44393</v>
      </c>
    </row>
    <row r="179" spans="5:5" x14ac:dyDescent="0.45">
      <c r="E179" s="14">
        <v>44394</v>
      </c>
    </row>
    <row r="180" spans="5:5" x14ac:dyDescent="0.45">
      <c r="E180" s="14">
        <v>44395</v>
      </c>
    </row>
    <row r="181" spans="5:5" x14ac:dyDescent="0.45">
      <c r="E181" s="14">
        <v>44396</v>
      </c>
    </row>
    <row r="182" spans="5:5" x14ac:dyDescent="0.45">
      <c r="E182" s="14">
        <v>44397</v>
      </c>
    </row>
    <row r="183" spans="5:5" x14ac:dyDescent="0.45">
      <c r="E183" s="14">
        <v>44398</v>
      </c>
    </row>
    <row r="184" spans="5:5" x14ac:dyDescent="0.45">
      <c r="E184" s="14">
        <v>44399</v>
      </c>
    </row>
    <row r="185" spans="5:5" x14ac:dyDescent="0.45">
      <c r="E185" s="14">
        <v>44400</v>
      </c>
    </row>
    <row r="186" spans="5:5" x14ac:dyDescent="0.45">
      <c r="E186" s="14">
        <v>44401</v>
      </c>
    </row>
    <row r="187" spans="5:5" x14ac:dyDescent="0.45">
      <c r="E187" s="14">
        <v>44402</v>
      </c>
    </row>
    <row r="188" spans="5:5" x14ac:dyDescent="0.45">
      <c r="E188" s="14">
        <v>44403</v>
      </c>
    </row>
    <row r="189" spans="5:5" x14ac:dyDescent="0.45">
      <c r="E189" s="14">
        <v>44404</v>
      </c>
    </row>
    <row r="190" spans="5:5" x14ac:dyDescent="0.45">
      <c r="E190" s="14">
        <v>44405</v>
      </c>
    </row>
    <row r="191" spans="5:5" x14ac:dyDescent="0.45">
      <c r="E191" s="14">
        <v>44406</v>
      </c>
    </row>
    <row r="192" spans="5:5" x14ac:dyDescent="0.45">
      <c r="E192" s="14">
        <v>44407</v>
      </c>
    </row>
    <row r="193" spans="5:5" x14ac:dyDescent="0.45">
      <c r="E193" s="14">
        <v>44408</v>
      </c>
    </row>
    <row r="194" spans="5:5" x14ac:dyDescent="0.45">
      <c r="E194" s="14">
        <v>44410</v>
      </c>
    </row>
    <row r="195" spans="5:5" x14ac:dyDescent="0.45">
      <c r="E195" s="14">
        <v>44411</v>
      </c>
    </row>
    <row r="196" spans="5:5" x14ac:dyDescent="0.45">
      <c r="E196" s="14">
        <v>44413</v>
      </c>
    </row>
    <row r="197" spans="5:5" x14ac:dyDescent="0.45">
      <c r="E197" s="14">
        <v>44414</v>
      </c>
    </row>
    <row r="198" spans="5:5" x14ac:dyDescent="0.45">
      <c r="E198" s="14">
        <v>44415</v>
      </c>
    </row>
    <row r="199" spans="5:5" x14ac:dyDescent="0.45">
      <c r="E199" s="14">
        <v>44418</v>
      </c>
    </row>
    <row r="200" spans="5:5" x14ac:dyDescent="0.45">
      <c r="E200" s="14">
        <v>44419</v>
      </c>
    </row>
    <row r="201" spans="5:5" x14ac:dyDescent="0.45">
      <c r="E201" s="14">
        <v>44420</v>
      </c>
    </row>
    <row r="202" spans="5:5" x14ac:dyDescent="0.45">
      <c r="E202" s="14">
        <v>44421</v>
      </c>
    </row>
    <row r="203" spans="5:5" x14ac:dyDescent="0.45">
      <c r="E203" s="14">
        <v>44422</v>
      </c>
    </row>
    <row r="204" spans="5:5" x14ac:dyDescent="0.45">
      <c r="E204" s="14">
        <v>44423</v>
      </c>
    </row>
    <row r="205" spans="5:5" x14ac:dyDescent="0.45">
      <c r="E205" s="14">
        <v>44424</v>
      </c>
    </row>
    <row r="206" spans="5:5" x14ac:dyDescent="0.45">
      <c r="E206" s="14">
        <v>44425</v>
      </c>
    </row>
    <row r="207" spans="5:5" x14ac:dyDescent="0.45">
      <c r="E207" s="14">
        <v>44426</v>
      </c>
    </row>
    <row r="208" spans="5:5" x14ac:dyDescent="0.45">
      <c r="E208" s="14">
        <v>44427</v>
      </c>
    </row>
    <row r="209" spans="5:5" x14ac:dyDescent="0.45">
      <c r="E209" s="14">
        <v>44428</v>
      </c>
    </row>
    <row r="210" spans="5:5" x14ac:dyDescent="0.45">
      <c r="E210" s="14">
        <v>44429</v>
      </c>
    </row>
    <row r="211" spans="5:5" x14ac:dyDescent="0.45">
      <c r="E211" s="14">
        <v>44430</v>
      </c>
    </row>
    <row r="212" spans="5:5" x14ac:dyDescent="0.45">
      <c r="E212" s="14">
        <v>44431</v>
      </c>
    </row>
    <row r="213" spans="5:5" x14ac:dyDescent="0.45">
      <c r="E213" s="14">
        <v>44432</v>
      </c>
    </row>
    <row r="214" spans="5:5" x14ac:dyDescent="0.45">
      <c r="E214" s="14">
        <v>44433</v>
      </c>
    </row>
    <row r="215" spans="5:5" x14ac:dyDescent="0.45">
      <c r="E215" s="14">
        <v>44434</v>
      </c>
    </row>
    <row r="216" spans="5:5" x14ac:dyDescent="0.45">
      <c r="E216" s="14">
        <v>44435</v>
      </c>
    </row>
    <row r="217" spans="5:5" x14ac:dyDescent="0.45">
      <c r="E217" s="14">
        <v>44436</v>
      </c>
    </row>
    <row r="218" spans="5:5" x14ac:dyDescent="0.45">
      <c r="E218" s="14">
        <v>44437</v>
      </c>
    </row>
    <row r="219" spans="5:5" x14ac:dyDescent="0.45">
      <c r="E219" s="14">
        <v>44438</v>
      </c>
    </row>
    <row r="220" spans="5:5" x14ac:dyDescent="0.45">
      <c r="E220" s="14">
        <v>44439</v>
      </c>
    </row>
    <row r="221" spans="5:5" x14ac:dyDescent="0.45">
      <c r="E221" s="14">
        <v>44441</v>
      </c>
    </row>
    <row r="222" spans="5:5" x14ac:dyDescent="0.45">
      <c r="E222" s="14">
        <v>44442</v>
      </c>
    </row>
    <row r="223" spans="5:5" x14ac:dyDescent="0.45">
      <c r="E223" s="14">
        <v>44444</v>
      </c>
    </row>
    <row r="224" spans="5:5" x14ac:dyDescent="0.45">
      <c r="E224" s="14">
        <v>44445</v>
      </c>
    </row>
    <row r="225" spans="5:5" x14ac:dyDescent="0.45">
      <c r="E225" s="14">
        <v>44446</v>
      </c>
    </row>
    <row r="226" spans="5:5" x14ac:dyDescent="0.45">
      <c r="E226" s="14">
        <v>44449</v>
      </c>
    </row>
    <row r="227" spans="5:5" x14ac:dyDescent="0.45">
      <c r="E227" s="14">
        <v>44450</v>
      </c>
    </row>
    <row r="228" spans="5:5" x14ac:dyDescent="0.45">
      <c r="E228" s="14">
        <v>44451</v>
      </c>
    </row>
    <row r="229" spans="5:5" x14ac:dyDescent="0.45">
      <c r="E229" s="14">
        <v>44452</v>
      </c>
    </row>
    <row r="230" spans="5:5" x14ac:dyDescent="0.45">
      <c r="E230" s="14">
        <v>44453</v>
      </c>
    </row>
    <row r="231" spans="5:5" x14ac:dyDescent="0.45">
      <c r="E231" s="14">
        <v>44454</v>
      </c>
    </row>
    <row r="232" spans="5:5" x14ac:dyDescent="0.45">
      <c r="E232" s="14">
        <v>44455</v>
      </c>
    </row>
    <row r="233" spans="5:5" x14ac:dyDescent="0.45">
      <c r="E233" s="14">
        <v>44456</v>
      </c>
    </row>
    <row r="234" spans="5:5" x14ac:dyDescent="0.45">
      <c r="E234" s="14">
        <v>44457</v>
      </c>
    </row>
    <row r="235" spans="5:5" x14ac:dyDescent="0.45">
      <c r="E235" s="14">
        <v>44458</v>
      </c>
    </row>
    <row r="236" spans="5:5" x14ac:dyDescent="0.45">
      <c r="E236" s="14">
        <v>44459</v>
      </c>
    </row>
    <row r="237" spans="5:5" x14ac:dyDescent="0.45">
      <c r="E237" s="14">
        <v>44460</v>
      </c>
    </row>
    <row r="238" spans="5:5" x14ac:dyDescent="0.45">
      <c r="E238" s="14">
        <v>44461</v>
      </c>
    </row>
    <row r="239" spans="5:5" x14ac:dyDescent="0.45">
      <c r="E239" s="14">
        <v>44462</v>
      </c>
    </row>
    <row r="240" spans="5:5" x14ac:dyDescent="0.45">
      <c r="E240" s="14">
        <v>44463</v>
      </c>
    </row>
    <row r="241" spans="5:8" x14ac:dyDescent="0.45">
      <c r="E241" s="14">
        <v>44464</v>
      </c>
    </row>
    <row r="242" spans="5:8" x14ac:dyDescent="0.45">
      <c r="E242" s="14">
        <v>44465</v>
      </c>
    </row>
    <row r="243" spans="5:8" x14ac:dyDescent="0.45">
      <c r="E243" s="14">
        <v>44466</v>
      </c>
    </row>
    <row r="244" spans="5:8" x14ac:dyDescent="0.45">
      <c r="E244" s="14">
        <v>44467</v>
      </c>
    </row>
    <row r="245" spans="5:8" x14ac:dyDescent="0.45">
      <c r="E245" s="14">
        <v>44468</v>
      </c>
      <c r="H245" s="1"/>
    </row>
    <row r="246" spans="5:8" x14ac:dyDescent="0.45">
      <c r="E246" s="14">
        <v>44469</v>
      </c>
    </row>
    <row r="247" spans="5:8" x14ac:dyDescent="0.45">
      <c r="E247" s="14">
        <v>44470</v>
      </c>
    </row>
    <row r="248" spans="5:8" x14ac:dyDescent="0.45">
      <c r="E248" s="14">
        <v>44472</v>
      </c>
    </row>
    <row r="249" spans="5:8" x14ac:dyDescent="0.45">
      <c r="E249" s="14">
        <v>44473</v>
      </c>
    </row>
    <row r="250" spans="5:8" x14ac:dyDescent="0.45">
      <c r="E250" s="14">
        <v>44475</v>
      </c>
    </row>
    <row r="251" spans="5:8" x14ac:dyDescent="0.45">
      <c r="E251" s="14">
        <v>44476</v>
      </c>
    </row>
    <row r="252" spans="5:8" x14ac:dyDescent="0.45">
      <c r="E252" s="14">
        <v>44477</v>
      </c>
    </row>
    <row r="253" spans="5:8" x14ac:dyDescent="0.45">
      <c r="E253" s="14">
        <v>44480</v>
      </c>
    </row>
    <row r="254" spans="5:8" x14ac:dyDescent="0.45">
      <c r="E254" s="14">
        <v>44481</v>
      </c>
    </row>
    <row r="255" spans="5:8" x14ac:dyDescent="0.45">
      <c r="E255" s="14">
        <v>44482</v>
      </c>
    </row>
    <row r="256" spans="5:8" x14ac:dyDescent="0.45">
      <c r="E256" s="14">
        <v>44483</v>
      </c>
    </row>
    <row r="257" spans="5:5" x14ac:dyDescent="0.45">
      <c r="E257" s="14">
        <v>44484</v>
      </c>
    </row>
    <row r="258" spans="5:5" x14ac:dyDescent="0.45">
      <c r="E258" s="14">
        <v>44485</v>
      </c>
    </row>
    <row r="259" spans="5:5" x14ac:dyDescent="0.45">
      <c r="E259" s="14">
        <v>44486</v>
      </c>
    </row>
    <row r="260" spans="5:5" x14ac:dyDescent="0.45">
      <c r="E260" s="14">
        <v>44487</v>
      </c>
    </row>
    <row r="261" spans="5:5" x14ac:dyDescent="0.45">
      <c r="E261" s="14">
        <v>44488</v>
      </c>
    </row>
    <row r="262" spans="5:5" x14ac:dyDescent="0.45">
      <c r="E262" s="14">
        <v>44489</v>
      </c>
    </row>
    <row r="263" spans="5:5" x14ac:dyDescent="0.45">
      <c r="E263" s="14">
        <v>44490</v>
      </c>
    </row>
    <row r="264" spans="5:5" x14ac:dyDescent="0.45">
      <c r="E264" s="14">
        <v>44491</v>
      </c>
    </row>
    <row r="265" spans="5:5" x14ac:dyDescent="0.45">
      <c r="E265" s="14">
        <v>44492</v>
      </c>
    </row>
    <row r="266" spans="5:5" x14ac:dyDescent="0.45">
      <c r="E266" s="14">
        <v>44493</v>
      </c>
    </row>
    <row r="267" spans="5:5" x14ac:dyDescent="0.45">
      <c r="E267" s="14">
        <v>44494</v>
      </c>
    </row>
    <row r="268" spans="5:5" x14ac:dyDescent="0.45">
      <c r="E268" s="14">
        <v>44495</v>
      </c>
    </row>
    <row r="269" spans="5:5" x14ac:dyDescent="0.45">
      <c r="E269" s="14">
        <v>44496</v>
      </c>
    </row>
    <row r="270" spans="5:5" x14ac:dyDescent="0.45">
      <c r="E270" s="14">
        <v>44497</v>
      </c>
    </row>
    <row r="271" spans="5:5" x14ac:dyDescent="0.45">
      <c r="E271" s="14">
        <v>44498</v>
      </c>
    </row>
    <row r="272" spans="5:5" x14ac:dyDescent="0.45">
      <c r="E272" s="14">
        <v>44499</v>
      </c>
    </row>
    <row r="273" spans="5:5" x14ac:dyDescent="0.45">
      <c r="E273" s="14">
        <v>44500</v>
      </c>
    </row>
    <row r="274" spans="5:5" x14ac:dyDescent="0.45">
      <c r="E274"/>
    </row>
    <row r="275" spans="5:5" x14ac:dyDescent="0.45">
      <c r="E275"/>
    </row>
    <row r="276" spans="5:5" x14ac:dyDescent="0.45">
      <c r="E276"/>
    </row>
    <row r="277" spans="5:5" x14ac:dyDescent="0.45">
      <c r="E277"/>
    </row>
    <row r="278" spans="5:5" x14ac:dyDescent="0.45">
      <c r="E278"/>
    </row>
    <row r="279" spans="5:5" x14ac:dyDescent="0.45">
      <c r="E279"/>
    </row>
    <row r="280" spans="5:5" x14ac:dyDescent="0.45">
      <c r="E280"/>
    </row>
    <row r="281" spans="5:5" x14ac:dyDescent="0.45">
      <c r="E281"/>
    </row>
    <row r="282" spans="5:5" x14ac:dyDescent="0.45">
      <c r="E282"/>
    </row>
    <row r="283" spans="5:5" x14ac:dyDescent="0.45">
      <c r="E283"/>
    </row>
    <row r="284" spans="5:5" x14ac:dyDescent="0.45">
      <c r="E284"/>
    </row>
    <row r="285" spans="5:5" x14ac:dyDescent="0.45">
      <c r="E285"/>
    </row>
    <row r="286" spans="5:5" x14ac:dyDescent="0.45">
      <c r="E286"/>
    </row>
    <row r="287" spans="5:5" x14ac:dyDescent="0.45">
      <c r="E287"/>
    </row>
    <row r="288" spans="5:5" x14ac:dyDescent="0.45">
      <c r="E288"/>
    </row>
    <row r="289" spans="5:5" x14ac:dyDescent="0.45">
      <c r="E289"/>
    </row>
    <row r="290" spans="5:5" x14ac:dyDescent="0.45">
      <c r="E290"/>
    </row>
    <row r="291" spans="5:5" x14ac:dyDescent="0.45">
      <c r="E291"/>
    </row>
    <row r="292" spans="5:5" x14ac:dyDescent="0.45">
      <c r="E292"/>
    </row>
    <row r="293" spans="5:5" x14ac:dyDescent="0.45">
      <c r="E293"/>
    </row>
    <row r="294" spans="5:5" x14ac:dyDescent="0.45">
      <c r="E294"/>
    </row>
    <row r="295" spans="5:5" x14ac:dyDescent="0.45">
      <c r="E295"/>
    </row>
    <row r="296" spans="5:5" x14ac:dyDescent="0.45">
      <c r="E296"/>
    </row>
    <row r="297" spans="5:5" x14ac:dyDescent="0.45">
      <c r="E297"/>
    </row>
    <row r="298" spans="5:5" x14ac:dyDescent="0.45">
      <c r="E298"/>
    </row>
    <row r="299" spans="5:5" x14ac:dyDescent="0.45">
      <c r="E299"/>
    </row>
    <row r="300" spans="5:5" x14ac:dyDescent="0.45">
      <c r="E300"/>
    </row>
    <row r="301" spans="5:5" x14ac:dyDescent="0.45">
      <c r="E301"/>
    </row>
    <row r="302" spans="5:5" x14ac:dyDescent="0.45">
      <c r="E302"/>
    </row>
    <row r="303" spans="5:5" x14ac:dyDescent="0.45">
      <c r="E303"/>
    </row>
    <row r="304" spans="5:5" x14ac:dyDescent="0.45">
      <c r="E304"/>
    </row>
    <row r="305" spans="5:5" x14ac:dyDescent="0.45">
      <c r="E305"/>
    </row>
    <row r="306" spans="5:5" x14ac:dyDescent="0.45">
      <c r="E306"/>
    </row>
    <row r="307" spans="5:5" x14ac:dyDescent="0.45">
      <c r="E307"/>
    </row>
    <row r="308" spans="5:5" x14ac:dyDescent="0.45">
      <c r="E308"/>
    </row>
    <row r="309" spans="5:5" x14ac:dyDescent="0.45">
      <c r="E309"/>
    </row>
    <row r="310" spans="5:5" x14ac:dyDescent="0.45">
      <c r="E310"/>
    </row>
    <row r="311" spans="5:5" x14ac:dyDescent="0.45">
      <c r="E311"/>
    </row>
    <row r="312" spans="5:5" x14ac:dyDescent="0.45">
      <c r="E312"/>
    </row>
    <row r="313" spans="5:5" x14ac:dyDescent="0.45">
      <c r="E313"/>
    </row>
    <row r="314" spans="5:5" x14ac:dyDescent="0.45">
      <c r="E314"/>
    </row>
    <row r="315" spans="5:5" x14ac:dyDescent="0.45">
      <c r="E315"/>
    </row>
    <row r="316" spans="5:5" x14ac:dyDescent="0.45">
      <c r="E316"/>
    </row>
    <row r="317" spans="5:5" x14ac:dyDescent="0.45">
      <c r="E317"/>
    </row>
    <row r="318" spans="5:5" x14ac:dyDescent="0.45">
      <c r="E318"/>
    </row>
    <row r="319" spans="5:5" x14ac:dyDescent="0.45">
      <c r="E319"/>
    </row>
    <row r="320" spans="5:5" x14ac:dyDescent="0.45">
      <c r="E320"/>
    </row>
    <row r="321" spans="5:5" x14ac:dyDescent="0.45">
      <c r="E321"/>
    </row>
    <row r="322" spans="5:5" x14ac:dyDescent="0.45">
      <c r="E322"/>
    </row>
    <row r="323" spans="5:5" x14ac:dyDescent="0.45">
      <c r="E323"/>
    </row>
    <row r="324" spans="5:5" x14ac:dyDescent="0.45">
      <c r="E324"/>
    </row>
    <row r="325" spans="5:5" x14ac:dyDescent="0.45">
      <c r="E325"/>
    </row>
    <row r="326" spans="5:5" x14ac:dyDescent="0.45">
      <c r="E326"/>
    </row>
    <row r="327" spans="5:5" x14ac:dyDescent="0.45">
      <c r="E327"/>
    </row>
    <row r="328" spans="5:5" x14ac:dyDescent="0.45">
      <c r="E328"/>
    </row>
    <row r="329" spans="5:5" x14ac:dyDescent="0.45">
      <c r="E329"/>
    </row>
    <row r="330" spans="5:5" x14ac:dyDescent="0.45">
      <c r="E330"/>
    </row>
    <row r="331" spans="5:5" x14ac:dyDescent="0.45">
      <c r="E331"/>
    </row>
    <row r="332" spans="5:5" x14ac:dyDescent="0.45">
      <c r="E332"/>
    </row>
    <row r="333" spans="5:5" x14ac:dyDescent="0.45">
      <c r="E333"/>
    </row>
    <row r="334" spans="5:5" x14ac:dyDescent="0.45">
      <c r="E334"/>
    </row>
    <row r="335" spans="5:5" x14ac:dyDescent="0.45">
      <c r="E335"/>
    </row>
    <row r="336" spans="5:5" x14ac:dyDescent="0.45">
      <c r="E336"/>
    </row>
    <row r="337" spans="5:5" x14ac:dyDescent="0.45">
      <c r="E337"/>
    </row>
    <row r="338" spans="5:5" x14ac:dyDescent="0.45">
      <c r="E338"/>
    </row>
    <row r="339" spans="5:5" x14ac:dyDescent="0.45">
      <c r="E339"/>
    </row>
    <row r="340" spans="5:5" x14ac:dyDescent="0.45">
      <c r="E340"/>
    </row>
    <row r="341" spans="5:5" x14ac:dyDescent="0.45">
      <c r="E341"/>
    </row>
    <row r="342" spans="5:5" x14ac:dyDescent="0.45">
      <c r="E342"/>
    </row>
    <row r="343" spans="5:5" x14ac:dyDescent="0.45">
      <c r="E343"/>
    </row>
    <row r="344" spans="5:5" x14ac:dyDescent="0.45">
      <c r="E344"/>
    </row>
    <row r="345" spans="5:5" x14ac:dyDescent="0.45">
      <c r="E345"/>
    </row>
    <row r="346" spans="5:5" x14ac:dyDescent="0.45">
      <c r="E346"/>
    </row>
    <row r="347" spans="5:5" x14ac:dyDescent="0.45">
      <c r="E347"/>
    </row>
    <row r="348" spans="5:5" x14ac:dyDescent="0.45">
      <c r="E348"/>
    </row>
    <row r="349" spans="5:5" x14ac:dyDescent="0.45">
      <c r="E349"/>
    </row>
    <row r="350" spans="5:5" x14ac:dyDescent="0.45">
      <c r="E350"/>
    </row>
    <row r="351" spans="5:5" x14ac:dyDescent="0.45">
      <c r="E351"/>
    </row>
    <row r="352" spans="5:5" x14ac:dyDescent="0.45">
      <c r="E352"/>
    </row>
    <row r="353" spans="5:5" x14ac:dyDescent="0.45">
      <c r="E353"/>
    </row>
    <row r="354" spans="5:5" x14ac:dyDescent="0.45">
      <c r="E354"/>
    </row>
    <row r="355" spans="5:5" x14ac:dyDescent="0.45">
      <c r="E355"/>
    </row>
    <row r="356" spans="5:5" x14ac:dyDescent="0.45">
      <c r="E356"/>
    </row>
    <row r="357" spans="5:5" x14ac:dyDescent="0.45">
      <c r="E357"/>
    </row>
    <row r="358" spans="5:5" x14ac:dyDescent="0.45">
      <c r="E358"/>
    </row>
    <row r="359" spans="5:5" x14ac:dyDescent="0.45">
      <c r="E359"/>
    </row>
    <row r="360" spans="5:5" x14ac:dyDescent="0.45">
      <c r="E360"/>
    </row>
    <row r="361" spans="5:5" x14ac:dyDescent="0.45">
      <c r="E361"/>
    </row>
    <row r="362" spans="5:5" x14ac:dyDescent="0.45">
      <c r="E362"/>
    </row>
    <row r="363" spans="5:5" x14ac:dyDescent="0.45">
      <c r="E363"/>
    </row>
    <row r="364" spans="5:5" x14ac:dyDescent="0.45">
      <c r="E364"/>
    </row>
    <row r="365" spans="5:5" x14ac:dyDescent="0.45">
      <c r="E365"/>
    </row>
    <row r="366" spans="5:5" x14ac:dyDescent="0.45">
      <c r="E366"/>
    </row>
    <row r="367" spans="5:5" x14ac:dyDescent="0.45">
      <c r="E367"/>
    </row>
    <row r="368" spans="5:5" x14ac:dyDescent="0.45">
      <c r="E368"/>
    </row>
    <row r="369" spans="5:5" x14ac:dyDescent="0.45">
      <c r="E369"/>
    </row>
    <row r="370" spans="5:5" x14ac:dyDescent="0.45">
      <c r="E370"/>
    </row>
    <row r="371" spans="5:5" x14ac:dyDescent="0.45">
      <c r="E371"/>
    </row>
    <row r="372" spans="5:5" x14ac:dyDescent="0.45">
      <c r="E372"/>
    </row>
    <row r="373" spans="5:5" x14ac:dyDescent="0.45">
      <c r="E373"/>
    </row>
    <row r="374" spans="5:5" x14ac:dyDescent="0.45">
      <c r="E374"/>
    </row>
    <row r="375" spans="5:5" x14ac:dyDescent="0.45">
      <c r="E375"/>
    </row>
    <row r="376" spans="5:5" x14ac:dyDescent="0.45">
      <c r="E376"/>
    </row>
    <row r="377" spans="5:5" x14ac:dyDescent="0.45">
      <c r="E377"/>
    </row>
    <row r="378" spans="5:5" x14ac:dyDescent="0.45">
      <c r="E378"/>
    </row>
    <row r="379" spans="5:5" x14ac:dyDescent="0.45">
      <c r="E379"/>
    </row>
    <row r="380" spans="5:5" x14ac:dyDescent="0.45">
      <c r="E380"/>
    </row>
    <row r="381" spans="5:5" x14ac:dyDescent="0.45">
      <c r="E381"/>
    </row>
    <row r="382" spans="5:5" x14ac:dyDescent="0.45">
      <c r="E382"/>
    </row>
    <row r="383" spans="5:5" x14ac:dyDescent="0.45">
      <c r="E383"/>
    </row>
    <row r="384" spans="5:5" x14ac:dyDescent="0.45">
      <c r="E384"/>
    </row>
    <row r="385" spans="5:5" x14ac:dyDescent="0.45">
      <c r="E385"/>
    </row>
    <row r="386" spans="5:5" x14ac:dyDescent="0.45">
      <c r="E386"/>
    </row>
    <row r="387" spans="5:5" x14ac:dyDescent="0.45">
      <c r="E387"/>
    </row>
    <row r="388" spans="5:5" x14ac:dyDescent="0.45">
      <c r="E388"/>
    </row>
    <row r="389" spans="5:5" x14ac:dyDescent="0.45">
      <c r="E389"/>
    </row>
    <row r="390" spans="5:5" x14ac:dyDescent="0.45">
      <c r="E390"/>
    </row>
    <row r="391" spans="5:5" x14ac:dyDescent="0.45">
      <c r="E391"/>
    </row>
    <row r="392" spans="5:5" x14ac:dyDescent="0.45">
      <c r="E392"/>
    </row>
    <row r="393" spans="5:5" x14ac:dyDescent="0.45">
      <c r="E393"/>
    </row>
    <row r="394" spans="5:5" x14ac:dyDescent="0.45">
      <c r="E394"/>
    </row>
    <row r="395" spans="5:5" x14ac:dyDescent="0.45">
      <c r="E395"/>
    </row>
    <row r="396" spans="5:5" x14ac:dyDescent="0.45">
      <c r="E396"/>
    </row>
    <row r="397" spans="5:5" x14ac:dyDescent="0.45">
      <c r="E397"/>
    </row>
    <row r="398" spans="5:5" x14ac:dyDescent="0.45">
      <c r="E398"/>
    </row>
    <row r="399" spans="5:5" x14ac:dyDescent="0.45">
      <c r="E399"/>
    </row>
    <row r="400" spans="5:5" x14ac:dyDescent="0.45">
      <c r="E400"/>
    </row>
    <row r="401" spans="5:5" x14ac:dyDescent="0.45">
      <c r="E401"/>
    </row>
    <row r="402" spans="5:5" x14ac:dyDescent="0.45">
      <c r="E402"/>
    </row>
    <row r="403" spans="5:5" x14ac:dyDescent="0.45">
      <c r="E403"/>
    </row>
    <row r="404" spans="5:5" x14ac:dyDescent="0.45">
      <c r="E404"/>
    </row>
    <row r="405" spans="5:5" x14ac:dyDescent="0.45">
      <c r="E405"/>
    </row>
    <row r="406" spans="5:5" x14ac:dyDescent="0.45">
      <c r="E406"/>
    </row>
    <row r="407" spans="5:5" x14ac:dyDescent="0.45">
      <c r="E407"/>
    </row>
    <row r="408" spans="5:5" x14ac:dyDescent="0.45">
      <c r="E408"/>
    </row>
    <row r="409" spans="5:5" x14ac:dyDescent="0.45">
      <c r="E409"/>
    </row>
    <row r="410" spans="5:5" x14ac:dyDescent="0.45">
      <c r="E410"/>
    </row>
    <row r="411" spans="5:5" x14ac:dyDescent="0.45">
      <c r="E411"/>
    </row>
    <row r="412" spans="5:5" x14ac:dyDescent="0.45">
      <c r="E412"/>
    </row>
    <row r="413" spans="5:5" x14ac:dyDescent="0.45">
      <c r="E413"/>
    </row>
    <row r="414" spans="5:5" x14ac:dyDescent="0.45">
      <c r="E414"/>
    </row>
    <row r="415" spans="5:5" x14ac:dyDescent="0.45">
      <c r="E415"/>
    </row>
    <row r="416" spans="5:5" x14ac:dyDescent="0.45">
      <c r="E416"/>
    </row>
    <row r="417" spans="5:5" x14ac:dyDescent="0.45">
      <c r="E417"/>
    </row>
    <row r="418" spans="5:5" x14ac:dyDescent="0.45">
      <c r="E418"/>
    </row>
    <row r="419" spans="5:5" x14ac:dyDescent="0.45">
      <c r="E419"/>
    </row>
    <row r="420" spans="5:5" x14ac:dyDescent="0.45">
      <c r="E420"/>
    </row>
    <row r="421" spans="5:5" x14ac:dyDescent="0.45">
      <c r="E421"/>
    </row>
    <row r="422" spans="5:5" x14ac:dyDescent="0.45">
      <c r="E422"/>
    </row>
    <row r="423" spans="5:5" x14ac:dyDescent="0.45">
      <c r="E423"/>
    </row>
    <row r="424" spans="5:5" x14ac:dyDescent="0.45">
      <c r="E424"/>
    </row>
    <row r="425" spans="5:5" x14ac:dyDescent="0.45">
      <c r="E425"/>
    </row>
    <row r="426" spans="5:5" x14ac:dyDescent="0.45">
      <c r="E426"/>
    </row>
    <row r="427" spans="5:5" x14ac:dyDescent="0.45">
      <c r="E427"/>
    </row>
    <row r="428" spans="5:5" x14ac:dyDescent="0.45">
      <c r="E428"/>
    </row>
    <row r="429" spans="5:5" x14ac:dyDescent="0.45">
      <c r="E429"/>
    </row>
    <row r="430" spans="5:5" x14ac:dyDescent="0.45">
      <c r="E430"/>
    </row>
    <row r="431" spans="5:5" x14ac:dyDescent="0.45">
      <c r="E431"/>
    </row>
    <row r="432" spans="5:5" x14ac:dyDescent="0.45">
      <c r="E432"/>
    </row>
    <row r="433" spans="5:5" x14ac:dyDescent="0.45">
      <c r="E433"/>
    </row>
    <row r="434" spans="5:5" x14ac:dyDescent="0.45">
      <c r="E434"/>
    </row>
    <row r="435" spans="5:5" x14ac:dyDescent="0.45">
      <c r="E435"/>
    </row>
    <row r="436" spans="5:5" x14ac:dyDescent="0.45">
      <c r="E436"/>
    </row>
    <row r="437" spans="5:5" x14ac:dyDescent="0.45">
      <c r="E437"/>
    </row>
    <row r="438" spans="5:5" x14ac:dyDescent="0.45">
      <c r="E438"/>
    </row>
    <row r="439" spans="5:5" x14ac:dyDescent="0.45">
      <c r="E439"/>
    </row>
    <row r="440" spans="5:5" x14ac:dyDescent="0.45">
      <c r="E440"/>
    </row>
    <row r="441" spans="5:5" x14ac:dyDescent="0.45">
      <c r="E441"/>
    </row>
    <row r="442" spans="5:5" x14ac:dyDescent="0.45">
      <c r="E442"/>
    </row>
    <row r="443" spans="5:5" x14ac:dyDescent="0.45">
      <c r="E443"/>
    </row>
    <row r="444" spans="5:5" x14ac:dyDescent="0.45">
      <c r="E444"/>
    </row>
    <row r="445" spans="5:5" x14ac:dyDescent="0.45">
      <c r="E445"/>
    </row>
    <row r="446" spans="5:5" x14ac:dyDescent="0.45">
      <c r="E446"/>
    </row>
    <row r="447" spans="5:5" x14ac:dyDescent="0.45">
      <c r="E447"/>
    </row>
    <row r="448" spans="5:5" x14ac:dyDescent="0.45">
      <c r="E448"/>
    </row>
    <row r="449" spans="5:5" x14ac:dyDescent="0.45">
      <c r="E449"/>
    </row>
    <row r="450" spans="5:5" x14ac:dyDescent="0.45">
      <c r="E450"/>
    </row>
    <row r="451" spans="5:5" x14ac:dyDescent="0.45">
      <c r="E451"/>
    </row>
    <row r="452" spans="5:5" x14ac:dyDescent="0.45">
      <c r="E452"/>
    </row>
    <row r="453" spans="5:5" x14ac:dyDescent="0.45">
      <c r="E453"/>
    </row>
    <row r="454" spans="5:5" x14ac:dyDescent="0.45">
      <c r="E454"/>
    </row>
    <row r="455" spans="5:5" x14ac:dyDescent="0.45">
      <c r="E455"/>
    </row>
    <row r="456" spans="5:5" x14ac:dyDescent="0.45">
      <c r="E456"/>
    </row>
    <row r="457" spans="5:5" x14ac:dyDescent="0.45">
      <c r="E457"/>
    </row>
    <row r="458" spans="5:5" x14ac:dyDescent="0.45">
      <c r="E458"/>
    </row>
    <row r="459" spans="5:5" x14ac:dyDescent="0.45">
      <c r="E459"/>
    </row>
    <row r="460" spans="5:5" x14ac:dyDescent="0.45">
      <c r="E460"/>
    </row>
    <row r="461" spans="5:5" x14ac:dyDescent="0.45">
      <c r="E461"/>
    </row>
    <row r="462" spans="5:5" x14ac:dyDescent="0.45">
      <c r="E462"/>
    </row>
    <row r="463" spans="5:5" x14ac:dyDescent="0.45">
      <c r="E463"/>
    </row>
    <row r="464" spans="5:5" x14ac:dyDescent="0.45">
      <c r="E464"/>
    </row>
    <row r="465" spans="5:5" x14ac:dyDescent="0.45">
      <c r="E465"/>
    </row>
    <row r="466" spans="5:5" x14ac:dyDescent="0.45">
      <c r="E466"/>
    </row>
    <row r="467" spans="5:5" x14ac:dyDescent="0.45">
      <c r="E467"/>
    </row>
    <row r="468" spans="5:5" x14ac:dyDescent="0.45">
      <c r="E468"/>
    </row>
    <row r="469" spans="5:5" x14ac:dyDescent="0.45">
      <c r="E469"/>
    </row>
    <row r="470" spans="5:5" x14ac:dyDescent="0.45">
      <c r="E470"/>
    </row>
    <row r="471" spans="5:5" x14ac:dyDescent="0.45">
      <c r="E471"/>
    </row>
    <row r="472" spans="5:5" x14ac:dyDescent="0.45">
      <c r="E472"/>
    </row>
    <row r="473" spans="5:5" x14ac:dyDescent="0.45">
      <c r="E473"/>
    </row>
    <row r="474" spans="5:5" x14ac:dyDescent="0.45">
      <c r="E474"/>
    </row>
    <row r="475" spans="5:5" x14ac:dyDescent="0.45">
      <c r="E475"/>
    </row>
    <row r="476" spans="5:5" x14ac:dyDescent="0.45">
      <c r="E476"/>
    </row>
    <row r="477" spans="5:5" x14ac:dyDescent="0.45">
      <c r="E477"/>
    </row>
    <row r="478" spans="5:5" x14ac:dyDescent="0.45">
      <c r="E478"/>
    </row>
    <row r="479" spans="5:5" x14ac:dyDescent="0.45">
      <c r="E479"/>
    </row>
    <row r="480" spans="5:5" x14ac:dyDescent="0.45">
      <c r="E480"/>
    </row>
    <row r="481" spans="5:5" x14ac:dyDescent="0.45">
      <c r="E481"/>
    </row>
    <row r="482" spans="5:5" x14ac:dyDescent="0.45">
      <c r="E482"/>
    </row>
    <row r="483" spans="5:5" x14ac:dyDescent="0.45">
      <c r="E483"/>
    </row>
    <row r="484" spans="5:5" x14ac:dyDescent="0.45">
      <c r="E484"/>
    </row>
    <row r="485" spans="5:5" x14ac:dyDescent="0.45">
      <c r="E485"/>
    </row>
    <row r="486" spans="5:5" x14ac:dyDescent="0.45">
      <c r="E486"/>
    </row>
    <row r="487" spans="5:5" x14ac:dyDescent="0.45">
      <c r="E48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C8489-5BF1-4CF2-92CA-409819D9A46D}">
  <sheetPr codeName="Sheet4"/>
  <dimension ref="D3:AQ32"/>
  <sheetViews>
    <sheetView showGridLines="0" showRowColHeaders="0" zoomScale="48" workbookViewId="0"/>
  </sheetViews>
  <sheetFormatPr defaultRowHeight="14.25" x14ac:dyDescent="0.45"/>
  <cols>
    <col min="2" max="2" width="13.1328125" bestFit="1" customWidth="1"/>
    <col min="4" max="4" width="10.1328125" bestFit="1" customWidth="1"/>
    <col min="5" max="5" width="14.86328125" bestFit="1" customWidth="1"/>
    <col min="6" max="6" width="14.86328125" customWidth="1"/>
    <col min="7" max="7" width="12" bestFit="1" customWidth="1"/>
    <col min="8" max="8" width="11.46484375" bestFit="1" customWidth="1"/>
    <col min="9" max="9" width="14.86328125" bestFit="1" customWidth="1"/>
    <col min="10" max="11" width="7.265625" bestFit="1" customWidth="1"/>
    <col min="12" max="12" width="8" bestFit="1" customWidth="1"/>
    <col min="14" max="14" width="15" bestFit="1" customWidth="1"/>
    <col min="15" max="15" width="10.73046875" bestFit="1" customWidth="1"/>
    <col min="18" max="18" width="17.73046875" bestFit="1" customWidth="1"/>
    <col min="19" max="20" width="13.1328125" bestFit="1" customWidth="1"/>
    <col min="22" max="23" width="13.796875" bestFit="1" customWidth="1"/>
    <col min="24" max="24" width="13.1328125" bestFit="1" customWidth="1"/>
    <col min="26" max="26" width="12.265625" bestFit="1" customWidth="1"/>
    <col min="27" max="27" width="12.86328125" bestFit="1" customWidth="1"/>
    <col min="28" max="28" width="9.6640625" bestFit="1" customWidth="1"/>
    <col min="29" max="29" width="11.86328125" bestFit="1" customWidth="1"/>
    <col min="30" max="30" width="13.796875" bestFit="1" customWidth="1"/>
    <col min="31" max="31" width="7.265625" bestFit="1" customWidth="1"/>
    <col min="32" max="32" width="9.06640625" bestFit="1" customWidth="1"/>
    <col min="35" max="35" width="25.9296875" bestFit="1" customWidth="1"/>
    <col min="36" max="36" width="11.86328125" bestFit="1" customWidth="1"/>
    <col min="41" max="41" width="10.86328125" bestFit="1" customWidth="1"/>
    <col min="43" max="43" width="18.265625" bestFit="1" customWidth="1"/>
    <col min="44" max="44" width="10.73046875" bestFit="1" customWidth="1"/>
  </cols>
  <sheetData>
    <row r="3" spans="4:43" x14ac:dyDescent="0.45">
      <c r="R3" s="11" t="s">
        <v>79</v>
      </c>
    </row>
    <row r="4" spans="4:43" x14ac:dyDescent="0.45">
      <c r="D4" s="11" t="s">
        <v>98</v>
      </c>
      <c r="N4" s="7" t="s">
        <v>7</v>
      </c>
      <c r="O4" s="8" t="s">
        <v>14</v>
      </c>
      <c r="R4" s="7" t="s">
        <v>7</v>
      </c>
      <c r="S4" s="8" t="s">
        <v>10</v>
      </c>
      <c r="Z4" t="s">
        <v>82</v>
      </c>
    </row>
    <row r="5" spans="4:43" x14ac:dyDescent="0.45">
      <c r="J5" s="11" t="s">
        <v>102</v>
      </c>
      <c r="V5" s="11" t="s">
        <v>84</v>
      </c>
      <c r="AN5" s="11" t="s">
        <v>97</v>
      </c>
    </row>
    <row r="6" spans="4:43" x14ac:dyDescent="0.45">
      <c r="D6" s="7" t="s">
        <v>65</v>
      </c>
      <c r="E6" s="8" t="s">
        <v>64</v>
      </c>
      <c r="G6" s="7" t="s">
        <v>65</v>
      </c>
      <c r="H6" s="8" t="s">
        <v>63</v>
      </c>
      <c r="I6" s="4"/>
      <c r="J6" s="8" t="s">
        <v>76</v>
      </c>
      <c r="K6" s="8" t="s">
        <v>77</v>
      </c>
      <c r="L6" s="8" t="s">
        <v>78</v>
      </c>
      <c r="N6" s="7" t="s">
        <v>6</v>
      </c>
      <c r="O6" s="8" t="s">
        <v>76</v>
      </c>
      <c r="R6" s="7" t="s">
        <v>5</v>
      </c>
      <c r="S6" s="8" t="s">
        <v>80</v>
      </c>
      <c r="V6" s="7" t="s">
        <v>6</v>
      </c>
      <c r="W6" s="8" t="s">
        <v>64</v>
      </c>
      <c r="Z6" s="4" t="s">
        <v>7</v>
      </c>
      <c r="AA6" t="s">
        <v>14</v>
      </c>
      <c r="AI6" s="7" t="s">
        <v>7</v>
      </c>
      <c r="AJ6" s="8" t="s">
        <v>14</v>
      </c>
      <c r="AN6" s="8">
        <v>1</v>
      </c>
      <c r="AO6" s="8" t="s">
        <v>86</v>
      </c>
      <c r="AQ6" s="4" t="s">
        <v>61</v>
      </c>
    </row>
    <row r="7" spans="4:43" x14ac:dyDescent="0.45">
      <c r="D7" s="13" t="s">
        <v>66</v>
      </c>
      <c r="E7" s="9">
        <v>11126</v>
      </c>
      <c r="F7" s="6"/>
      <c r="G7" s="13" t="s">
        <v>66</v>
      </c>
      <c r="H7" s="9">
        <v>2874</v>
      </c>
      <c r="J7" s="9">
        <v>30190.999999999993</v>
      </c>
      <c r="K7" s="9">
        <v>65440</v>
      </c>
      <c r="L7" s="9">
        <v>35249.000000000007</v>
      </c>
      <c r="N7" s="13" t="s">
        <v>48</v>
      </c>
      <c r="O7" s="9">
        <v>550</v>
      </c>
      <c r="R7" s="13" t="s">
        <v>53</v>
      </c>
      <c r="S7" s="9">
        <v>4500</v>
      </c>
      <c r="V7" s="13" t="s">
        <v>9</v>
      </c>
      <c r="W7" s="9">
        <v>50000</v>
      </c>
      <c r="AI7" t="s">
        <v>83</v>
      </c>
      <c r="AN7" s="8">
        <v>2</v>
      </c>
      <c r="AO7" s="8" t="s">
        <v>87</v>
      </c>
      <c r="AQ7">
        <v>1</v>
      </c>
    </row>
    <row r="8" spans="4:43" x14ac:dyDescent="0.45">
      <c r="D8" s="13" t="s">
        <v>67</v>
      </c>
      <c r="E8" s="9">
        <v>2895.3999999999996</v>
      </c>
      <c r="F8" s="6"/>
      <c r="G8" s="13" t="s">
        <v>67</v>
      </c>
      <c r="H8" s="9">
        <v>2904.6000000000004</v>
      </c>
      <c r="N8" s="13" t="s">
        <v>13</v>
      </c>
      <c r="O8" s="9">
        <v>2473.9</v>
      </c>
      <c r="R8" s="13" t="s">
        <v>37</v>
      </c>
      <c r="S8" s="9">
        <v>10940</v>
      </c>
      <c r="V8" s="13" t="s">
        <v>38</v>
      </c>
      <c r="W8" s="9">
        <v>15440</v>
      </c>
      <c r="Z8" s="4" t="s">
        <v>76</v>
      </c>
      <c r="AA8" s="4" t="s">
        <v>6</v>
      </c>
      <c r="AI8" s="7" t="s">
        <v>5</v>
      </c>
      <c r="AJ8" s="8" t="s">
        <v>63</v>
      </c>
      <c r="AN8" s="8">
        <v>3</v>
      </c>
      <c r="AO8" s="8" t="s">
        <v>88</v>
      </c>
      <c r="AQ8">
        <v>2</v>
      </c>
    </row>
    <row r="9" spans="4:43" x14ac:dyDescent="0.45">
      <c r="D9" s="13" t="s">
        <v>68</v>
      </c>
      <c r="E9" s="9">
        <v>2950.2999999999993</v>
      </c>
      <c r="F9" s="6"/>
      <c r="G9" s="13" t="s">
        <v>68</v>
      </c>
      <c r="H9" s="9">
        <v>3049.7</v>
      </c>
      <c r="J9" s="6">
        <f>K7-J7</f>
        <v>35249.000000000007</v>
      </c>
      <c r="N9" s="13" t="s">
        <v>29</v>
      </c>
      <c r="O9" s="9">
        <v>7027.6000000000013</v>
      </c>
      <c r="R9" s="13" t="s">
        <v>103</v>
      </c>
      <c r="S9" s="9">
        <v>50000</v>
      </c>
      <c r="V9" s="13" t="s">
        <v>17</v>
      </c>
      <c r="W9" s="9">
        <v>-16399.800000000003</v>
      </c>
      <c r="Z9" s="7" t="s">
        <v>62</v>
      </c>
      <c r="AA9" s="8" t="s">
        <v>48</v>
      </c>
      <c r="AB9" s="8" t="s">
        <v>13</v>
      </c>
      <c r="AC9" s="8" t="s">
        <v>29</v>
      </c>
      <c r="AD9" s="8" t="s">
        <v>17</v>
      </c>
      <c r="AE9" s="8" t="s">
        <v>56</v>
      </c>
      <c r="AF9" s="8" t="s">
        <v>20</v>
      </c>
      <c r="AI9" s="8" t="s">
        <v>16</v>
      </c>
      <c r="AJ9" s="9">
        <v>9000</v>
      </c>
      <c r="AN9" s="8">
        <v>4</v>
      </c>
      <c r="AO9" s="8" t="s">
        <v>89</v>
      </c>
      <c r="AQ9">
        <v>3</v>
      </c>
    </row>
    <row r="10" spans="4:43" x14ac:dyDescent="0.45">
      <c r="D10" s="13" t="s">
        <v>69</v>
      </c>
      <c r="E10" s="9">
        <v>4302</v>
      </c>
      <c r="F10" s="6"/>
      <c r="G10" s="13" t="s">
        <v>69</v>
      </c>
      <c r="H10" s="9">
        <v>3038.0000000000005</v>
      </c>
      <c r="N10" s="13" t="s">
        <v>17</v>
      </c>
      <c r="O10" s="9">
        <v>16399.8</v>
      </c>
      <c r="S10" s="6">
        <f>SUM(S7:S9)</f>
        <v>65440</v>
      </c>
      <c r="V10" s="13" t="s">
        <v>29</v>
      </c>
      <c r="W10" s="9">
        <v>-7027.6</v>
      </c>
      <c r="Z10" s="10">
        <v>1</v>
      </c>
      <c r="AA10" s="9">
        <v>55</v>
      </c>
      <c r="AB10" s="9">
        <v>293.3</v>
      </c>
      <c r="AC10" s="9">
        <v>1146.5</v>
      </c>
      <c r="AD10" s="9">
        <v>1654.1999999999998</v>
      </c>
      <c r="AE10" s="9"/>
      <c r="AF10" s="9">
        <v>530.6</v>
      </c>
      <c r="AI10" s="8" t="s">
        <v>22</v>
      </c>
      <c r="AJ10" s="9">
        <v>6454.0999999999995</v>
      </c>
      <c r="AN10" s="8">
        <v>5</v>
      </c>
      <c r="AO10" s="8" t="s">
        <v>70</v>
      </c>
      <c r="AQ10">
        <v>4</v>
      </c>
    </row>
    <row r="11" spans="4:43" x14ac:dyDescent="0.45">
      <c r="D11" s="13" t="s">
        <v>70</v>
      </c>
      <c r="E11" s="9">
        <v>2883.9</v>
      </c>
      <c r="F11" s="6"/>
      <c r="G11" s="13" t="s">
        <v>70</v>
      </c>
      <c r="H11" s="9">
        <v>3116.1</v>
      </c>
      <c r="N11" s="13" t="s">
        <v>56</v>
      </c>
      <c r="O11" s="9">
        <v>225</v>
      </c>
      <c r="V11" s="13" t="s">
        <v>20</v>
      </c>
      <c r="W11" s="9">
        <v>-3514.6999999999994</v>
      </c>
      <c r="Z11" s="10">
        <v>2</v>
      </c>
      <c r="AA11" s="9">
        <v>220</v>
      </c>
      <c r="AB11" s="9">
        <v>353.2</v>
      </c>
      <c r="AC11" s="9">
        <v>696.4</v>
      </c>
      <c r="AD11" s="9">
        <v>2646.3</v>
      </c>
      <c r="AE11" s="9">
        <v>75</v>
      </c>
      <c r="AF11" s="9">
        <v>712.1</v>
      </c>
      <c r="AI11" s="8" t="s">
        <v>31</v>
      </c>
      <c r="AJ11" s="9">
        <v>4303.6000000000004</v>
      </c>
      <c r="AN11" s="8">
        <v>6</v>
      </c>
      <c r="AO11" s="8" t="s">
        <v>94</v>
      </c>
      <c r="AQ11">
        <v>5</v>
      </c>
    </row>
    <row r="12" spans="4:43" x14ac:dyDescent="0.45">
      <c r="D12" s="13" t="s">
        <v>71</v>
      </c>
      <c r="E12" s="9">
        <v>2094.3000000000002</v>
      </c>
      <c r="F12" s="6"/>
      <c r="G12" s="13" t="s">
        <v>71</v>
      </c>
      <c r="H12" s="9">
        <v>3005.7</v>
      </c>
      <c r="N12" s="13" t="s">
        <v>20</v>
      </c>
      <c r="O12" s="9">
        <v>3514.6999999999989</v>
      </c>
      <c r="V12" s="13" t="s">
        <v>13</v>
      </c>
      <c r="W12" s="9">
        <v>-2473.8999999999996</v>
      </c>
      <c r="Z12" s="10">
        <v>3</v>
      </c>
      <c r="AA12" s="9">
        <v>55</v>
      </c>
      <c r="AB12" s="9">
        <v>297.10000000000002</v>
      </c>
      <c r="AC12" s="9">
        <v>805.7</v>
      </c>
      <c r="AD12" s="9">
        <v>3624.3</v>
      </c>
      <c r="AE12" s="9">
        <v>150</v>
      </c>
      <c r="AF12" s="9">
        <v>662.00000000000011</v>
      </c>
      <c r="AI12" s="8" t="s">
        <v>28</v>
      </c>
      <c r="AJ12" s="9">
        <v>1812.5999999999995</v>
      </c>
      <c r="AN12" s="8">
        <v>7</v>
      </c>
      <c r="AO12" s="8" t="s">
        <v>90</v>
      </c>
      <c r="AQ12">
        <v>6</v>
      </c>
    </row>
    <row r="13" spans="4:43" x14ac:dyDescent="0.45">
      <c r="D13" s="13" t="s">
        <v>72</v>
      </c>
      <c r="E13" s="9">
        <v>2135</v>
      </c>
      <c r="F13" s="6"/>
      <c r="G13" s="13" t="s">
        <v>72</v>
      </c>
      <c r="H13" s="9">
        <v>3065</v>
      </c>
      <c r="V13" s="13" t="s">
        <v>48</v>
      </c>
      <c r="W13" s="9">
        <v>-550</v>
      </c>
      <c r="Z13" s="10">
        <v>4</v>
      </c>
      <c r="AA13" s="9">
        <v>55</v>
      </c>
      <c r="AB13" s="9">
        <v>367.5</v>
      </c>
      <c r="AC13" s="9">
        <v>938.4</v>
      </c>
      <c r="AD13" s="9">
        <v>1685.1</v>
      </c>
      <c r="AE13" s="9"/>
      <c r="AF13" s="9">
        <v>518.29999999999995</v>
      </c>
      <c r="AI13" s="8" t="s">
        <v>19</v>
      </c>
      <c r="AJ13" s="9">
        <v>1500</v>
      </c>
      <c r="AN13" s="8">
        <v>8</v>
      </c>
      <c r="AO13" s="8" t="s">
        <v>91</v>
      </c>
      <c r="AQ13">
        <v>7</v>
      </c>
    </row>
    <row r="14" spans="4:43" x14ac:dyDescent="0.45">
      <c r="D14" s="13" t="s">
        <v>73</v>
      </c>
      <c r="E14" s="9">
        <v>2847.9000000000005</v>
      </c>
      <c r="F14" s="6"/>
      <c r="G14" s="13" t="s">
        <v>73</v>
      </c>
      <c r="H14" s="9">
        <v>2952.0999999999995</v>
      </c>
      <c r="V14" s="13" t="s">
        <v>56</v>
      </c>
      <c r="W14" s="9">
        <v>-225</v>
      </c>
      <c r="Z14" s="10">
        <v>5</v>
      </c>
      <c r="AA14" s="9">
        <v>55</v>
      </c>
      <c r="AB14" s="9">
        <v>341.20000000000005</v>
      </c>
      <c r="AC14" s="9">
        <v>702.3</v>
      </c>
      <c r="AD14" s="9">
        <v>2542.1</v>
      </c>
      <c r="AE14" s="9"/>
      <c r="AF14" s="9">
        <v>517.6</v>
      </c>
      <c r="AI14" s="8" t="s">
        <v>81</v>
      </c>
      <c r="AJ14" s="9">
        <v>23070.3</v>
      </c>
      <c r="AN14" s="8">
        <v>9</v>
      </c>
      <c r="AO14" s="8" t="s">
        <v>92</v>
      </c>
      <c r="AQ14">
        <v>8</v>
      </c>
    </row>
    <row r="15" spans="4:43" x14ac:dyDescent="0.45">
      <c r="D15" s="13" t="s">
        <v>74</v>
      </c>
      <c r="E15" s="9">
        <v>2012.8999999999994</v>
      </c>
      <c r="F15" s="6"/>
      <c r="G15" s="13" t="s">
        <v>74</v>
      </c>
      <c r="H15" s="9">
        <v>3087.1</v>
      </c>
      <c r="N15" s="8" t="s">
        <v>48</v>
      </c>
      <c r="V15" s="8" t="s">
        <v>85</v>
      </c>
      <c r="W15" s="9">
        <v>35249</v>
      </c>
      <c r="Z15" s="10">
        <v>6</v>
      </c>
      <c r="AA15" s="9">
        <v>55</v>
      </c>
      <c r="AB15" s="9">
        <v>305.2</v>
      </c>
      <c r="AC15" s="9">
        <v>745.8</v>
      </c>
      <c r="AD15" s="9">
        <v>3578.6000000000004</v>
      </c>
      <c r="AE15" s="9"/>
      <c r="AF15" s="9">
        <v>366.20000000000005</v>
      </c>
      <c r="AN15" s="8">
        <v>10</v>
      </c>
      <c r="AO15" s="8" t="s">
        <v>93</v>
      </c>
      <c r="AQ15">
        <v>9</v>
      </c>
    </row>
    <row r="16" spans="4:43" x14ac:dyDescent="0.45">
      <c r="D16" s="13" t="s">
        <v>75</v>
      </c>
      <c r="E16" s="9">
        <v>2001.3000000000002</v>
      </c>
      <c r="F16" s="6"/>
      <c r="G16" s="13" t="s">
        <v>75</v>
      </c>
      <c r="H16" s="9">
        <v>3098.7</v>
      </c>
      <c r="N16" s="8" t="s">
        <v>13</v>
      </c>
      <c r="Z16" s="10">
        <v>7</v>
      </c>
      <c r="AA16" s="9">
        <v>55</v>
      </c>
      <c r="AB16" s="9">
        <v>516.4</v>
      </c>
      <c r="AC16" s="9">
        <v>1992.5000000000002</v>
      </c>
      <c r="AD16" s="9">
        <v>669.2</v>
      </c>
      <c r="AE16" s="9"/>
      <c r="AF16" s="9">
        <v>207.90000000000003</v>
      </c>
      <c r="AN16" s="8">
        <v>11</v>
      </c>
      <c r="AO16" s="8" t="s">
        <v>95</v>
      </c>
      <c r="AQ16">
        <v>10</v>
      </c>
    </row>
    <row r="17" spans="4:41" x14ac:dyDescent="0.45">
      <c r="F17" s="6"/>
      <c r="N17" s="8" t="s">
        <v>29</v>
      </c>
      <c r="AN17" s="8">
        <v>12</v>
      </c>
      <c r="AO17" s="8" t="s">
        <v>96</v>
      </c>
    </row>
    <row r="18" spans="4:41" x14ac:dyDescent="0.45">
      <c r="N18" s="8" t="s">
        <v>17</v>
      </c>
    </row>
    <row r="19" spans="4:41" x14ac:dyDescent="0.45">
      <c r="D19" s="11" t="s">
        <v>101</v>
      </c>
      <c r="N19" s="8" t="s">
        <v>56</v>
      </c>
      <c r="X19" s="4"/>
    </row>
    <row r="20" spans="4:41" x14ac:dyDescent="0.45">
      <c r="E20" s="12">
        <v>2</v>
      </c>
      <c r="N20" s="8" t="s">
        <v>20</v>
      </c>
      <c r="V20" s="13" t="s">
        <v>6</v>
      </c>
      <c r="W20" s="8" t="s">
        <v>64</v>
      </c>
    </row>
    <row r="21" spans="4:41" x14ac:dyDescent="0.45">
      <c r="D21" s="8" t="str">
        <f>D6</f>
        <v>Months</v>
      </c>
      <c r="E21" s="8" t="str">
        <f>E6</f>
        <v>Sum of Amount</v>
      </c>
      <c r="G21" t="s">
        <v>99</v>
      </c>
      <c r="V21" s="13" t="s">
        <v>17</v>
      </c>
      <c r="W21" s="9">
        <v>-16399.800000000003</v>
      </c>
      <c r="AO21" s="12" t="str">
        <f>IF(COUNTA(AQ7:AQ18)=1,VLOOKUP(AQ7,AN6:AO17,2,0),"Multiple months")</f>
        <v>Multiple months</v>
      </c>
    </row>
    <row r="22" spans="4:41" x14ac:dyDescent="0.45">
      <c r="D22" s="13" t="str">
        <f t="shared" ref="D22" si="0">D7</f>
        <v>Jan</v>
      </c>
      <c r="E22" s="9">
        <f>IF($E$20=1,E7,H7)</f>
        <v>2874</v>
      </c>
      <c r="G22" s="11" t="str">
        <f>IF(E20=2,"Expenses view, you can filter with category","Income selected, this can't be filtered")</f>
        <v>Expenses view, you can filter with category</v>
      </c>
      <c r="V22" s="13" t="s">
        <v>29</v>
      </c>
      <c r="W22" s="8">
        <v>-7027.6</v>
      </c>
    </row>
    <row r="23" spans="4:41" x14ac:dyDescent="0.45">
      <c r="D23" s="13" t="str">
        <f t="shared" ref="D23" si="1">D8</f>
        <v>Feb</v>
      </c>
      <c r="E23" s="9">
        <f t="shared" ref="E23:E31" si="2">IF($E$20=1,E8,H8)</f>
        <v>2904.6000000000004</v>
      </c>
      <c r="V23" s="13" t="s">
        <v>20</v>
      </c>
      <c r="W23" s="8">
        <v>-3514.6999999999994</v>
      </c>
    </row>
    <row r="24" spans="4:41" x14ac:dyDescent="0.45">
      <c r="D24" s="13" t="str">
        <f t="shared" ref="D24" si="3">D9</f>
        <v>Mar</v>
      </c>
      <c r="E24" s="9">
        <f t="shared" si="2"/>
        <v>3049.7</v>
      </c>
      <c r="V24" s="13" t="s">
        <v>13</v>
      </c>
      <c r="W24" s="8">
        <v>-2473.8999999999996</v>
      </c>
    </row>
    <row r="25" spans="4:41" x14ac:dyDescent="0.45">
      <c r="D25" s="13" t="str">
        <f t="shared" ref="D25" si="4">D10</f>
        <v>Apr</v>
      </c>
      <c r="E25" s="9">
        <f t="shared" si="2"/>
        <v>3038.0000000000005</v>
      </c>
      <c r="V25" s="13" t="s">
        <v>48</v>
      </c>
      <c r="W25" s="8">
        <v>-550</v>
      </c>
    </row>
    <row r="26" spans="4:41" x14ac:dyDescent="0.45">
      <c r="D26" s="13" t="str">
        <f t="shared" ref="D26" si="5">D11</f>
        <v>May</v>
      </c>
      <c r="E26" s="9">
        <f t="shared" si="2"/>
        <v>3116.1</v>
      </c>
      <c r="V26" s="13" t="s">
        <v>56</v>
      </c>
      <c r="W26" s="8">
        <v>-225</v>
      </c>
    </row>
    <row r="27" spans="4:41" x14ac:dyDescent="0.45">
      <c r="D27" s="13" t="str">
        <f t="shared" ref="D27" si="6">D12</f>
        <v>Jun</v>
      </c>
      <c r="E27" s="9">
        <f t="shared" si="2"/>
        <v>3005.7</v>
      </c>
      <c r="V27" s="13" t="s">
        <v>38</v>
      </c>
      <c r="W27" s="8">
        <v>15440</v>
      </c>
    </row>
    <row r="28" spans="4:41" x14ac:dyDescent="0.45">
      <c r="D28" s="13" t="str">
        <f t="shared" ref="D28" si="7">D13</f>
        <v>Jul</v>
      </c>
      <c r="E28" s="9">
        <f t="shared" si="2"/>
        <v>3065</v>
      </c>
      <c r="V28" s="13" t="s">
        <v>9</v>
      </c>
      <c r="W28" s="8">
        <v>50000</v>
      </c>
    </row>
    <row r="29" spans="4:41" x14ac:dyDescent="0.45">
      <c r="D29" s="13" t="str">
        <f t="shared" ref="D29" si="8">D14</f>
        <v>Aug</v>
      </c>
      <c r="E29" s="9">
        <f t="shared" si="2"/>
        <v>2952.0999999999995</v>
      </c>
      <c r="V29" s="13" t="s">
        <v>81</v>
      </c>
      <c r="W29" s="8">
        <v>35249</v>
      </c>
    </row>
    <row r="30" spans="4:41" x14ac:dyDescent="0.45">
      <c r="D30" s="13" t="str">
        <f t="shared" ref="D30" si="9">D15</f>
        <v>Sep</v>
      </c>
      <c r="E30" s="9">
        <f t="shared" si="2"/>
        <v>3087.1</v>
      </c>
      <c r="V30" s="11"/>
    </row>
    <row r="31" spans="4:41" x14ac:dyDescent="0.45">
      <c r="D31" s="13" t="str">
        <f t="shared" ref="D31" si="10">D16</f>
        <v>Oct</v>
      </c>
      <c r="E31" s="9">
        <f t="shared" si="2"/>
        <v>3098.7</v>
      </c>
      <c r="V31" s="11"/>
    </row>
    <row r="32" spans="4:41" x14ac:dyDescent="0.45">
      <c r="E32" s="6">
        <f>SUM(E22:E31)</f>
        <v>30190.999999999996</v>
      </c>
    </row>
  </sheetData>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CF64F-5C58-402B-A37C-E871F30B7890}">
  <sheetPr codeName="Sheet5"/>
  <dimension ref="B5:U36"/>
  <sheetViews>
    <sheetView showGridLines="0" showRowColHeaders="0" tabSelected="1" topLeftCell="N1" zoomScale="102" workbookViewId="0">
      <selection activeCell="W8" sqref="W8"/>
    </sheetView>
  </sheetViews>
  <sheetFormatPr defaultColWidth="9.1328125" defaultRowHeight="14.25" x14ac:dyDescent="0.45"/>
  <cols>
    <col min="1" max="1" width="2.1328125" style="2" customWidth="1"/>
    <col min="2" max="20" width="9.1328125" style="2"/>
    <col min="21" max="21" width="13.86328125" style="2" customWidth="1"/>
    <col min="22" max="16384" width="9.1328125" style="2"/>
  </cols>
  <sheetData>
    <row r="5" spans="2:21" x14ac:dyDescent="0.45">
      <c r="B5" s="5"/>
      <c r="C5" s="5"/>
      <c r="D5" s="5"/>
      <c r="E5" s="5"/>
      <c r="F5" s="5"/>
      <c r="G5" s="5"/>
      <c r="H5" s="5"/>
      <c r="I5" s="5"/>
      <c r="J5" s="5"/>
      <c r="K5" s="5"/>
      <c r="L5" s="5"/>
      <c r="M5" s="5"/>
      <c r="N5" s="5"/>
      <c r="O5" s="5"/>
      <c r="P5" s="5"/>
      <c r="Q5" s="5"/>
      <c r="R5" s="5"/>
      <c r="S5" s="5"/>
      <c r="T5" s="5"/>
      <c r="U5" s="5"/>
    </row>
    <row r="6" spans="2:21" x14ac:dyDescent="0.45">
      <c r="B6" s="5"/>
      <c r="C6" s="5"/>
      <c r="D6" s="5"/>
      <c r="E6" s="5"/>
      <c r="F6" s="5"/>
      <c r="G6" s="5"/>
      <c r="H6" s="5"/>
      <c r="I6" s="5"/>
      <c r="J6" s="5"/>
      <c r="K6" s="5"/>
      <c r="L6" s="5"/>
      <c r="M6" s="5"/>
      <c r="N6" s="5"/>
      <c r="O6" s="5"/>
      <c r="P6" s="5"/>
      <c r="Q6" s="5"/>
      <c r="R6" s="5"/>
      <c r="S6" s="5"/>
      <c r="T6" s="5"/>
      <c r="U6" s="5"/>
    </row>
    <row r="7" spans="2:21" x14ac:dyDescent="0.45">
      <c r="B7" s="5"/>
      <c r="C7" s="5"/>
      <c r="D7" s="5"/>
      <c r="E7" s="5"/>
      <c r="F7" s="5"/>
      <c r="G7" s="5"/>
      <c r="H7" s="5"/>
      <c r="I7" s="5"/>
      <c r="J7" s="5"/>
      <c r="K7" s="5"/>
      <c r="L7" s="5"/>
      <c r="M7" s="5"/>
      <c r="N7" s="5"/>
      <c r="O7" s="5"/>
      <c r="P7" s="5"/>
      <c r="Q7" s="5"/>
      <c r="R7" s="5"/>
      <c r="S7" s="5"/>
      <c r="T7" s="5"/>
      <c r="U7" s="5"/>
    </row>
    <row r="8" spans="2:21" x14ac:dyDescent="0.45">
      <c r="B8" s="5"/>
      <c r="C8" s="5"/>
      <c r="D8" s="5"/>
      <c r="E8" s="5"/>
      <c r="F8" s="5"/>
      <c r="G8" s="5"/>
      <c r="H8" s="5"/>
      <c r="I8" s="5"/>
      <c r="J8" s="5"/>
      <c r="K8" s="5"/>
      <c r="L8" s="5"/>
      <c r="M8" s="5"/>
      <c r="N8" s="5"/>
      <c r="O8" s="5"/>
      <c r="P8" s="5"/>
      <c r="Q8" s="5"/>
      <c r="R8" s="5"/>
      <c r="S8" s="5"/>
      <c r="T8" s="5"/>
      <c r="U8" s="5"/>
    </row>
    <row r="9" spans="2:21" x14ac:dyDescent="0.45">
      <c r="B9" s="5"/>
      <c r="C9" s="5"/>
      <c r="D9" s="5"/>
      <c r="E9" s="5"/>
      <c r="F9" s="5"/>
      <c r="G9" s="5"/>
      <c r="H9" s="5"/>
      <c r="I9" s="5"/>
      <c r="J9" s="5"/>
      <c r="K9" s="5"/>
      <c r="L9" s="5"/>
      <c r="M9" s="5"/>
      <c r="N9" s="5"/>
      <c r="O9" s="5"/>
      <c r="P9" s="5"/>
      <c r="Q9" s="5"/>
      <c r="R9" s="5"/>
      <c r="S9" s="5"/>
      <c r="T9" s="5"/>
      <c r="U9" s="5"/>
    </row>
    <row r="10" spans="2:21" x14ac:dyDescent="0.45">
      <c r="B10" s="5"/>
      <c r="C10" s="5"/>
      <c r="D10" s="5"/>
      <c r="E10" s="5"/>
      <c r="F10" s="5"/>
      <c r="G10" s="5"/>
      <c r="H10" s="5"/>
      <c r="I10" s="5"/>
      <c r="J10" s="5"/>
      <c r="K10" s="5"/>
      <c r="L10" s="5"/>
      <c r="M10" s="5"/>
      <c r="N10" s="5"/>
      <c r="O10" s="5"/>
      <c r="P10" s="5"/>
      <c r="Q10" s="5"/>
      <c r="R10" s="5"/>
      <c r="S10" s="5"/>
      <c r="T10" s="5"/>
      <c r="U10" s="5"/>
    </row>
    <row r="11" spans="2:21" x14ac:dyDescent="0.45">
      <c r="B11" s="5"/>
      <c r="C11" s="5"/>
      <c r="D11" s="5"/>
      <c r="E11" s="5"/>
      <c r="F11" s="5"/>
      <c r="G11" s="5"/>
      <c r="H11" s="5"/>
      <c r="I11" s="5"/>
      <c r="J11" s="5"/>
      <c r="K11" s="5"/>
      <c r="L11" s="5"/>
      <c r="M11" s="5"/>
      <c r="N11" s="5"/>
      <c r="O11" s="5"/>
      <c r="P11" s="5"/>
      <c r="Q11" s="5"/>
      <c r="R11" s="5"/>
      <c r="S11" s="5"/>
      <c r="T11" s="5"/>
      <c r="U11" s="5"/>
    </row>
    <row r="12" spans="2:21" x14ac:dyDescent="0.45">
      <c r="B12" s="5"/>
      <c r="C12" s="5"/>
      <c r="D12" s="5"/>
      <c r="E12" s="5"/>
      <c r="F12" s="5"/>
      <c r="G12" s="5"/>
      <c r="H12" s="5"/>
      <c r="I12" s="5"/>
      <c r="J12" s="5"/>
      <c r="K12" s="5"/>
      <c r="L12" s="5"/>
      <c r="M12" s="5"/>
      <c r="N12" s="5"/>
      <c r="O12" s="5"/>
      <c r="P12" s="5"/>
      <c r="Q12" s="5"/>
      <c r="R12" s="5"/>
      <c r="S12" s="5"/>
      <c r="T12" s="5"/>
      <c r="U12" s="5"/>
    </row>
    <row r="13" spans="2:21" x14ac:dyDescent="0.45">
      <c r="B13" s="5"/>
      <c r="C13" s="5"/>
      <c r="D13" s="5"/>
      <c r="E13" s="5"/>
      <c r="F13" s="5"/>
      <c r="G13" s="5"/>
      <c r="H13" s="5"/>
      <c r="I13" s="5"/>
      <c r="J13" s="5"/>
      <c r="K13" s="5"/>
      <c r="L13" s="5"/>
      <c r="M13" s="5"/>
      <c r="N13" s="5"/>
      <c r="O13" s="5"/>
      <c r="P13" s="5"/>
      <c r="Q13" s="5"/>
      <c r="R13" s="5"/>
      <c r="S13" s="5"/>
      <c r="T13" s="5"/>
      <c r="U13" s="5"/>
    </row>
    <row r="14" spans="2:21" x14ac:dyDescent="0.45">
      <c r="B14" s="5"/>
      <c r="C14" s="5"/>
      <c r="D14" s="5"/>
      <c r="E14" s="5"/>
      <c r="F14" s="5"/>
      <c r="G14" s="5"/>
      <c r="H14" s="5"/>
      <c r="I14" s="5"/>
      <c r="J14" s="5"/>
      <c r="K14" s="5"/>
      <c r="L14" s="5"/>
      <c r="M14" s="5"/>
      <c r="N14" s="5"/>
      <c r="O14" s="5"/>
      <c r="P14" s="5"/>
      <c r="Q14" s="5"/>
      <c r="R14" s="5"/>
      <c r="S14" s="5"/>
      <c r="T14" s="5"/>
      <c r="U14" s="5"/>
    </row>
    <row r="15" spans="2:21" x14ac:dyDescent="0.45">
      <c r="B15" s="5"/>
      <c r="C15" s="5"/>
      <c r="D15" s="5"/>
      <c r="E15" s="5"/>
      <c r="F15" s="5"/>
      <c r="G15" s="5"/>
      <c r="H15" s="5"/>
      <c r="I15" s="5"/>
      <c r="J15" s="5"/>
      <c r="K15" s="5"/>
      <c r="L15" s="5"/>
      <c r="M15" s="5"/>
      <c r="N15" s="5"/>
      <c r="O15" s="5"/>
      <c r="P15" s="5"/>
      <c r="Q15" s="5"/>
      <c r="R15" s="5"/>
      <c r="S15" s="5"/>
      <c r="T15" s="5"/>
      <c r="U15" s="5"/>
    </row>
    <row r="16" spans="2:21" x14ac:dyDescent="0.45">
      <c r="B16" s="5"/>
      <c r="C16" s="5"/>
      <c r="D16" s="5"/>
      <c r="E16" s="5"/>
      <c r="F16" s="5"/>
      <c r="G16" s="5"/>
      <c r="H16" s="5"/>
      <c r="I16" s="5"/>
      <c r="J16" s="5"/>
      <c r="K16" s="5"/>
      <c r="L16" s="5"/>
      <c r="M16" s="5"/>
      <c r="N16" s="5"/>
      <c r="O16" s="5"/>
      <c r="P16" s="5"/>
      <c r="Q16" s="5"/>
      <c r="R16" s="5"/>
      <c r="S16" s="5"/>
      <c r="T16" s="5"/>
      <c r="U16" s="5"/>
    </row>
    <row r="17" spans="2:21" x14ac:dyDescent="0.45">
      <c r="B17" s="5"/>
      <c r="C17" s="5"/>
      <c r="D17" s="5"/>
      <c r="E17" s="5"/>
      <c r="F17" s="5"/>
      <c r="G17" s="5"/>
      <c r="H17" s="5"/>
      <c r="I17" s="5"/>
      <c r="J17" s="5"/>
      <c r="K17" s="5"/>
      <c r="L17" s="5"/>
      <c r="M17" s="5"/>
      <c r="N17" s="5"/>
      <c r="O17" s="5"/>
      <c r="P17" s="5"/>
      <c r="Q17" s="5"/>
      <c r="R17" s="5"/>
      <c r="S17" s="5"/>
      <c r="T17" s="5"/>
      <c r="U17" s="5"/>
    </row>
    <row r="18" spans="2:21" x14ac:dyDescent="0.45">
      <c r="B18" s="5"/>
      <c r="C18" s="5"/>
      <c r="D18" s="5"/>
      <c r="E18" s="5"/>
      <c r="F18" s="5"/>
      <c r="G18" s="5"/>
      <c r="H18" s="5"/>
      <c r="I18" s="5"/>
      <c r="J18" s="5"/>
      <c r="K18" s="5"/>
      <c r="L18" s="5"/>
      <c r="M18" s="5"/>
      <c r="N18" s="5"/>
      <c r="O18" s="5"/>
      <c r="P18" s="5"/>
      <c r="Q18" s="5"/>
      <c r="R18" s="5"/>
      <c r="S18" s="5"/>
      <c r="T18" s="5"/>
      <c r="U18" s="5"/>
    </row>
    <row r="19" spans="2:21" x14ac:dyDescent="0.45">
      <c r="B19" s="5"/>
      <c r="C19" s="16"/>
      <c r="D19" s="16"/>
      <c r="E19" s="5"/>
      <c r="F19" s="17"/>
      <c r="G19" s="17"/>
      <c r="H19" s="5"/>
      <c r="I19" s="5"/>
      <c r="J19" s="5"/>
      <c r="K19" s="5"/>
      <c r="L19" s="5"/>
      <c r="M19" s="5"/>
      <c r="N19" s="5"/>
      <c r="O19" s="5"/>
      <c r="P19" s="5"/>
      <c r="Q19" s="5"/>
      <c r="R19" s="5"/>
      <c r="S19" s="5"/>
      <c r="T19" s="5"/>
      <c r="U19" s="5"/>
    </row>
    <row r="20" spans="2:21" x14ac:dyDescent="0.45">
      <c r="B20" s="5"/>
      <c r="C20" s="5"/>
      <c r="D20" s="5"/>
      <c r="E20" s="5"/>
      <c r="F20" s="5"/>
      <c r="G20" s="5"/>
      <c r="H20" s="5"/>
      <c r="I20" s="5"/>
      <c r="J20" s="5"/>
      <c r="K20" s="5"/>
      <c r="L20" s="5"/>
      <c r="M20" s="5"/>
      <c r="N20" s="5"/>
      <c r="O20" s="5"/>
      <c r="P20" s="5"/>
      <c r="Q20" s="5"/>
      <c r="R20" s="5"/>
      <c r="S20" s="5"/>
      <c r="T20" s="5"/>
      <c r="U20" s="5"/>
    </row>
    <row r="21" spans="2:21" x14ac:dyDescent="0.45">
      <c r="B21" s="5"/>
      <c r="C21" s="5"/>
      <c r="D21" s="5"/>
      <c r="E21" s="5"/>
      <c r="F21" s="5"/>
      <c r="G21" s="5"/>
      <c r="H21" s="5"/>
      <c r="I21" s="5"/>
      <c r="J21" s="5"/>
      <c r="K21" s="5"/>
      <c r="L21" s="5"/>
      <c r="M21" s="5"/>
      <c r="N21" s="5"/>
      <c r="O21" s="5"/>
      <c r="P21" s="5"/>
      <c r="Q21" s="5"/>
      <c r="R21" s="5"/>
      <c r="S21" s="5"/>
      <c r="T21" s="5"/>
      <c r="U21" s="5"/>
    </row>
    <row r="22" spans="2:21" x14ac:dyDescent="0.45">
      <c r="B22" s="5"/>
      <c r="C22" s="5"/>
      <c r="D22" s="5"/>
      <c r="E22" s="5"/>
      <c r="F22" s="5"/>
      <c r="G22" s="5"/>
      <c r="H22" s="5"/>
      <c r="I22" s="5"/>
      <c r="J22" s="5"/>
      <c r="K22" s="5"/>
      <c r="L22" s="5"/>
      <c r="M22" s="5"/>
      <c r="N22" s="5"/>
      <c r="O22" s="5"/>
      <c r="P22" s="5"/>
      <c r="Q22" s="5"/>
      <c r="R22" s="5"/>
      <c r="S22" s="5"/>
      <c r="T22" s="5"/>
      <c r="U22" s="5"/>
    </row>
    <row r="23" spans="2:21" x14ac:dyDescent="0.45">
      <c r="B23" s="5"/>
      <c r="C23" s="5"/>
      <c r="D23" s="5"/>
      <c r="E23" s="5"/>
      <c r="F23" s="5"/>
      <c r="G23" s="5"/>
      <c r="H23" s="5"/>
      <c r="I23" s="5"/>
      <c r="J23" s="5"/>
      <c r="K23" s="5"/>
      <c r="L23" s="5"/>
      <c r="M23" s="5"/>
      <c r="N23" s="5"/>
      <c r="O23" s="5"/>
      <c r="P23" s="5"/>
      <c r="Q23" s="5"/>
      <c r="R23" s="5"/>
      <c r="S23" s="5"/>
      <c r="T23" s="5"/>
      <c r="U23" s="5"/>
    </row>
    <row r="24" spans="2:21" x14ac:dyDescent="0.45">
      <c r="B24" s="5"/>
      <c r="C24" s="5"/>
      <c r="D24" s="5"/>
      <c r="E24" s="5"/>
      <c r="F24" s="5"/>
      <c r="G24" s="5"/>
      <c r="H24" s="5"/>
      <c r="I24" s="5"/>
      <c r="J24" s="5"/>
      <c r="K24" s="5"/>
      <c r="L24" s="5"/>
      <c r="M24" s="5"/>
      <c r="N24" s="5"/>
      <c r="O24" s="5"/>
      <c r="P24" s="5"/>
      <c r="Q24" s="5"/>
      <c r="R24" s="5"/>
      <c r="S24" s="5"/>
      <c r="T24" s="5"/>
      <c r="U24" s="5"/>
    </row>
    <row r="25" spans="2:21" x14ac:dyDescent="0.45">
      <c r="B25" s="5"/>
      <c r="C25" s="5"/>
      <c r="D25" s="5"/>
      <c r="E25" s="5"/>
      <c r="F25" s="5"/>
      <c r="G25" s="5"/>
      <c r="H25" s="5"/>
      <c r="I25" s="5"/>
      <c r="J25" s="5"/>
      <c r="K25" s="5"/>
      <c r="L25" s="5"/>
      <c r="M25" s="5"/>
      <c r="N25" s="5"/>
      <c r="O25" s="5"/>
      <c r="P25" s="5"/>
      <c r="Q25" s="5"/>
      <c r="R25" s="5"/>
      <c r="S25" s="5"/>
      <c r="T25" s="5"/>
      <c r="U25" s="5"/>
    </row>
    <row r="26" spans="2:21" x14ac:dyDescent="0.45">
      <c r="B26" s="5"/>
      <c r="C26" s="5"/>
      <c r="D26" s="5"/>
      <c r="E26" s="5"/>
      <c r="F26" s="5"/>
      <c r="G26" s="5"/>
      <c r="H26" s="5"/>
      <c r="I26" s="5"/>
      <c r="J26" s="5"/>
      <c r="K26" s="5"/>
      <c r="L26" s="5"/>
      <c r="M26" s="5"/>
      <c r="N26" s="5"/>
      <c r="O26" s="5"/>
      <c r="P26" s="5"/>
      <c r="Q26" s="5"/>
      <c r="R26" s="5"/>
      <c r="S26" s="5"/>
      <c r="T26" s="5"/>
      <c r="U26" s="5"/>
    </row>
    <row r="27" spans="2:21" x14ac:dyDescent="0.45">
      <c r="B27" s="5"/>
      <c r="C27" s="5"/>
      <c r="D27" s="5"/>
      <c r="E27" s="5"/>
      <c r="F27" s="5"/>
      <c r="G27" s="5"/>
      <c r="H27" s="5"/>
      <c r="I27" s="5"/>
      <c r="J27" s="5"/>
      <c r="K27" s="5"/>
      <c r="L27" s="5"/>
      <c r="M27" s="5"/>
      <c r="N27" s="5"/>
      <c r="O27" s="5"/>
      <c r="P27" s="5"/>
      <c r="Q27" s="5"/>
      <c r="R27" s="5"/>
      <c r="S27" s="5"/>
      <c r="T27" s="5"/>
      <c r="U27" s="5"/>
    </row>
    <row r="28" spans="2:21" x14ac:dyDescent="0.45">
      <c r="B28" s="5"/>
      <c r="C28" s="5"/>
      <c r="D28" s="5"/>
      <c r="E28" s="5"/>
      <c r="F28" s="5"/>
      <c r="G28" s="5"/>
      <c r="H28" s="5"/>
      <c r="I28" s="5"/>
      <c r="J28" s="5"/>
      <c r="K28" s="5"/>
      <c r="L28" s="5"/>
      <c r="M28" s="5"/>
      <c r="N28" s="5"/>
      <c r="O28" s="5"/>
      <c r="P28" s="5"/>
      <c r="Q28" s="5"/>
      <c r="R28" s="5"/>
      <c r="S28" s="5"/>
      <c r="T28" s="5"/>
      <c r="U28" s="5"/>
    </row>
    <row r="29" spans="2:21" x14ac:dyDescent="0.45">
      <c r="B29" s="5"/>
      <c r="C29" s="5"/>
      <c r="D29" s="5"/>
      <c r="E29" s="5"/>
      <c r="F29" s="5"/>
      <c r="G29" s="5"/>
      <c r="H29" s="5"/>
      <c r="I29" s="5"/>
      <c r="J29" s="5"/>
      <c r="K29" s="5"/>
      <c r="L29" s="5"/>
      <c r="M29" s="5"/>
      <c r="N29" s="5"/>
      <c r="O29" s="5"/>
      <c r="P29" s="5"/>
      <c r="Q29" s="5"/>
      <c r="R29" s="5"/>
      <c r="S29" s="5"/>
      <c r="T29" s="5"/>
      <c r="U29" s="5"/>
    </row>
    <row r="30" spans="2:21" x14ac:dyDescent="0.45">
      <c r="B30" s="5"/>
      <c r="C30" s="5"/>
      <c r="D30" s="5"/>
      <c r="E30" s="5"/>
      <c r="F30" s="5"/>
      <c r="G30" s="5"/>
      <c r="H30" s="5"/>
      <c r="I30" s="5"/>
      <c r="J30" s="5"/>
      <c r="K30" s="5"/>
      <c r="L30" s="5"/>
      <c r="M30" s="5"/>
      <c r="N30" s="5"/>
      <c r="O30" s="5"/>
      <c r="P30" s="5"/>
      <c r="Q30" s="5"/>
      <c r="R30" s="5"/>
      <c r="S30" s="5"/>
      <c r="T30" s="5"/>
      <c r="U30" s="5"/>
    </row>
    <row r="31" spans="2:21" x14ac:dyDescent="0.45">
      <c r="B31" s="5"/>
      <c r="C31" s="5"/>
      <c r="D31" s="5"/>
      <c r="E31" s="5"/>
      <c r="F31" s="5"/>
      <c r="G31" s="5"/>
      <c r="H31" s="5"/>
      <c r="I31" s="5"/>
      <c r="J31" s="5"/>
      <c r="K31" s="5"/>
      <c r="L31" s="5"/>
      <c r="M31" s="5"/>
      <c r="N31" s="5"/>
      <c r="O31" s="5"/>
      <c r="P31" s="5"/>
      <c r="Q31" s="5"/>
      <c r="R31" s="5"/>
      <c r="S31" s="5"/>
      <c r="T31" s="5"/>
      <c r="U31" s="5"/>
    </row>
    <row r="32" spans="2:21" x14ac:dyDescent="0.45">
      <c r="B32" s="5"/>
      <c r="C32" s="5"/>
      <c r="D32" s="5"/>
      <c r="E32" s="5"/>
      <c r="F32" s="5"/>
      <c r="G32" s="5"/>
      <c r="H32" s="5"/>
      <c r="I32" s="5"/>
      <c r="J32" s="5"/>
      <c r="K32" s="5"/>
      <c r="L32" s="5"/>
      <c r="M32" s="5"/>
      <c r="N32" s="5"/>
      <c r="O32" s="5"/>
      <c r="P32" s="5"/>
      <c r="Q32" s="5"/>
      <c r="R32" s="5"/>
      <c r="S32" s="5"/>
      <c r="T32" s="5"/>
      <c r="U32" s="5"/>
    </row>
    <row r="33" spans="2:21" x14ac:dyDescent="0.45">
      <c r="B33" s="5"/>
      <c r="C33" s="5"/>
      <c r="D33" s="5"/>
      <c r="E33" s="5"/>
      <c r="F33" s="5"/>
      <c r="G33" s="5"/>
      <c r="H33" s="5"/>
      <c r="I33" s="5"/>
      <c r="J33" s="5"/>
      <c r="K33" s="5"/>
      <c r="L33" s="5"/>
      <c r="M33" s="5"/>
      <c r="N33" s="5"/>
      <c r="O33" s="5"/>
      <c r="P33" s="5"/>
      <c r="Q33" s="5"/>
      <c r="R33" s="5"/>
      <c r="S33" s="5"/>
      <c r="T33" s="5"/>
      <c r="U33" s="5"/>
    </row>
    <row r="34" spans="2:21" x14ac:dyDescent="0.45">
      <c r="B34" s="5"/>
      <c r="C34" s="5"/>
      <c r="D34" s="5"/>
      <c r="E34" s="5"/>
      <c r="F34" s="5"/>
      <c r="G34" s="5"/>
      <c r="H34" s="5"/>
      <c r="I34" s="5"/>
      <c r="J34" s="5"/>
      <c r="K34" s="5"/>
      <c r="L34" s="5"/>
      <c r="M34" s="5"/>
      <c r="N34" s="5"/>
      <c r="O34" s="5"/>
      <c r="P34" s="5"/>
      <c r="Q34" s="5"/>
      <c r="R34" s="5"/>
      <c r="S34" s="5"/>
      <c r="T34" s="5"/>
      <c r="U34" s="5"/>
    </row>
    <row r="35" spans="2:21" x14ac:dyDescent="0.45">
      <c r="B35" s="5"/>
      <c r="C35" s="5"/>
      <c r="D35" s="5"/>
      <c r="E35" s="5"/>
      <c r="F35" s="5"/>
      <c r="G35" s="5"/>
      <c r="H35" s="5"/>
      <c r="I35" s="5"/>
      <c r="J35" s="5"/>
      <c r="K35" s="5"/>
      <c r="L35" s="5"/>
      <c r="M35" s="5"/>
      <c r="N35" s="5"/>
      <c r="O35" s="5"/>
      <c r="P35" s="5"/>
      <c r="Q35" s="5"/>
      <c r="R35" s="5"/>
      <c r="S35" s="5"/>
      <c r="T35" s="5"/>
      <c r="U35" s="5"/>
    </row>
    <row r="36" spans="2:21" ht="6.75" customHeight="1" x14ac:dyDescent="0.45">
      <c r="B36" s="5"/>
      <c r="C36" s="5"/>
      <c r="D36" s="5"/>
      <c r="E36" s="5"/>
      <c r="F36" s="5"/>
      <c r="G36" s="5"/>
      <c r="H36" s="5"/>
      <c r="I36" s="5"/>
      <c r="J36" s="5"/>
      <c r="K36" s="5"/>
      <c r="L36" s="5"/>
      <c r="M36" s="5"/>
      <c r="N36" s="5"/>
      <c r="O36" s="5"/>
      <c r="P36" s="5"/>
      <c r="Q36" s="5"/>
      <c r="R36" s="5"/>
      <c r="S36" s="5"/>
      <c r="T36" s="5"/>
      <c r="U36" s="5"/>
    </row>
  </sheetData>
  <sheetProtection selectLockedCells="1" selectUnlockedCells="1"/>
  <mergeCells count="2">
    <mergeCell ref="C19:D19"/>
    <mergeCell ref="F19:G19"/>
  </mergeCells>
  <dataValidations count="2">
    <dataValidation errorStyle="warning" allowBlank="1" showInputMessage="1" showErrorMessage="1" errorTitle="Validation" error="Select from the drop down" sqref="C19:D19" xr:uid="{76022B0F-1ADE-4E9E-B2B6-22149A946682}"/>
    <dataValidation allowBlank="1" showInputMessage="1" showErrorMessage="1" errorTitle="Validation" error="Select from the dropdown" sqref="F19:G19" xr:uid="{FF5A9E14-BC96-49CE-B0D7-357A56458C49}"/>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20</xdr:col>
                    <xdr:colOff>257175</xdr:colOff>
                    <xdr:row>23</xdr:row>
                    <xdr:rowOff>171450</xdr:rowOff>
                  </from>
                  <to>
                    <xdr:col>21</xdr:col>
                    <xdr:colOff>352425</xdr:colOff>
                    <xdr:row>25</xdr:row>
                    <xdr:rowOff>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19</xdr:col>
                    <xdr:colOff>266700</xdr:colOff>
                    <xdr:row>23</xdr:row>
                    <xdr:rowOff>171450</xdr:rowOff>
                  </from>
                  <to>
                    <xdr:col>20</xdr:col>
                    <xdr:colOff>676275</xdr:colOff>
                    <xdr:row>25</xdr:row>
                    <xdr:rowOff>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Nov and Dec data</vt:lpstr>
      <vt:lpstr>PFData</vt:lpstr>
      <vt:lpstr>Date</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Shivangi Khoria</cp:lastModifiedBy>
  <dcterms:created xsi:type="dcterms:W3CDTF">2021-11-22T19:54:00Z</dcterms:created>
  <dcterms:modified xsi:type="dcterms:W3CDTF">2026-01-12T16:30:56Z</dcterms:modified>
</cp:coreProperties>
</file>